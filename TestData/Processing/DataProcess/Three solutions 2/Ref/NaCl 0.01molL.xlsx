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sEIS\testdata\process\Three solution\"/>
    </mc:Choice>
  </mc:AlternateContent>
  <xr:revisionPtr revIDLastSave="0" documentId="13_ncr:1_{5DB98AE1-EC9D-49C6-9250-00BFEF646D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eriment" sheetId="4" r:id="rId1"/>
    <sheet name="Reflection" sheetId="2" r:id="rId2"/>
    <sheet name="Permitivity" sheetId="7" r:id="rId3"/>
    <sheet name="Permitivity Ref." sheetId="8" r:id="rId4"/>
    <sheet name="Permitivity bank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3" i="7"/>
  <c r="H1" i="7"/>
  <c r="G1" i="7"/>
  <c r="F1" i="7"/>
  <c r="E1" i="7"/>
  <c r="D1" i="7"/>
  <c r="C6" i="7" l="1"/>
  <c r="C10" i="7"/>
  <c r="C14" i="7"/>
  <c r="C18" i="7"/>
  <c r="C22" i="7"/>
  <c r="C26" i="7"/>
  <c r="C30" i="7"/>
  <c r="C34" i="7"/>
  <c r="C38" i="7"/>
  <c r="C42" i="7"/>
  <c r="C46" i="7"/>
  <c r="C50" i="7"/>
  <c r="C54" i="7"/>
  <c r="C58" i="7"/>
  <c r="C62" i="7"/>
  <c r="C66" i="7"/>
  <c r="C70" i="7"/>
  <c r="C74" i="7"/>
  <c r="C78" i="7"/>
  <c r="C82" i="7"/>
  <c r="C86" i="7"/>
  <c r="C90" i="7"/>
  <c r="C94" i="7"/>
  <c r="C98" i="7"/>
  <c r="C102" i="7"/>
  <c r="C106" i="7"/>
  <c r="C110" i="7"/>
  <c r="C114" i="7"/>
  <c r="C118" i="7"/>
  <c r="C122" i="7"/>
  <c r="C126" i="7"/>
  <c r="C130" i="7"/>
  <c r="C134" i="7"/>
  <c r="C138" i="7"/>
  <c r="C4" i="7"/>
  <c r="C9" i="7"/>
  <c r="C15" i="7"/>
  <c r="C20" i="7"/>
  <c r="C25" i="7"/>
  <c r="C31" i="7"/>
  <c r="C36" i="7"/>
  <c r="C41" i="7"/>
  <c r="C47" i="7"/>
  <c r="C52" i="7"/>
  <c r="C57" i="7"/>
  <c r="C63" i="7"/>
  <c r="C68" i="7"/>
  <c r="C73" i="7"/>
  <c r="C79" i="7"/>
  <c r="C84" i="7"/>
  <c r="C89" i="7"/>
  <c r="C95" i="7"/>
  <c r="C100" i="7"/>
  <c r="C105" i="7"/>
  <c r="C111" i="7"/>
  <c r="C116" i="7"/>
  <c r="C121" i="7"/>
  <c r="C127" i="7"/>
  <c r="C132" i="7"/>
  <c r="C137" i="7"/>
  <c r="C142" i="7"/>
  <c r="C146" i="7"/>
  <c r="C150" i="7"/>
  <c r="C154" i="7"/>
  <c r="C158" i="7"/>
  <c r="C162" i="7"/>
  <c r="C166" i="7"/>
  <c r="C170" i="7"/>
  <c r="C174" i="7"/>
  <c r="C178" i="7"/>
  <c r="C182" i="7"/>
  <c r="C186" i="7"/>
  <c r="C190" i="7"/>
  <c r="C194" i="7"/>
  <c r="C198" i="7"/>
  <c r="C202" i="7"/>
  <c r="C19" i="7"/>
  <c r="C29" i="7"/>
  <c r="C45" i="7"/>
  <c r="C61" i="7"/>
  <c r="C77" i="7"/>
  <c r="C93" i="7"/>
  <c r="C109" i="7"/>
  <c r="C125" i="7"/>
  <c r="C136" i="7"/>
  <c r="C149" i="7"/>
  <c r="C157" i="7"/>
  <c r="C169" i="7"/>
  <c r="C181" i="7"/>
  <c r="C5" i="7"/>
  <c r="C11" i="7"/>
  <c r="C16" i="7"/>
  <c r="C21" i="7"/>
  <c r="C27" i="7"/>
  <c r="C32" i="7"/>
  <c r="C37" i="7"/>
  <c r="C43" i="7"/>
  <c r="C48" i="7"/>
  <c r="C53" i="7"/>
  <c r="C59" i="7"/>
  <c r="C64" i="7"/>
  <c r="C69" i="7"/>
  <c r="C75" i="7"/>
  <c r="C80" i="7"/>
  <c r="C85" i="7"/>
  <c r="C91" i="7"/>
  <c r="C96" i="7"/>
  <c r="C101" i="7"/>
  <c r="C107" i="7"/>
  <c r="C112" i="7"/>
  <c r="C117" i="7"/>
  <c r="C123" i="7"/>
  <c r="C128" i="7"/>
  <c r="C133" i="7"/>
  <c r="C139" i="7"/>
  <c r="C143" i="7"/>
  <c r="C147" i="7"/>
  <c r="C151" i="7"/>
  <c r="C155" i="7"/>
  <c r="C159" i="7"/>
  <c r="C163" i="7"/>
  <c r="C167" i="7"/>
  <c r="C171" i="7"/>
  <c r="C175" i="7"/>
  <c r="C179" i="7"/>
  <c r="C183" i="7"/>
  <c r="C187" i="7"/>
  <c r="C191" i="7"/>
  <c r="C195" i="7"/>
  <c r="C199" i="7"/>
  <c r="C7" i="7"/>
  <c r="C12" i="7"/>
  <c r="C17" i="7"/>
  <c r="C23" i="7"/>
  <c r="C28" i="7"/>
  <c r="C33" i="7"/>
  <c r="C39" i="7"/>
  <c r="C44" i="7"/>
  <c r="C49" i="7"/>
  <c r="C55" i="7"/>
  <c r="C60" i="7"/>
  <c r="C65" i="7"/>
  <c r="C71" i="7"/>
  <c r="C76" i="7"/>
  <c r="C81" i="7"/>
  <c r="C87" i="7"/>
  <c r="C92" i="7"/>
  <c r="C97" i="7"/>
  <c r="C103" i="7"/>
  <c r="C108" i="7"/>
  <c r="C113" i="7"/>
  <c r="C119" i="7"/>
  <c r="C124" i="7"/>
  <c r="C129" i="7"/>
  <c r="C135" i="7"/>
  <c r="C140" i="7"/>
  <c r="C144" i="7"/>
  <c r="C148" i="7"/>
  <c r="C152" i="7"/>
  <c r="C156" i="7"/>
  <c r="C160" i="7"/>
  <c r="C164" i="7"/>
  <c r="C168" i="7"/>
  <c r="C172" i="7"/>
  <c r="C176" i="7"/>
  <c r="C180" i="7"/>
  <c r="C184" i="7"/>
  <c r="C188" i="7"/>
  <c r="C192" i="7"/>
  <c r="C196" i="7"/>
  <c r="C200" i="7"/>
  <c r="C8" i="7"/>
  <c r="C24" i="7"/>
  <c r="C40" i="7"/>
  <c r="C56" i="7"/>
  <c r="C72" i="7"/>
  <c r="C88" i="7"/>
  <c r="C104" i="7"/>
  <c r="C120" i="7"/>
  <c r="C141" i="7"/>
  <c r="C153" i="7"/>
  <c r="C165" i="7"/>
  <c r="C173" i="7"/>
  <c r="C13" i="7"/>
  <c r="C35" i="7"/>
  <c r="C51" i="7"/>
  <c r="C67" i="7"/>
  <c r="C83" i="7"/>
  <c r="C99" i="7"/>
  <c r="C115" i="7"/>
  <c r="C131" i="7"/>
  <c r="C145" i="7"/>
  <c r="C161" i="7"/>
  <c r="C177" i="7"/>
  <c r="C185" i="7"/>
  <c r="C189" i="7"/>
  <c r="C193" i="7"/>
  <c r="C197" i="7"/>
  <c r="C201" i="7"/>
  <c r="C3" i="7"/>
  <c r="D3" i="7" s="1"/>
  <c r="AH1" i="8"/>
  <c r="AG1" i="8"/>
  <c r="AF1" i="8"/>
  <c r="AE1" i="8"/>
  <c r="AD1" i="8"/>
  <c r="F189" i="7" l="1"/>
  <c r="D189" i="7"/>
  <c r="E189" i="7"/>
  <c r="F13" i="7"/>
  <c r="D13" i="7"/>
  <c r="E13" i="7"/>
  <c r="E8" i="7"/>
  <c r="F8" i="7"/>
  <c r="D8" i="7"/>
  <c r="F156" i="7"/>
  <c r="E156" i="7"/>
  <c r="D156" i="7"/>
  <c r="F97" i="7"/>
  <c r="D97" i="7"/>
  <c r="E97" i="7"/>
  <c r="F12" i="7"/>
  <c r="D12" i="7"/>
  <c r="E12" i="7"/>
  <c r="F159" i="7"/>
  <c r="E159" i="7"/>
  <c r="D159" i="7"/>
  <c r="F101" i="7"/>
  <c r="E101" i="7"/>
  <c r="D101" i="7"/>
  <c r="F37" i="7"/>
  <c r="E37" i="7"/>
  <c r="D37" i="7"/>
  <c r="F125" i="7"/>
  <c r="D125" i="7"/>
  <c r="E125" i="7"/>
  <c r="D186" i="7"/>
  <c r="F186" i="7"/>
  <c r="E186" i="7"/>
  <c r="F137" i="7"/>
  <c r="D137" i="7"/>
  <c r="E137" i="7"/>
  <c r="E52" i="7"/>
  <c r="F52" i="7"/>
  <c r="D52" i="7"/>
  <c r="E130" i="7"/>
  <c r="D130" i="7"/>
  <c r="F130" i="7"/>
  <c r="E82" i="7"/>
  <c r="F82" i="7"/>
  <c r="D82" i="7"/>
  <c r="E34" i="7"/>
  <c r="F34" i="7"/>
  <c r="D34" i="7"/>
  <c r="F185" i="7"/>
  <c r="D185" i="7"/>
  <c r="E185" i="7"/>
  <c r="F173" i="7"/>
  <c r="D173" i="7"/>
  <c r="E173" i="7"/>
  <c r="F120" i="7"/>
  <c r="E120" i="7"/>
  <c r="D120" i="7"/>
  <c r="F56" i="7"/>
  <c r="D56" i="7"/>
  <c r="E56" i="7"/>
  <c r="E200" i="7"/>
  <c r="F200" i="7"/>
  <c r="D200" i="7"/>
  <c r="F184" i="7"/>
  <c r="E184" i="7"/>
  <c r="D184" i="7"/>
  <c r="F168" i="7"/>
  <c r="E168" i="7"/>
  <c r="D168" i="7"/>
  <c r="F152" i="7"/>
  <c r="E152" i="7"/>
  <c r="D152" i="7"/>
  <c r="F135" i="7"/>
  <c r="E135" i="7"/>
  <c r="D135" i="7"/>
  <c r="F113" i="7"/>
  <c r="D113" i="7"/>
  <c r="E113" i="7"/>
  <c r="F92" i="7"/>
  <c r="D92" i="7"/>
  <c r="E92" i="7"/>
  <c r="F71" i="7"/>
  <c r="D71" i="7"/>
  <c r="E71" i="7"/>
  <c r="F49" i="7"/>
  <c r="D49" i="7"/>
  <c r="E49" i="7"/>
  <c r="F28" i="7"/>
  <c r="D28" i="7"/>
  <c r="E28" i="7"/>
  <c r="F7" i="7"/>
  <c r="D7" i="7"/>
  <c r="E7" i="7"/>
  <c r="D187" i="7"/>
  <c r="E187" i="7"/>
  <c r="F187" i="7"/>
  <c r="D171" i="7"/>
  <c r="F171" i="7"/>
  <c r="E171" i="7"/>
  <c r="D155" i="7"/>
  <c r="F155" i="7"/>
  <c r="E155" i="7"/>
  <c r="D139" i="7"/>
  <c r="F139" i="7"/>
  <c r="E139" i="7"/>
  <c r="F117" i="7"/>
  <c r="D117" i="7"/>
  <c r="E117" i="7"/>
  <c r="F96" i="7"/>
  <c r="E96" i="7"/>
  <c r="D96" i="7"/>
  <c r="F75" i="7"/>
  <c r="E75" i="7"/>
  <c r="D75" i="7"/>
  <c r="F53" i="7"/>
  <c r="E53" i="7"/>
  <c r="D53" i="7"/>
  <c r="F32" i="7"/>
  <c r="E32" i="7"/>
  <c r="D32" i="7"/>
  <c r="F11" i="7"/>
  <c r="E11" i="7"/>
  <c r="D11" i="7"/>
  <c r="F157" i="7"/>
  <c r="D157" i="7"/>
  <c r="E157" i="7"/>
  <c r="F109" i="7"/>
  <c r="D109" i="7"/>
  <c r="E109" i="7"/>
  <c r="F45" i="7"/>
  <c r="D45" i="7"/>
  <c r="E45" i="7"/>
  <c r="D198" i="7"/>
  <c r="F198" i="7"/>
  <c r="E198" i="7"/>
  <c r="D182" i="7"/>
  <c r="F182" i="7"/>
  <c r="E182" i="7"/>
  <c r="D166" i="7"/>
  <c r="E166" i="7"/>
  <c r="F166" i="7"/>
  <c r="D150" i="7"/>
  <c r="F150" i="7"/>
  <c r="E150" i="7"/>
  <c r="F132" i="7"/>
  <c r="E132" i="7"/>
  <c r="D132" i="7"/>
  <c r="F111" i="7"/>
  <c r="E111" i="7"/>
  <c r="D111" i="7"/>
  <c r="F89" i="7"/>
  <c r="D89" i="7"/>
  <c r="E89" i="7"/>
  <c r="F68" i="7"/>
  <c r="E68" i="7"/>
  <c r="D68" i="7"/>
  <c r="F47" i="7"/>
  <c r="D47" i="7"/>
  <c r="E47" i="7"/>
  <c r="F25" i="7"/>
  <c r="D25" i="7"/>
  <c r="E25" i="7"/>
  <c r="F4" i="7"/>
  <c r="D4" i="7"/>
  <c r="E4" i="7"/>
  <c r="F126" i="7"/>
  <c r="E126" i="7"/>
  <c r="D126" i="7"/>
  <c r="E110" i="7"/>
  <c r="F110" i="7"/>
  <c r="D110" i="7"/>
  <c r="E94" i="7"/>
  <c r="D94" i="7"/>
  <c r="F94" i="7"/>
  <c r="E78" i="7"/>
  <c r="F78" i="7"/>
  <c r="D78" i="7"/>
  <c r="E62" i="7"/>
  <c r="F62" i="7"/>
  <c r="D62" i="7"/>
  <c r="E46" i="7"/>
  <c r="F46" i="7"/>
  <c r="D46" i="7"/>
  <c r="E30" i="7"/>
  <c r="D30" i="7"/>
  <c r="F30" i="7"/>
  <c r="E14" i="7"/>
  <c r="F14" i="7"/>
  <c r="D14" i="7"/>
  <c r="F145" i="7"/>
  <c r="D145" i="7"/>
  <c r="E145" i="7"/>
  <c r="F141" i="7"/>
  <c r="D141" i="7"/>
  <c r="E141" i="7"/>
  <c r="F188" i="7"/>
  <c r="E188" i="7"/>
  <c r="D188" i="7"/>
  <c r="F119" i="7"/>
  <c r="E119" i="7"/>
  <c r="D119" i="7"/>
  <c r="F55" i="7"/>
  <c r="D55" i="7"/>
  <c r="E55" i="7"/>
  <c r="F191" i="7"/>
  <c r="E191" i="7"/>
  <c r="D191" i="7"/>
  <c r="F143" i="7"/>
  <c r="D143" i="7"/>
  <c r="E143" i="7"/>
  <c r="F80" i="7"/>
  <c r="E80" i="7"/>
  <c r="D80" i="7"/>
  <c r="F16" i="7"/>
  <c r="E16" i="7"/>
  <c r="D16" i="7"/>
  <c r="D61" i="7"/>
  <c r="F61" i="7"/>
  <c r="E61" i="7"/>
  <c r="F154" i="7"/>
  <c r="E154" i="7"/>
  <c r="D154" i="7"/>
  <c r="F95" i="7"/>
  <c r="E95" i="7"/>
  <c r="D95" i="7"/>
  <c r="F31" i="7"/>
  <c r="D31" i="7"/>
  <c r="E31" i="7"/>
  <c r="E114" i="7"/>
  <c r="D114" i="7"/>
  <c r="F114" i="7"/>
  <c r="E66" i="7"/>
  <c r="F66" i="7"/>
  <c r="D66" i="7"/>
  <c r="E18" i="7"/>
  <c r="F18" i="7"/>
  <c r="D18" i="7"/>
  <c r="F67" i="7"/>
  <c r="E67" i="7"/>
  <c r="D67" i="7"/>
  <c r="F177" i="7"/>
  <c r="D177" i="7"/>
  <c r="E177" i="7"/>
  <c r="F51" i="7"/>
  <c r="E51" i="7"/>
  <c r="D51" i="7"/>
  <c r="F165" i="7"/>
  <c r="D165" i="7"/>
  <c r="E165" i="7"/>
  <c r="F104" i="7"/>
  <c r="E104" i="7"/>
  <c r="D104" i="7"/>
  <c r="F40" i="7"/>
  <c r="E40" i="7"/>
  <c r="D40" i="7"/>
  <c r="F196" i="7"/>
  <c r="E196" i="7"/>
  <c r="D196" i="7"/>
  <c r="F180" i="7"/>
  <c r="E180" i="7"/>
  <c r="D180" i="7"/>
  <c r="F164" i="7"/>
  <c r="E164" i="7"/>
  <c r="D164" i="7"/>
  <c r="F148" i="7"/>
  <c r="E148" i="7"/>
  <c r="D148" i="7"/>
  <c r="F129" i="7"/>
  <c r="D129" i="7"/>
  <c r="E129" i="7"/>
  <c r="F108" i="7"/>
  <c r="E108" i="7"/>
  <c r="D108" i="7"/>
  <c r="F87" i="7"/>
  <c r="E87" i="7"/>
  <c r="D87" i="7"/>
  <c r="F65" i="7"/>
  <c r="D65" i="7"/>
  <c r="E65" i="7"/>
  <c r="F44" i="7"/>
  <c r="E44" i="7"/>
  <c r="D44" i="7"/>
  <c r="F23" i="7"/>
  <c r="E23" i="7"/>
  <c r="D23" i="7"/>
  <c r="F199" i="7"/>
  <c r="E199" i="7"/>
  <c r="D199" i="7"/>
  <c r="F183" i="7"/>
  <c r="E183" i="7"/>
  <c r="D183" i="7"/>
  <c r="F167" i="7"/>
  <c r="E167" i="7"/>
  <c r="D167" i="7"/>
  <c r="F151" i="7"/>
  <c r="E151" i="7"/>
  <c r="D151" i="7"/>
  <c r="F133" i="7"/>
  <c r="D133" i="7"/>
  <c r="E133" i="7"/>
  <c r="F112" i="7"/>
  <c r="E112" i="7"/>
  <c r="D112" i="7"/>
  <c r="F91" i="7"/>
  <c r="E91" i="7"/>
  <c r="D91" i="7"/>
  <c r="F69" i="7"/>
  <c r="E69" i="7"/>
  <c r="D69" i="7"/>
  <c r="F48" i="7"/>
  <c r="E48" i="7"/>
  <c r="D48" i="7"/>
  <c r="F27" i="7"/>
  <c r="E27" i="7"/>
  <c r="D27" i="7"/>
  <c r="F5" i="7"/>
  <c r="E5" i="7"/>
  <c r="D5" i="7"/>
  <c r="F149" i="7"/>
  <c r="D149" i="7"/>
  <c r="E149" i="7"/>
  <c r="D93" i="7"/>
  <c r="E93" i="7"/>
  <c r="F93" i="7"/>
  <c r="D29" i="7"/>
  <c r="E29" i="7"/>
  <c r="F29" i="7"/>
  <c r="E194" i="7"/>
  <c r="F194" i="7"/>
  <c r="D194" i="7"/>
  <c r="E178" i="7"/>
  <c r="D178" i="7"/>
  <c r="F178" i="7"/>
  <c r="E162" i="7"/>
  <c r="F162" i="7"/>
  <c r="D162" i="7"/>
  <c r="E146" i="7"/>
  <c r="D146" i="7"/>
  <c r="F146" i="7"/>
  <c r="F127" i="7"/>
  <c r="D127" i="7"/>
  <c r="E127" i="7"/>
  <c r="D105" i="7"/>
  <c r="F105" i="7"/>
  <c r="E105" i="7"/>
  <c r="F84" i="7"/>
  <c r="E84" i="7"/>
  <c r="D84" i="7"/>
  <c r="F63" i="7"/>
  <c r="E63" i="7"/>
  <c r="D63" i="7"/>
  <c r="D41" i="7"/>
  <c r="F41" i="7"/>
  <c r="E41" i="7"/>
  <c r="D20" i="7"/>
  <c r="F20" i="7"/>
  <c r="E20" i="7"/>
  <c r="F138" i="7"/>
  <c r="E138" i="7"/>
  <c r="D138" i="7"/>
  <c r="F122" i="7"/>
  <c r="E122" i="7"/>
  <c r="D122" i="7"/>
  <c r="F106" i="7"/>
  <c r="E106" i="7"/>
  <c r="D106" i="7"/>
  <c r="F90" i="7"/>
  <c r="E90" i="7"/>
  <c r="D90" i="7"/>
  <c r="F74" i="7"/>
  <c r="E74" i="7"/>
  <c r="D74" i="7"/>
  <c r="F58" i="7"/>
  <c r="E58" i="7"/>
  <c r="D58" i="7"/>
  <c r="F42" i="7"/>
  <c r="E42" i="7"/>
  <c r="D42" i="7"/>
  <c r="F26" i="7"/>
  <c r="E26" i="7"/>
  <c r="D26" i="7"/>
  <c r="F10" i="7"/>
  <c r="E10" i="7"/>
  <c r="D10" i="7"/>
  <c r="F83" i="7"/>
  <c r="E83" i="7"/>
  <c r="D83" i="7"/>
  <c r="E72" i="7"/>
  <c r="F72" i="7"/>
  <c r="D72" i="7"/>
  <c r="F172" i="7"/>
  <c r="E172" i="7"/>
  <c r="D172" i="7"/>
  <c r="F140" i="7"/>
  <c r="E140" i="7"/>
  <c r="D140" i="7"/>
  <c r="F76" i="7"/>
  <c r="D76" i="7"/>
  <c r="E76" i="7"/>
  <c r="F33" i="7"/>
  <c r="D33" i="7"/>
  <c r="E33" i="7"/>
  <c r="F175" i="7"/>
  <c r="E175" i="7"/>
  <c r="D175" i="7"/>
  <c r="D123" i="7"/>
  <c r="F123" i="7"/>
  <c r="E123" i="7"/>
  <c r="F59" i="7"/>
  <c r="E59" i="7"/>
  <c r="D59" i="7"/>
  <c r="F169" i="7"/>
  <c r="D169" i="7"/>
  <c r="E169" i="7"/>
  <c r="D202" i="7"/>
  <c r="F202" i="7"/>
  <c r="E202" i="7"/>
  <c r="F170" i="7"/>
  <c r="E170" i="7"/>
  <c r="D170" i="7"/>
  <c r="F116" i="7"/>
  <c r="E116" i="7"/>
  <c r="D116" i="7"/>
  <c r="D73" i="7"/>
  <c r="E73" i="7"/>
  <c r="F73" i="7"/>
  <c r="D9" i="7"/>
  <c r="E9" i="7"/>
  <c r="F9" i="7"/>
  <c r="E98" i="7"/>
  <c r="F98" i="7"/>
  <c r="D98" i="7"/>
  <c r="E50" i="7"/>
  <c r="D50" i="7"/>
  <c r="F50" i="7"/>
  <c r="F201" i="7"/>
  <c r="D201" i="7"/>
  <c r="E201" i="7"/>
  <c r="E131" i="7"/>
  <c r="D131" i="7"/>
  <c r="F131" i="7"/>
  <c r="F197" i="7"/>
  <c r="D197" i="7"/>
  <c r="E197" i="7"/>
  <c r="E115" i="7"/>
  <c r="D115" i="7"/>
  <c r="F115" i="7"/>
  <c r="F193" i="7"/>
  <c r="D193" i="7"/>
  <c r="E193" i="7"/>
  <c r="F161" i="7"/>
  <c r="D161" i="7"/>
  <c r="E161" i="7"/>
  <c r="F99" i="7"/>
  <c r="E99" i="7"/>
  <c r="D99" i="7"/>
  <c r="F35" i="7"/>
  <c r="D35" i="7"/>
  <c r="E35" i="7"/>
  <c r="F153" i="7"/>
  <c r="D153" i="7"/>
  <c r="E153" i="7"/>
  <c r="F88" i="7"/>
  <c r="E88" i="7"/>
  <c r="D88" i="7"/>
  <c r="F24" i="7"/>
  <c r="E24" i="7"/>
  <c r="D24" i="7"/>
  <c r="F192" i="7"/>
  <c r="E192" i="7"/>
  <c r="D192" i="7"/>
  <c r="F176" i="7"/>
  <c r="E176" i="7"/>
  <c r="D176" i="7"/>
  <c r="F160" i="7"/>
  <c r="E160" i="7"/>
  <c r="D160" i="7"/>
  <c r="F144" i="7"/>
  <c r="E144" i="7"/>
  <c r="D144" i="7"/>
  <c r="F124" i="7"/>
  <c r="E124" i="7"/>
  <c r="D124" i="7"/>
  <c r="F103" i="7"/>
  <c r="E103" i="7"/>
  <c r="D103" i="7"/>
  <c r="F81" i="7"/>
  <c r="D81" i="7"/>
  <c r="E81" i="7"/>
  <c r="F60" i="7"/>
  <c r="E60" i="7"/>
  <c r="D60" i="7"/>
  <c r="F39" i="7"/>
  <c r="E39" i="7"/>
  <c r="D39" i="7"/>
  <c r="F17" i="7"/>
  <c r="D17" i="7"/>
  <c r="E17" i="7"/>
  <c r="E195" i="7"/>
  <c r="F195" i="7"/>
  <c r="D195" i="7"/>
  <c r="F179" i="7"/>
  <c r="E179" i="7"/>
  <c r="D179" i="7"/>
  <c r="E163" i="7"/>
  <c r="F163" i="7"/>
  <c r="D163" i="7"/>
  <c r="F147" i="7"/>
  <c r="E147" i="7"/>
  <c r="D147" i="7"/>
  <c r="F128" i="7"/>
  <c r="E128" i="7"/>
  <c r="D128" i="7"/>
  <c r="F107" i="7"/>
  <c r="E107" i="7"/>
  <c r="D107" i="7"/>
  <c r="F85" i="7"/>
  <c r="E85" i="7"/>
  <c r="D85" i="7"/>
  <c r="F64" i="7"/>
  <c r="E64" i="7"/>
  <c r="D64" i="7"/>
  <c r="F43" i="7"/>
  <c r="E43" i="7"/>
  <c r="D43" i="7"/>
  <c r="F21" i="7"/>
  <c r="E21" i="7"/>
  <c r="D21" i="7"/>
  <c r="F181" i="7"/>
  <c r="D181" i="7"/>
  <c r="E181" i="7"/>
  <c r="F136" i="7"/>
  <c r="E136" i="7"/>
  <c r="D136" i="7"/>
  <c r="F77" i="7"/>
  <c r="D77" i="7"/>
  <c r="E77" i="7"/>
  <c r="F19" i="7"/>
  <c r="E19" i="7"/>
  <c r="D19" i="7"/>
  <c r="F190" i="7"/>
  <c r="E190" i="7"/>
  <c r="D190" i="7"/>
  <c r="E174" i="7"/>
  <c r="F174" i="7"/>
  <c r="D174" i="7"/>
  <c r="F158" i="7"/>
  <c r="E158" i="7"/>
  <c r="D158" i="7"/>
  <c r="E142" i="7"/>
  <c r="F142" i="7"/>
  <c r="D142" i="7"/>
  <c r="F121" i="7"/>
  <c r="D121" i="7"/>
  <c r="E121" i="7"/>
  <c r="F100" i="7"/>
  <c r="E100" i="7"/>
  <c r="D100" i="7"/>
  <c r="F79" i="7"/>
  <c r="E79" i="7"/>
  <c r="D79" i="7"/>
  <c r="F57" i="7"/>
  <c r="D57" i="7"/>
  <c r="E57" i="7"/>
  <c r="F36" i="7"/>
  <c r="E36" i="7"/>
  <c r="D36" i="7"/>
  <c r="F15" i="7"/>
  <c r="E15" i="7"/>
  <c r="D15" i="7"/>
  <c r="F134" i="7"/>
  <c r="D134" i="7"/>
  <c r="E134" i="7"/>
  <c r="F118" i="7"/>
  <c r="D118" i="7"/>
  <c r="E118" i="7"/>
  <c r="F102" i="7"/>
  <c r="E102" i="7"/>
  <c r="D102" i="7"/>
  <c r="F86" i="7"/>
  <c r="E86" i="7"/>
  <c r="D86" i="7"/>
  <c r="F70" i="7"/>
  <c r="E70" i="7"/>
  <c r="D70" i="7"/>
  <c r="F54" i="7"/>
  <c r="E54" i="7"/>
  <c r="D54" i="7"/>
  <c r="F38" i="7"/>
  <c r="E38" i="7"/>
  <c r="D38" i="7"/>
  <c r="F22" i="7"/>
  <c r="E22" i="7"/>
  <c r="D22" i="7"/>
  <c r="F6" i="7"/>
  <c r="E6" i="7"/>
  <c r="D6" i="7"/>
  <c r="BN1" i="5"/>
  <c r="BM1" i="5"/>
  <c r="BL1" i="5"/>
  <c r="BK1" i="5"/>
  <c r="BJ1" i="5"/>
  <c r="G19" i="7" l="1"/>
  <c r="H19" i="7"/>
  <c r="H179" i="7"/>
  <c r="G179" i="7"/>
  <c r="H81" i="7"/>
  <c r="G81" i="7"/>
  <c r="G99" i="7"/>
  <c r="H99" i="7"/>
  <c r="H170" i="7"/>
  <c r="G170" i="7"/>
  <c r="H10" i="7"/>
  <c r="G10" i="7"/>
  <c r="H138" i="7"/>
  <c r="G138" i="7"/>
  <c r="H162" i="7"/>
  <c r="G162" i="7"/>
  <c r="H48" i="7"/>
  <c r="G48" i="7"/>
  <c r="H199" i="7"/>
  <c r="G199" i="7"/>
  <c r="G67" i="7"/>
  <c r="H67" i="7"/>
  <c r="H4" i="7"/>
  <c r="G4" i="7"/>
  <c r="H68" i="7"/>
  <c r="G68" i="7"/>
  <c r="H32" i="7"/>
  <c r="G32" i="7"/>
  <c r="G7" i="7"/>
  <c r="H7" i="7"/>
  <c r="H92" i="7"/>
  <c r="G92" i="7"/>
  <c r="H34" i="7"/>
  <c r="G34" i="7"/>
  <c r="H156" i="7"/>
  <c r="G156" i="7"/>
  <c r="H38" i="7"/>
  <c r="G38" i="7"/>
  <c r="H102" i="7"/>
  <c r="G102" i="7"/>
  <c r="H36" i="7"/>
  <c r="G36" i="7"/>
  <c r="G39" i="7"/>
  <c r="H39" i="7"/>
  <c r="G9" i="7"/>
  <c r="H9" i="7"/>
  <c r="H202" i="7"/>
  <c r="G202" i="7"/>
  <c r="H122" i="7"/>
  <c r="G122" i="7"/>
  <c r="G63" i="7"/>
  <c r="H63" i="7"/>
  <c r="H105" i="7"/>
  <c r="G105" i="7"/>
  <c r="G27" i="7"/>
  <c r="H27" i="7"/>
  <c r="H112" i="7"/>
  <c r="G112" i="7"/>
  <c r="G133" i="7"/>
  <c r="H133" i="7"/>
  <c r="G183" i="7"/>
  <c r="H183" i="7"/>
  <c r="H148" i="7"/>
  <c r="G148" i="7"/>
  <c r="H40" i="7"/>
  <c r="G40" i="7"/>
  <c r="G31" i="7"/>
  <c r="H31" i="7"/>
  <c r="H191" i="7"/>
  <c r="G191" i="7"/>
  <c r="G55" i="7"/>
  <c r="H55" i="7"/>
  <c r="H145" i="7"/>
  <c r="G145" i="7"/>
  <c r="H46" i="7"/>
  <c r="G46" i="7"/>
  <c r="H110" i="7"/>
  <c r="G110" i="7"/>
  <c r="H132" i="7"/>
  <c r="G132" i="7"/>
  <c r="H166" i="7"/>
  <c r="G166" i="7"/>
  <c r="H45" i="7"/>
  <c r="G45" i="7"/>
  <c r="G11" i="7"/>
  <c r="H11" i="7"/>
  <c r="H96" i="7"/>
  <c r="G96" i="7"/>
  <c r="G117" i="7"/>
  <c r="H117" i="7"/>
  <c r="G139" i="7"/>
  <c r="H139" i="7"/>
  <c r="G71" i="7"/>
  <c r="H71" i="7"/>
  <c r="G135" i="7"/>
  <c r="H135" i="7"/>
  <c r="H200" i="7"/>
  <c r="G200" i="7"/>
  <c r="H56" i="7"/>
  <c r="G56" i="7"/>
  <c r="H52" i="7"/>
  <c r="G52" i="7"/>
  <c r="H137" i="7"/>
  <c r="G137" i="7"/>
  <c r="H186" i="7"/>
  <c r="G186" i="7"/>
  <c r="H37" i="7"/>
  <c r="G37" i="7"/>
  <c r="H54" i="7"/>
  <c r="G54" i="7"/>
  <c r="H142" i="7"/>
  <c r="G142" i="7"/>
  <c r="H77" i="7"/>
  <c r="G77" i="7"/>
  <c r="G107" i="7"/>
  <c r="H107" i="7"/>
  <c r="H144" i="7"/>
  <c r="G144" i="7"/>
  <c r="G131" i="7"/>
  <c r="H131" i="7"/>
  <c r="H73" i="7"/>
  <c r="G73" i="7"/>
  <c r="H140" i="7"/>
  <c r="G140" i="7"/>
  <c r="H41" i="7"/>
  <c r="G41" i="7"/>
  <c r="H178" i="7"/>
  <c r="G178" i="7"/>
  <c r="H164" i="7"/>
  <c r="G164" i="7"/>
  <c r="H104" i="7"/>
  <c r="G104" i="7"/>
  <c r="H62" i="7"/>
  <c r="G62" i="7"/>
  <c r="H89" i="7"/>
  <c r="G89" i="7"/>
  <c r="H182" i="7"/>
  <c r="G182" i="7"/>
  <c r="G109" i="7"/>
  <c r="H109" i="7"/>
  <c r="H155" i="7"/>
  <c r="G155" i="7"/>
  <c r="H152" i="7"/>
  <c r="G152" i="7"/>
  <c r="H101" i="7"/>
  <c r="G101" i="7"/>
  <c r="H118" i="7"/>
  <c r="G118" i="7"/>
  <c r="H57" i="7"/>
  <c r="G57" i="7"/>
  <c r="H190" i="7"/>
  <c r="G190" i="7"/>
  <c r="H85" i="7"/>
  <c r="G85" i="7"/>
  <c r="H163" i="7"/>
  <c r="G163" i="7"/>
  <c r="H124" i="7"/>
  <c r="G124" i="7"/>
  <c r="H192" i="7"/>
  <c r="G192" i="7"/>
  <c r="H197" i="7"/>
  <c r="G197" i="7"/>
  <c r="H116" i="7"/>
  <c r="G116" i="7"/>
  <c r="G59" i="7"/>
  <c r="H59" i="7"/>
  <c r="G83" i="7"/>
  <c r="H83" i="7"/>
  <c r="H58" i="7"/>
  <c r="G58" i="7"/>
  <c r="H20" i="7"/>
  <c r="G20" i="7"/>
  <c r="H22" i="7"/>
  <c r="G22" i="7"/>
  <c r="H86" i="7"/>
  <c r="G86" i="7"/>
  <c r="G15" i="7"/>
  <c r="H15" i="7"/>
  <c r="H100" i="7"/>
  <c r="G100" i="7"/>
  <c r="G121" i="7"/>
  <c r="H121" i="7"/>
  <c r="H174" i="7"/>
  <c r="G174" i="7"/>
  <c r="H136" i="7"/>
  <c r="G136" i="7"/>
  <c r="H181" i="7"/>
  <c r="G181" i="7"/>
  <c r="H64" i="7"/>
  <c r="G64" i="7"/>
  <c r="H147" i="7"/>
  <c r="G147" i="7"/>
  <c r="G103" i="7"/>
  <c r="H103" i="7"/>
  <c r="H176" i="7"/>
  <c r="G176" i="7"/>
  <c r="G35" i="7"/>
  <c r="H35" i="7"/>
  <c r="G115" i="7"/>
  <c r="H115" i="7"/>
  <c r="H50" i="7"/>
  <c r="G50" i="7"/>
  <c r="G123" i="7"/>
  <c r="H123" i="7"/>
  <c r="H76" i="7"/>
  <c r="G76" i="7"/>
  <c r="H72" i="7"/>
  <c r="G72" i="7"/>
  <c r="H42" i="7"/>
  <c r="G42" i="7"/>
  <c r="H106" i="7"/>
  <c r="G106" i="7"/>
  <c r="H146" i="7"/>
  <c r="G146" i="7"/>
  <c r="H194" i="7"/>
  <c r="G194" i="7"/>
  <c r="H93" i="7"/>
  <c r="G93" i="7"/>
  <c r="G5" i="7"/>
  <c r="H5" i="7"/>
  <c r="G91" i="7"/>
  <c r="H91" i="7"/>
  <c r="H167" i="7"/>
  <c r="G167" i="7"/>
  <c r="H44" i="7"/>
  <c r="G44" i="7"/>
  <c r="H65" i="7"/>
  <c r="G65" i="7"/>
  <c r="H196" i="7"/>
  <c r="G196" i="7"/>
  <c r="G51" i="7"/>
  <c r="H51" i="7"/>
  <c r="H177" i="7"/>
  <c r="G177" i="7"/>
  <c r="H66" i="7"/>
  <c r="G66" i="7"/>
  <c r="H114" i="7"/>
  <c r="G114" i="7"/>
  <c r="H154" i="7"/>
  <c r="G154" i="7"/>
  <c r="H188" i="7"/>
  <c r="G188" i="7"/>
  <c r="G141" i="7"/>
  <c r="H141" i="7"/>
  <c r="G47" i="7"/>
  <c r="H47" i="7"/>
  <c r="G111" i="7"/>
  <c r="H111" i="7"/>
  <c r="H150" i="7"/>
  <c r="G150" i="7"/>
  <c r="G75" i="7"/>
  <c r="H75" i="7"/>
  <c r="H187" i="7"/>
  <c r="G187" i="7"/>
  <c r="H49" i="7"/>
  <c r="G49" i="7"/>
  <c r="H184" i="7"/>
  <c r="G184" i="7"/>
  <c r="G185" i="7"/>
  <c r="H185" i="7"/>
  <c r="H97" i="7"/>
  <c r="G97" i="7"/>
  <c r="H189" i="7"/>
  <c r="G189" i="7"/>
  <c r="H134" i="7"/>
  <c r="G134" i="7"/>
  <c r="G21" i="7"/>
  <c r="H21" i="7"/>
  <c r="H60" i="7"/>
  <c r="G60" i="7"/>
  <c r="H24" i="7"/>
  <c r="G24" i="7"/>
  <c r="G161" i="7"/>
  <c r="H161" i="7"/>
  <c r="H98" i="7"/>
  <c r="G98" i="7"/>
  <c r="H74" i="7"/>
  <c r="G74" i="7"/>
  <c r="H84" i="7"/>
  <c r="G84" i="7"/>
  <c r="H149" i="7"/>
  <c r="G149" i="7"/>
  <c r="G87" i="7"/>
  <c r="H87" i="7"/>
  <c r="H165" i="7"/>
  <c r="G165" i="7"/>
  <c r="H16" i="7"/>
  <c r="G16" i="7"/>
  <c r="H126" i="7"/>
  <c r="G126" i="7"/>
  <c r="H6" i="7"/>
  <c r="G6" i="7"/>
  <c r="H70" i="7"/>
  <c r="G70" i="7"/>
  <c r="G79" i="7"/>
  <c r="H79" i="7"/>
  <c r="H158" i="7"/>
  <c r="G158" i="7"/>
  <c r="G43" i="7"/>
  <c r="H43" i="7"/>
  <c r="H128" i="7"/>
  <c r="G128" i="7"/>
  <c r="H195" i="7"/>
  <c r="G195" i="7"/>
  <c r="G17" i="7"/>
  <c r="H17" i="7"/>
  <c r="H160" i="7"/>
  <c r="G160" i="7"/>
  <c r="H88" i="7"/>
  <c r="G88" i="7"/>
  <c r="H153" i="7"/>
  <c r="G153" i="7"/>
  <c r="G193" i="7"/>
  <c r="H193" i="7"/>
  <c r="H201" i="7"/>
  <c r="G201" i="7"/>
  <c r="H169" i="7"/>
  <c r="G169" i="7"/>
  <c r="H175" i="7"/>
  <c r="G175" i="7"/>
  <c r="H33" i="7"/>
  <c r="G33" i="7"/>
  <c r="H172" i="7"/>
  <c r="G172" i="7"/>
  <c r="H26" i="7"/>
  <c r="G26" i="7"/>
  <c r="H90" i="7"/>
  <c r="G90" i="7"/>
  <c r="G127" i="7"/>
  <c r="H127" i="7"/>
  <c r="G29" i="7"/>
  <c r="H29" i="7"/>
  <c r="H69" i="7"/>
  <c r="G69" i="7"/>
  <c r="G151" i="7"/>
  <c r="H151" i="7"/>
  <c r="G23" i="7"/>
  <c r="H23" i="7"/>
  <c r="H108" i="7"/>
  <c r="G108" i="7"/>
  <c r="H129" i="7"/>
  <c r="G129" i="7"/>
  <c r="H180" i="7"/>
  <c r="G180" i="7"/>
  <c r="H18" i="7"/>
  <c r="G18" i="7"/>
  <c r="G95" i="7"/>
  <c r="H95" i="7"/>
  <c r="H61" i="7"/>
  <c r="G61" i="7"/>
  <c r="H80" i="7"/>
  <c r="G80" i="7"/>
  <c r="G143" i="7"/>
  <c r="H143" i="7"/>
  <c r="G119" i="7"/>
  <c r="H119" i="7"/>
  <c r="H14" i="7"/>
  <c r="G14" i="7"/>
  <c r="H30" i="7"/>
  <c r="G30" i="7"/>
  <c r="H78" i="7"/>
  <c r="G78" i="7"/>
  <c r="H94" i="7"/>
  <c r="G94" i="7"/>
  <c r="G25" i="7"/>
  <c r="H25" i="7"/>
  <c r="H198" i="7"/>
  <c r="G198" i="7"/>
  <c r="H157" i="7"/>
  <c r="G157" i="7"/>
  <c r="H53" i="7"/>
  <c r="G53" i="7"/>
  <c r="H171" i="7"/>
  <c r="G171" i="7"/>
  <c r="H28" i="7"/>
  <c r="G28" i="7"/>
  <c r="H113" i="7"/>
  <c r="G113" i="7"/>
  <c r="H168" i="7"/>
  <c r="G168" i="7"/>
  <c r="H120" i="7"/>
  <c r="G120" i="7"/>
  <c r="G173" i="7"/>
  <c r="H173" i="7"/>
  <c r="H82" i="7"/>
  <c r="G82" i="7"/>
  <c r="H130" i="7"/>
  <c r="G130" i="7"/>
  <c r="G125" i="7"/>
  <c r="H125" i="7"/>
  <c r="H159" i="7"/>
  <c r="G159" i="7"/>
  <c r="H12" i="7"/>
  <c r="G12" i="7"/>
  <c r="H8" i="7"/>
  <c r="G8" i="7"/>
  <c r="G13" i="7"/>
  <c r="H13" i="7"/>
  <c r="AA1" i="7"/>
  <c r="Z1" i="7"/>
  <c r="Y1" i="7"/>
  <c r="X1" i="7"/>
  <c r="W1" i="7" l="1"/>
  <c r="Y1" i="2"/>
  <c r="AE1" i="7" s="1"/>
  <c r="Q1" i="2"/>
  <c r="I1" i="2"/>
  <c r="A1" i="2"/>
  <c r="Y4" i="2"/>
  <c r="AE4" i="7" s="1"/>
  <c r="Y5" i="2"/>
  <c r="AE5" i="7" s="1"/>
  <c r="Y6" i="2"/>
  <c r="AE6" i="7" s="1"/>
  <c r="Y7" i="2"/>
  <c r="AE7" i="7" s="1"/>
  <c r="Y8" i="2"/>
  <c r="AE8" i="7" s="1"/>
  <c r="Y9" i="2"/>
  <c r="AE9" i="7" s="1"/>
  <c r="Y10" i="2"/>
  <c r="AE10" i="7" s="1"/>
  <c r="Y11" i="2"/>
  <c r="AE11" i="7" s="1"/>
  <c r="Y12" i="2"/>
  <c r="AE12" i="7" s="1"/>
  <c r="Y13" i="2"/>
  <c r="AE13" i="7" s="1"/>
  <c r="Y14" i="2"/>
  <c r="AE14" i="7" s="1"/>
  <c r="Y15" i="2"/>
  <c r="AE15" i="7" s="1"/>
  <c r="Y16" i="2"/>
  <c r="AE16" i="7" s="1"/>
  <c r="Y17" i="2"/>
  <c r="AE17" i="7" s="1"/>
  <c r="Y18" i="2"/>
  <c r="AE18" i="7" s="1"/>
  <c r="Y19" i="2"/>
  <c r="AE19" i="7" s="1"/>
  <c r="Y20" i="2"/>
  <c r="AE20" i="7" s="1"/>
  <c r="Y21" i="2"/>
  <c r="AE21" i="7" s="1"/>
  <c r="Y22" i="2"/>
  <c r="AE22" i="7" s="1"/>
  <c r="Y23" i="2"/>
  <c r="AE23" i="7" s="1"/>
  <c r="Y24" i="2"/>
  <c r="AE24" i="7" s="1"/>
  <c r="Y25" i="2"/>
  <c r="AE25" i="7" s="1"/>
  <c r="Y26" i="2"/>
  <c r="AE26" i="7" s="1"/>
  <c r="Y27" i="2"/>
  <c r="AE27" i="7" s="1"/>
  <c r="Y28" i="2"/>
  <c r="AE28" i="7" s="1"/>
  <c r="Y29" i="2"/>
  <c r="AE29" i="7" s="1"/>
  <c r="Y30" i="2"/>
  <c r="AE30" i="7" s="1"/>
  <c r="Y31" i="2"/>
  <c r="AE31" i="7" s="1"/>
  <c r="Y32" i="2"/>
  <c r="AE32" i="7" s="1"/>
  <c r="Y33" i="2"/>
  <c r="AE33" i="7" s="1"/>
  <c r="Y34" i="2"/>
  <c r="AE34" i="7" s="1"/>
  <c r="Y35" i="2"/>
  <c r="AE35" i="7" s="1"/>
  <c r="Y36" i="2"/>
  <c r="AE36" i="7" s="1"/>
  <c r="Y37" i="2"/>
  <c r="AE37" i="7" s="1"/>
  <c r="Y38" i="2"/>
  <c r="AE38" i="7" s="1"/>
  <c r="Y39" i="2"/>
  <c r="AE39" i="7" s="1"/>
  <c r="Y40" i="2"/>
  <c r="AE40" i="7" s="1"/>
  <c r="Y41" i="2"/>
  <c r="AE41" i="7" s="1"/>
  <c r="Y42" i="2"/>
  <c r="AE42" i="7" s="1"/>
  <c r="Y43" i="2"/>
  <c r="AE43" i="7" s="1"/>
  <c r="Y44" i="2"/>
  <c r="AE44" i="7" s="1"/>
  <c r="Y45" i="2"/>
  <c r="AE45" i="7" s="1"/>
  <c r="Y46" i="2"/>
  <c r="AE46" i="7" s="1"/>
  <c r="Y47" i="2"/>
  <c r="AE47" i="7" s="1"/>
  <c r="Y48" i="2"/>
  <c r="AE48" i="7" s="1"/>
  <c r="Y49" i="2"/>
  <c r="AE49" i="7" s="1"/>
  <c r="Y50" i="2"/>
  <c r="AE50" i="7" s="1"/>
  <c r="Y51" i="2"/>
  <c r="AE51" i="7" s="1"/>
  <c r="Y52" i="2"/>
  <c r="AE52" i="7" s="1"/>
  <c r="Y53" i="2"/>
  <c r="AE53" i="7" s="1"/>
  <c r="Y54" i="2"/>
  <c r="AE54" i="7" s="1"/>
  <c r="Y55" i="2"/>
  <c r="AE55" i="7" s="1"/>
  <c r="Y56" i="2"/>
  <c r="AE56" i="7" s="1"/>
  <c r="Y57" i="2"/>
  <c r="AE57" i="7" s="1"/>
  <c r="Y58" i="2"/>
  <c r="AE58" i="7" s="1"/>
  <c r="Y59" i="2"/>
  <c r="AE59" i="7" s="1"/>
  <c r="Y60" i="2"/>
  <c r="AE60" i="7" s="1"/>
  <c r="Y61" i="2"/>
  <c r="AE61" i="7" s="1"/>
  <c r="Y62" i="2"/>
  <c r="AE62" i="7" s="1"/>
  <c r="Y63" i="2"/>
  <c r="AE63" i="7" s="1"/>
  <c r="Y64" i="2"/>
  <c r="AE64" i="7" s="1"/>
  <c r="Y65" i="2"/>
  <c r="AE65" i="7" s="1"/>
  <c r="Y66" i="2"/>
  <c r="AE66" i="7" s="1"/>
  <c r="Y67" i="2"/>
  <c r="AE67" i="7" s="1"/>
  <c r="Y68" i="2"/>
  <c r="AE68" i="7" s="1"/>
  <c r="Y69" i="2"/>
  <c r="AE69" i="7" s="1"/>
  <c r="Y70" i="2"/>
  <c r="AE70" i="7" s="1"/>
  <c r="Y71" i="2"/>
  <c r="AE71" i="7" s="1"/>
  <c r="Y72" i="2"/>
  <c r="AE72" i="7" s="1"/>
  <c r="Y73" i="2"/>
  <c r="AE73" i="7" s="1"/>
  <c r="Y74" i="2"/>
  <c r="AE74" i="7" s="1"/>
  <c r="Y75" i="2"/>
  <c r="AE75" i="7" s="1"/>
  <c r="Y76" i="2"/>
  <c r="AE76" i="7" s="1"/>
  <c r="Y77" i="2"/>
  <c r="AE77" i="7" s="1"/>
  <c r="Y78" i="2"/>
  <c r="AE78" i="7" s="1"/>
  <c r="Y79" i="2"/>
  <c r="AE79" i="7" s="1"/>
  <c r="Y80" i="2"/>
  <c r="AE80" i="7" s="1"/>
  <c r="Y81" i="2"/>
  <c r="AE81" i="7" s="1"/>
  <c r="Y82" i="2"/>
  <c r="AE82" i="7" s="1"/>
  <c r="Y83" i="2"/>
  <c r="AE83" i="7" s="1"/>
  <c r="Y84" i="2"/>
  <c r="AE84" i="7" s="1"/>
  <c r="Y85" i="2"/>
  <c r="AE85" i="7" s="1"/>
  <c r="Y86" i="2"/>
  <c r="AE86" i="7" s="1"/>
  <c r="Y87" i="2"/>
  <c r="AE87" i="7" s="1"/>
  <c r="Y88" i="2"/>
  <c r="AE88" i="7" s="1"/>
  <c r="Y89" i="2"/>
  <c r="AE89" i="7" s="1"/>
  <c r="Y90" i="2"/>
  <c r="AE90" i="7" s="1"/>
  <c r="Y91" i="2"/>
  <c r="AE91" i="7" s="1"/>
  <c r="Y92" i="2"/>
  <c r="AE92" i="7" s="1"/>
  <c r="Y93" i="2"/>
  <c r="AE93" i="7" s="1"/>
  <c r="Y94" i="2"/>
  <c r="AE94" i="7" s="1"/>
  <c r="Y95" i="2"/>
  <c r="AE95" i="7" s="1"/>
  <c r="Y96" i="2"/>
  <c r="AE96" i="7" s="1"/>
  <c r="Y97" i="2"/>
  <c r="AE97" i="7" s="1"/>
  <c r="Y98" i="2"/>
  <c r="AE98" i="7" s="1"/>
  <c r="Y99" i="2"/>
  <c r="AE99" i="7" s="1"/>
  <c r="Y100" i="2"/>
  <c r="AE100" i="7" s="1"/>
  <c r="Y101" i="2"/>
  <c r="AE101" i="7" s="1"/>
  <c r="Y102" i="2"/>
  <c r="AE102" i="7" s="1"/>
  <c r="Y103" i="2"/>
  <c r="AE103" i="7" s="1"/>
  <c r="Y104" i="2"/>
  <c r="AE104" i="7" s="1"/>
  <c r="Y105" i="2"/>
  <c r="AE105" i="7" s="1"/>
  <c r="Y106" i="2"/>
  <c r="AE106" i="7" s="1"/>
  <c r="Y107" i="2"/>
  <c r="AE107" i="7" s="1"/>
  <c r="Y108" i="2"/>
  <c r="AE108" i="7" s="1"/>
  <c r="Y109" i="2"/>
  <c r="AE109" i="7" s="1"/>
  <c r="Y110" i="2"/>
  <c r="AE110" i="7" s="1"/>
  <c r="Y111" i="2"/>
  <c r="AE111" i="7" s="1"/>
  <c r="Y112" i="2"/>
  <c r="AE112" i="7" s="1"/>
  <c r="Y113" i="2"/>
  <c r="AE113" i="7" s="1"/>
  <c r="Y114" i="2"/>
  <c r="AE114" i="7" s="1"/>
  <c r="Y115" i="2"/>
  <c r="AE115" i="7" s="1"/>
  <c r="Y116" i="2"/>
  <c r="AE116" i="7" s="1"/>
  <c r="Y117" i="2"/>
  <c r="AE117" i="7" s="1"/>
  <c r="Y118" i="2"/>
  <c r="AE118" i="7" s="1"/>
  <c r="Y119" i="2"/>
  <c r="AE119" i="7" s="1"/>
  <c r="Y120" i="2"/>
  <c r="AE120" i="7" s="1"/>
  <c r="Y121" i="2"/>
  <c r="AE121" i="7" s="1"/>
  <c r="Y122" i="2"/>
  <c r="AE122" i="7" s="1"/>
  <c r="Y123" i="2"/>
  <c r="AE123" i="7" s="1"/>
  <c r="Y124" i="2"/>
  <c r="AE124" i="7" s="1"/>
  <c r="Y125" i="2"/>
  <c r="AE125" i="7" s="1"/>
  <c r="Y126" i="2"/>
  <c r="AE126" i="7" s="1"/>
  <c r="Y127" i="2"/>
  <c r="AE127" i="7" s="1"/>
  <c r="Y128" i="2"/>
  <c r="AE128" i="7" s="1"/>
  <c r="Y129" i="2"/>
  <c r="AE129" i="7" s="1"/>
  <c r="Y130" i="2"/>
  <c r="AE130" i="7" s="1"/>
  <c r="Y131" i="2"/>
  <c r="AE131" i="7" s="1"/>
  <c r="Y132" i="2"/>
  <c r="AE132" i="7" s="1"/>
  <c r="Y133" i="2"/>
  <c r="AE133" i="7" s="1"/>
  <c r="Y134" i="2"/>
  <c r="AE134" i="7" s="1"/>
  <c r="Y135" i="2"/>
  <c r="AE135" i="7" s="1"/>
  <c r="Y136" i="2"/>
  <c r="AE136" i="7" s="1"/>
  <c r="Y137" i="2"/>
  <c r="AE137" i="7" s="1"/>
  <c r="Y138" i="2"/>
  <c r="AE138" i="7" s="1"/>
  <c r="Y139" i="2"/>
  <c r="AE139" i="7" s="1"/>
  <c r="Y140" i="2"/>
  <c r="AE140" i="7" s="1"/>
  <c r="Y141" i="2"/>
  <c r="AE141" i="7" s="1"/>
  <c r="Y142" i="2"/>
  <c r="AE142" i="7" s="1"/>
  <c r="Y143" i="2"/>
  <c r="AE143" i="7" s="1"/>
  <c r="Y144" i="2"/>
  <c r="AE144" i="7" s="1"/>
  <c r="Y145" i="2"/>
  <c r="AE145" i="7" s="1"/>
  <c r="Y146" i="2"/>
  <c r="AE146" i="7" s="1"/>
  <c r="Y147" i="2"/>
  <c r="AE147" i="7" s="1"/>
  <c r="Y148" i="2"/>
  <c r="AE148" i="7" s="1"/>
  <c r="Y149" i="2"/>
  <c r="AE149" i="7" s="1"/>
  <c r="Y150" i="2"/>
  <c r="AE150" i="7" s="1"/>
  <c r="Y151" i="2"/>
  <c r="AE151" i="7" s="1"/>
  <c r="Y152" i="2"/>
  <c r="AE152" i="7" s="1"/>
  <c r="Y153" i="2"/>
  <c r="AE153" i="7" s="1"/>
  <c r="Y154" i="2"/>
  <c r="AE154" i="7" s="1"/>
  <c r="Y155" i="2"/>
  <c r="AE155" i="7" s="1"/>
  <c r="Y156" i="2"/>
  <c r="AE156" i="7" s="1"/>
  <c r="Y157" i="2"/>
  <c r="AE157" i="7" s="1"/>
  <c r="Y158" i="2"/>
  <c r="AE158" i="7" s="1"/>
  <c r="Y159" i="2"/>
  <c r="AE159" i="7" s="1"/>
  <c r="Y160" i="2"/>
  <c r="AE160" i="7" s="1"/>
  <c r="Y161" i="2"/>
  <c r="AE161" i="7" s="1"/>
  <c r="Y162" i="2"/>
  <c r="AE162" i="7" s="1"/>
  <c r="Y163" i="2"/>
  <c r="AE163" i="7" s="1"/>
  <c r="Y164" i="2"/>
  <c r="AE164" i="7" s="1"/>
  <c r="Y165" i="2"/>
  <c r="AE165" i="7" s="1"/>
  <c r="Y166" i="2"/>
  <c r="AE166" i="7" s="1"/>
  <c r="Y167" i="2"/>
  <c r="AE167" i="7" s="1"/>
  <c r="Y168" i="2"/>
  <c r="AE168" i="7" s="1"/>
  <c r="Y169" i="2"/>
  <c r="AE169" i="7" s="1"/>
  <c r="Y170" i="2"/>
  <c r="AE170" i="7" s="1"/>
  <c r="Y171" i="2"/>
  <c r="AE171" i="7" s="1"/>
  <c r="Y172" i="2"/>
  <c r="AE172" i="7" s="1"/>
  <c r="Y173" i="2"/>
  <c r="AE173" i="7" s="1"/>
  <c r="Y174" i="2"/>
  <c r="AE174" i="7" s="1"/>
  <c r="Y175" i="2"/>
  <c r="AE175" i="7" s="1"/>
  <c r="Y176" i="2"/>
  <c r="AE176" i="7" s="1"/>
  <c r="Y177" i="2"/>
  <c r="AE177" i="7" s="1"/>
  <c r="Y178" i="2"/>
  <c r="AE178" i="7" s="1"/>
  <c r="Y179" i="2"/>
  <c r="AE179" i="7" s="1"/>
  <c r="Y180" i="2"/>
  <c r="AE180" i="7" s="1"/>
  <c r="Y181" i="2"/>
  <c r="AE181" i="7" s="1"/>
  <c r="Y182" i="2"/>
  <c r="AE182" i="7" s="1"/>
  <c r="Y183" i="2"/>
  <c r="AE183" i="7" s="1"/>
  <c r="Y184" i="2"/>
  <c r="AE184" i="7" s="1"/>
  <c r="Y185" i="2"/>
  <c r="AE185" i="7" s="1"/>
  <c r="Y186" i="2"/>
  <c r="AE186" i="7" s="1"/>
  <c r="Y187" i="2"/>
  <c r="AE187" i="7" s="1"/>
  <c r="Y188" i="2"/>
  <c r="AE188" i="7" s="1"/>
  <c r="Y189" i="2"/>
  <c r="AE189" i="7" s="1"/>
  <c r="Y190" i="2"/>
  <c r="AE190" i="7" s="1"/>
  <c r="Y191" i="2"/>
  <c r="AE191" i="7" s="1"/>
  <c r="Y192" i="2"/>
  <c r="AE192" i="7" s="1"/>
  <c r="Y193" i="2"/>
  <c r="AE193" i="7" s="1"/>
  <c r="Y194" i="2"/>
  <c r="AE194" i="7" s="1"/>
  <c r="Y195" i="2"/>
  <c r="AE195" i="7" s="1"/>
  <c r="Y196" i="2"/>
  <c r="AE196" i="7" s="1"/>
  <c r="Y197" i="2"/>
  <c r="AE197" i="7" s="1"/>
  <c r="Y198" i="2"/>
  <c r="AE198" i="7" s="1"/>
  <c r="Y199" i="2"/>
  <c r="AE199" i="7" s="1"/>
  <c r="Y200" i="2"/>
  <c r="AE200" i="7" s="1"/>
  <c r="Y201" i="2"/>
  <c r="AE201" i="7" s="1"/>
  <c r="Y202" i="2"/>
  <c r="AE202" i="7" s="1"/>
  <c r="Y3" i="2"/>
  <c r="AE3" i="7" s="1"/>
  <c r="Q4" i="2"/>
  <c r="Q5" i="2"/>
  <c r="U5" i="7" s="1"/>
  <c r="Q6" i="2"/>
  <c r="Q7" i="2"/>
  <c r="U7" i="7" s="1"/>
  <c r="Q8" i="2"/>
  <c r="Q9" i="2"/>
  <c r="Q10" i="2"/>
  <c r="Q11" i="2"/>
  <c r="U11" i="7" s="1"/>
  <c r="V11" i="7" s="1"/>
  <c r="Q12" i="2"/>
  <c r="Q13" i="2"/>
  <c r="Q14" i="2"/>
  <c r="U14" i="7" s="1"/>
  <c r="Q15" i="2"/>
  <c r="U15" i="7" s="1"/>
  <c r="V15" i="7" s="1"/>
  <c r="Q16" i="2"/>
  <c r="Q17" i="2"/>
  <c r="Q18" i="2"/>
  <c r="U18" i="7" s="1"/>
  <c r="Q19" i="2"/>
  <c r="U19" i="7" s="1"/>
  <c r="V19" i="7" s="1"/>
  <c r="Q20" i="2"/>
  <c r="Q21" i="2"/>
  <c r="U21" i="7" s="1"/>
  <c r="Q22" i="2"/>
  <c r="Q23" i="2"/>
  <c r="U23" i="7" s="1"/>
  <c r="V23" i="7" s="1"/>
  <c r="Q24" i="2"/>
  <c r="Q25" i="2"/>
  <c r="Q26" i="2"/>
  <c r="Q27" i="2"/>
  <c r="U27" i="7" s="1"/>
  <c r="V27" i="7" s="1"/>
  <c r="Q28" i="2"/>
  <c r="Q29" i="2"/>
  <c r="Q30" i="2"/>
  <c r="U30" i="7" s="1"/>
  <c r="V30" i="7" s="1"/>
  <c r="Q31" i="2"/>
  <c r="U31" i="7" s="1"/>
  <c r="Q32" i="2"/>
  <c r="Q33" i="2"/>
  <c r="U33" i="7" s="1"/>
  <c r="Q34" i="2"/>
  <c r="U34" i="7" s="1"/>
  <c r="Q35" i="2"/>
  <c r="U35" i="7" s="1"/>
  <c r="V35" i="7" s="1"/>
  <c r="Q36" i="2"/>
  <c r="Q37" i="2"/>
  <c r="Q38" i="2"/>
  <c r="Q39" i="2"/>
  <c r="U39" i="7" s="1"/>
  <c r="Q40" i="2"/>
  <c r="Q41" i="2"/>
  <c r="Q42" i="2"/>
  <c r="Q43" i="2"/>
  <c r="U43" i="7" s="1"/>
  <c r="V43" i="7" s="1"/>
  <c r="Q44" i="2"/>
  <c r="Q45" i="2"/>
  <c r="Q46" i="2"/>
  <c r="U46" i="7" s="1"/>
  <c r="Q47" i="2"/>
  <c r="U47" i="7" s="1"/>
  <c r="V47" i="7" s="1"/>
  <c r="Q48" i="2"/>
  <c r="Q49" i="2"/>
  <c r="Q50" i="2"/>
  <c r="U50" i="7" s="1"/>
  <c r="V50" i="7" s="1"/>
  <c r="Q51" i="2"/>
  <c r="U51" i="7" s="1"/>
  <c r="Q52" i="2"/>
  <c r="Q53" i="2"/>
  <c r="U53" i="7" s="1"/>
  <c r="Q54" i="2"/>
  <c r="Q55" i="2"/>
  <c r="U55" i="7" s="1"/>
  <c r="V55" i="7" s="1"/>
  <c r="Q56" i="2"/>
  <c r="Q57" i="2"/>
  <c r="Q58" i="2"/>
  <c r="Q59" i="2"/>
  <c r="U59" i="7" s="1"/>
  <c r="V59" i="7" s="1"/>
  <c r="Q60" i="2"/>
  <c r="Q61" i="2"/>
  <c r="Q62" i="2"/>
  <c r="U62" i="7" s="1"/>
  <c r="V62" i="7" s="1"/>
  <c r="Q63" i="2"/>
  <c r="U63" i="7" s="1"/>
  <c r="Q64" i="2"/>
  <c r="Q65" i="2"/>
  <c r="Q66" i="2"/>
  <c r="U66" i="7" s="1"/>
  <c r="V66" i="7" s="1"/>
  <c r="Q67" i="2"/>
  <c r="U67" i="7" s="1"/>
  <c r="Q68" i="2"/>
  <c r="Q69" i="2"/>
  <c r="U69" i="7" s="1"/>
  <c r="Q70" i="2"/>
  <c r="Q71" i="2"/>
  <c r="U71" i="7" s="1"/>
  <c r="Q72" i="2"/>
  <c r="Q73" i="2"/>
  <c r="Q74" i="2"/>
  <c r="Q75" i="2"/>
  <c r="Q76" i="2"/>
  <c r="Q77" i="2"/>
  <c r="Q78" i="2"/>
  <c r="U78" i="7" s="1"/>
  <c r="Q79" i="2"/>
  <c r="U79" i="7" s="1"/>
  <c r="V79" i="7" s="1"/>
  <c r="Q80" i="2"/>
  <c r="Q81" i="2"/>
  <c r="Q82" i="2"/>
  <c r="U82" i="7" s="1"/>
  <c r="Q83" i="2"/>
  <c r="U83" i="7" s="1"/>
  <c r="Q84" i="2"/>
  <c r="Q85" i="2"/>
  <c r="U85" i="7" s="1"/>
  <c r="Q86" i="2"/>
  <c r="Q87" i="2"/>
  <c r="U87" i="7" s="1"/>
  <c r="V87" i="7" s="1"/>
  <c r="Q88" i="2"/>
  <c r="Q89" i="2"/>
  <c r="Q90" i="2"/>
  <c r="Q91" i="2"/>
  <c r="U91" i="7" s="1"/>
  <c r="V91" i="7" s="1"/>
  <c r="Q92" i="2"/>
  <c r="Q93" i="2"/>
  <c r="Q94" i="2"/>
  <c r="U94" i="7" s="1"/>
  <c r="V94" i="7" s="1"/>
  <c r="Q95" i="2"/>
  <c r="U95" i="7" s="1"/>
  <c r="Q96" i="2"/>
  <c r="Q97" i="2"/>
  <c r="Q98" i="2"/>
  <c r="U98" i="7" s="1"/>
  <c r="V98" i="7" s="1"/>
  <c r="Q99" i="2"/>
  <c r="U99" i="7" s="1"/>
  <c r="V99" i="7" s="1"/>
  <c r="Q100" i="2"/>
  <c r="Q101" i="2"/>
  <c r="U101" i="7" s="1"/>
  <c r="Q102" i="2"/>
  <c r="Q103" i="2"/>
  <c r="U103" i="7" s="1"/>
  <c r="Q104" i="2"/>
  <c r="Q105" i="2"/>
  <c r="Q106" i="2"/>
  <c r="Q107" i="2"/>
  <c r="U107" i="7" s="1"/>
  <c r="Q108" i="2"/>
  <c r="Q109" i="2"/>
  <c r="Q110" i="2"/>
  <c r="U110" i="7" s="1"/>
  <c r="Q111" i="2"/>
  <c r="U111" i="7" s="1"/>
  <c r="V111" i="7" s="1"/>
  <c r="Q112" i="2"/>
  <c r="Q113" i="2"/>
  <c r="Q114" i="2"/>
  <c r="U114" i="7" s="1"/>
  <c r="V114" i="7" s="1"/>
  <c r="Q115" i="2"/>
  <c r="U115" i="7" s="1"/>
  <c r="Q116" i="2"/>
  <c r="Q117" i="2"/>
  <c r="U117" i="7" s="1"/>
  <c r="Q118" i="2"/>
  <c r="Q119" i="2"/>
  <c r="U119" i="7" s="1"/>
  <c r="V119" i="7" s="1"/>
  <c r="Q120" i="2"/>
  <c r="Q121" i="2"/>
  <c r="Q122" i="2"/>
  <c r="Q123" i="2"/>
  <c r="U123" i="7" s="1"/>
  <c r="V123" i="7" s="1"/>
  <c r="Q124" i="2"/>
  <c r="Q125" i="2"/>
  <c r="Q126" i="2"/>
  <c r="U126" i="7" s="1"/>
  <c r="V126" i="7" s="1"/>
  <c r="Q127" i="2"/>
  <c r="U127" i="7" s="1"/>
  <c r="Q128" i="2"/>
  <c r="Q129" i="2"/>
  <c r="Q130" i="2"/>
  <c r="U130" i="7" s="1"/>
  <c r="V130" i="7" s="1"/>
  <c r="Q131" i="2"/>
  <c r="U131" i="7" s="1"/>
  <c r="V131" i="7" s="1"/>
  <c r="Q132" i="2"/>
  <c r="Q133" i="2"/>
  <c r="U133" i="7" s="1"/>
  <c r="Q134" i="2"/>
  <c r="Q135" i="2"/>
  <c r="U135" i="7" s="1"/>
  <c r="Q136" i="2"/>
  <c r="Q137" i="2"/>
  <c r="Q138" i="2"/>
  <c r="Q139" i="2"/>
  <c r="U139" i="7" s="1"/>
  <c r="Q140" i="2"/>
  <c r="Q141" i="2"/>
  <c r="Q142" i="2"/>
  <c r="U142" i="7" s="1"/>
  <c r="Q143" i="2"/>
  <c r="U143" i="7" s="1"/>
  <c r="V143" i="7" s="1"/>
  <c r="Q144" i="2"/>
  <c r="Q145" i="2"/>
  <c r="Q146" i="2"/>
  <c r="U146" i="7" s="1"/>
  <c r="V146" i="7" s="1"/>
  <c r="Q147" i="2"/>
  <c r="U147" i="7" s="1"/>
  <c r="V147" i="7" s="1"/>
  <c r="Q148" i="2"/>
  <c r="Q149" i="2"/>
  <c r="U149" i="7" s="1"/>
  <c r="Q150" i="2"/>
  <c r="Q151" i="2"/>
  <c r="U151" i="7" s="1"/>
  <c r="V151" i="7" s="1"/>
  <c r="Q152" i="2"/>
  <c r="Q153" i="2"/>
  <c r="Q154" i="2"/>
  <c r="Q155" i="2"/>
  <c r="U155" i="7" s="1"/>
  <c r="V155" i="7" s="1"/>
  <c r="Q156" i="2"/>
  <c r="Q157" i="2"/>
  <c r="Q158" i="2"/>
  <c r="U158" i="7" s="1"/>
  <c r="V158" i="7" s="1"/>
  <c r="Q159" i="2"/>
  <c r="U159" i="7" s="1"/>
  <c r="Q160" i="2"/>
  <c r="Q161" i="2"/>
  <c r="Q162" i="2"/>
  <c r="U162" i="7" s="1"/>
  <c r="V162" i="7" s="1"/>
  <c r="Q163" i="2"/>
  <c r="U163" i="7" s="1"/>
  <c r="Q164" i="2"/>
  <c r="Q165" i="2"/>
  <c r="U165" i="7" s="1"/>
  <c r="Q166" i="2"/>
  <c r="Q167" i="2"/>
  <c r="U167" i="7" s="1"/>
  <c r="Q168" i="2"/>
  <c r="Q169" i="2"/>
  <c r="Q170" i="2"/>
  <c r="U170" i="7" s="1"/>
  <c r="Q171" i="2"/>
  <c r="U171" i="7" s="1"/>
  <c r="Q172" i="2"/>
  <c r="Q173" i="2"/>
  <c r="Q174" i="2"/>
  <c r="U174" i="7" s="1"/>
  <c r="Q175" i="2"/>
  <c r="U175" i="7" s="1"/>
  <c r="V175" i="7" s="1"/>
  <c r="Q176" i="2"/>
  <c r="Q177" i="2"/>
  <c r="Q178" i="2"/>
  <c r="U178" i="7" s="1"/>
  <c r="V178" i="7" s="1"/>
  <c r="Q179" i="2"/>
  <c r="U179" i="7" s="1"/>
  <c r="V179" i="7" s="1"/>
  <c r="Q180" i="2"/>
  <c r="Q181" i="2"/>
  <c r="U181" i="7" s="1"/>
  <c r="Q182" i="2"/>
  <c r="Q183" i="2"/>
  <c r="U183" i="7" s="1"/>
  <c r="V183" i="7" s="1"/>
  <c r="Q184" i="2"/>
  <c r="Q185" i="2"/>
  <c r="Q186" i="2"/>
  <c r="U186" i="7" s="1"/>
  <c r="Q187" i="2"/>
  <c r="U187" i="7" s="1"/>
  <c r="V187" i="7" s="1"/>
  <c r="Q188" i="2"/>
  <c r="Q189" i="2"/>
  <c r="Q190" i="2"/>
  <c r="U190" i="7" s="1"/>
  <c r="V190" i="7" s="1"/>
  <c r="Q191" i="2"/>
  <c r="U191" i="7" s="1"/>
  <c r="Q192" i="2"/>
  <c r="Q193" i="2"/>
  <c r="Q194" i="2"/>
  <c r="U194" i="7" s="1"/>
  <c r="V194" i="7" s="1"/>
  <c r="Q195" i="2"/>
  <c r="U195" i="7" s="1"/>
  <c r="V195" i="7" s="1"/>
  <c r="Q196" i="2"/>
  <c r="Q197" i="2"/>
  <c r="U197" i="7" s="1"/>
  <c r="Q198" i="2"/>
  <c r="Q199" i="2"/>
  <c r="U199" i="7" s="1"/>
  <c r="Q200" i="2"/>
  <c r="Q201" i="2"/>
  <c r="Q202" i="2"/>
  <c r="Q3" i="2"/>
  <c r="U3" i="7" s="1"/>
  <c r="I4" i="2"/>
  <c r="I5" i="2"/>
  <c r="I6" i="2"/>
  <c r="I7" i="2"/>
  <c r="L7" i="7" s="1"/>
  <c r="M7" i="7" s="1"/>
  <c r="I8" i="2"/>
  <c r="I9" i="2"/>
  <c r="I10" i="2"/>
  <c r="I11" i="2"/>
  <c r="L11" i="7" s="1"/>
  <c r="M11" i="7" s="1"/>
  <c r="I12" i="2"/>
  <c r="I13" i="2"/>
  <c r="I14" i="2"/>
  <c r="I15" i="2"/>
  <c r="I16" i="2"/>
  <c r="I17" i="2"/>
  <c r="I18" i="2"/>
  <c r="I19" i="2"/>
  <c r="I20" i="2"/>
  <c r="I21" i="2"/>
  <c r="I22" i="2"/>
  <c r="L22" i="7" s="1"/>
  <c r="M22" i="7" s="1"/>
  <c r="I23" i="2"/>
  <c r="L23" i="7" s="1"/>
  <c r="M23" i="7" s="1"/>
  <c r="I24" i="2"/>
  <c r="I25" i="2"/>
  <c r="I26" i="2"/>
  <c r="I27" i="2"/>
  <c r="L27" i="7" s="1"/>
  <c r="M27" i="7" s="1"/>
  <c r="I28" i="2"/>
  <c r="I29" i="2"/>
  <c r="I30" i="2"/>
  <c r="I31" i="2"/>
  <c r="I32" i="2"/>
  <c r="I33" i="2"/>
  <c r="I34" i="2"/>
  <c r="I35" i="2"/>
  <c r="I36" i="2"/>
  <c r="I37" i="2"/>
  <c r="I38" i="2"/>
  <c r="I39" i="2"/>
  <c r="L39" i="7" s="1"/>
  <c r="M39" i="7" s="1"/>
  <c r="I40" i="2"/>
  <c r="I41" i="2"/>
  <c r="I42" i="2"/>
  <c r="I43" i="2"/>
  <c r="L43" i="7" s="1"/>
  <c r="M43" i="7" s="1"/>
  <c r="I44" i="2"/>
  <c r="I45" i="2"/>
  <c r="I46" i="2"/>
  <c r="I47" i="2"/>
  <c r="I48" i="2"/>
  <c r="I49" i="2"/>
  <c r="I50" i="2"/>
  <c r="I51" i="2"/>
  <c r="I52" i="2"/>
  <c r="I53" i="2"/>
  <c r="I54" i="2"/>
  <c r="I55" i="2"/>
  <c r="L55" i="7" s="1"/>
  <c r="M55" i="7" s="1"/>
  <c r="I56" i="2"/>
  <c r="I57" i="2"/>
  <c r="I58" i="2"/>
  <c r="I59" i="2"/>
  <c r="L59" i="7" s="1"/>
  <c r="M59" i="7" s="1"/>
  <c r="I60" i="2"/>
  <c r="I61" i="2"/>
  <c r="I62" i="2"/>
  <c r="I63" i="2"/>
  <c r="I64" i="2"/>
  <c r="I65" i="2"/>
  <c r="I66" i="2"/>
  <c r="I67" i="2"/>
  <c r="I68" i="2"/>
  <c r="I69" i="2"/>
  <c r="I70" i="2"/>
  <c r="I71" i="2"/>
  <c r="L71" i="7" s="1"/>
  <c r="M71" i="7" s="1"/>
  <c r="I72" i="2"/>
  <c r="I73" i="2"/>
  <c r="I74" i="2"/>
  <c r="I75" i="2"/>
  <c r="L75" i="7" s="1"/>
  <c r="M75" i="7" s="1"/>
  <c r="I76" i="2"/>
  <c r="I77" i="2"/>
  <c r="I78" i="2"/>
  <c r="I79" i="2"/>
  <c r="I80" i="2"/>
  <c r="I81" i="2"/>
  <c r="I82" i="2"/>
  <c r="I83" i="2"/>
  <c r="I84" i="2"/>
  <c r="I85" i="2"/>
  <c r="I86" i="2"/>
  <c r="L86" i="7" s="1"/>
  <c r="M86" i="7" s="1"/>
  <c r="I87" i="2"/>
  <c r="L87" i="7" s="1"/>
  <c r="M87" i="7" s="1"/>
  <c r="I88" i="2"/>
  <c r="I89" i="2"/>
  <c r="I90" i="2"/>
  <c r="I91" i="2"/>
  <c r="L91" i="7" s="1"/>
  <c r="M91" i="7" s="1"/>
  <c r="I92" i="2"/>
  <c r="I93" i="2"/>
  <c r="I94" i="2"/>
  <c r="I95" i="2"/>
  <c r="I96" i="2"/>
  <c r="I97" i="2"/>
  <c r="I98" i="2"/>
  <c r="I99" i="2"/>
  <c r="I100" i="2"/>
  <c r="I101" i="2"/>
  <c r="I102" i="2"/>
  <c r="I103" i="2"/>
  <c r="L103" i="7" s="1"/>
  <c r="M103" i="7" s="1"/>
  <c r="I104" i="2"/>
  <c r="I105" i="2"/>
  <c r="I106" i="2"/>
  <c r="I107" i="2"/>
  <c r="L107" i="7" s="1"/>
  <c r="M107" i="7" s="1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L146" i="7" s="1"/>
  <c r="M146" i="7" s="1"/>
  <c r="I147" i="2"/>
  <c r="I148" i="2"/>
  <c r="I149" i="2"/>
  <c r="I150" i="2"/>
  <c r="L150" i="7" s="1"/>
  <c r="M150" i="7" s="1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L171" i="7" s="1"/>
  <c r="M171" i="7" s="1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L199" i="7" s="1"/>
  <c r="M199" i="7" s="1"/>
  <c r="I200" i="2"/>
  <c r="I201" i="2"/>
  <c r="I202" i="2"/>
  <c r="I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AA3" i="2"/>
  <c r="Z3" i="2"/>
  <c r="S3" i="2"/>
  <c r="R3" i="2"/>
  <c r="K3" i="2"/>
  <c r="J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3" i="2"/>
  <c r="B4" i="2"/>
  <c r="E4" i="2" s="1"/>
  <c r="F4" i="2" s="1"/>
  <c r="B5" i="2"/>
  <c r="B6" i="2"/>
  <c r="E6" i="2" s="1"/>
  <c r="F6" i="2" s="1"/>
  <c r="B7" i="2"/>
  <c r="B8" i="2"/>
  <c r="E8" i="2" s="1"/>
  <c r="F8" i="2" s="1"/>
  <c r="B9" i="2"/>
  <c r="E9" i="2" s="1"/>
  <c r="F9" i="2" s="1"/>
  <c r="B10" i="2"/>
  <c r="B11" i="2"/>
  <c r="B12" i="2"/>
  <c r="B13" i="2"/>
  <c r="B14" i="2"/>
  <c r="B15" i="2"/>
  <c r="B16" i="2"/>
  <c r="B17" i="2"/>
  <c r="E17" i="2" s="1"/>
  <c r="F17" i="2" s="1"/>
  <c r="B18" i="2"/>
  <c r="E18" i="2" s="1"/>
  <c r="F18" i="2" s="1"/>
  <c r="B19" i="2"/>
  <c r="E19" i="2" s="1"/>
  <c r="F19" i="2" s="1"/>
  <c r="B20" i="2"/>
  <c r="E20" i="2" s="1"/>
  <c r="F20" i="2" s="1"/>
  <c r="B21" i="2"/>
  <c r="B22" i="2"/>
  <c r="B23" i="2"/>
  <c r="B24" i="2"/>
  <c r="E24" i="2" s="1"/>
  <c r="F24" i="2" s="1"/>
  <c r="B25" i="2"/>
  <c r="E25" i="2" s="1"/>
  <c r="F25" i="2" s="1"/>
  <c r="B26" i="2"/>
  <c r="B27" i="2"/>
  <c r="B28" i="2"/>
  <c r="B29" i="2"/>
  <c r="B30" i="2"/>
  <c r="B31" i="2"/>
  <c r="B32" i="2"/>
  <c r="B33" i="2"/>
  <c r="E33" i="2" s="1"/>
  <c r="F33" i="2" s="1"/>
  <c r="B34" i="2"/>
  <c r="E34" i="2" s="1"/>
  <c r="F34" i="2" s="1"/>
  <c r="B35" i="2"/>
  <c r="B36" i="2"/>
  <c r="E36" i="2" s="1"/>
  <c r="F36" i="2" s="1"/>
  <c r="B37" i="2"/>
  <c r="B38" i="2"/>
  <c r="E38" i="2" s="1"/>
  <c r="F38" i="2" s="1"/>
  <c r="B39" i="2"/>
  <c r="B40" i="2"/>
  <c r="E40" i="2" s="1"/>
  <c r="F40" i="2" s="1"/>
  <c r="B41" i="2"/>
  <c r="E41" i="2" s="1"/>
  <c r="F41" i="2" s="1"/>
  <c r="B42" i="2"/>
  <c r="B43" i="2"/>
  <c r="B44" i="2"/>
  <c r="B45" i="2"/>
  <c r="B46" i="2"/>
  <c r="B47" i="2"/>
  <c r="B48" i="2"/>
  <c r="B49" i="2"/>
  <c r="E49" i="2" s="1"/>
  <c r="F49" i="2" s="1"/>
  <c r="B50" i="2"/>
  <c r="E50" i="2" s="1"/>
  <c r="F50" i="2" s="1"/>
  <c r="B51" i="2"/>
  <c r="E51" i="2" s="1"/>
  <c r="F51" i="2" s="1"/>
  <c r="B52" i="2"/>
  <c r="E52" i="2" s="1"/>
  <c r="F52" i="2" s="1"/>
  <c r="B53" i="2"/>
  <c r="B54" i="2"/>
  <c r="E54" i="2" s="1"/>
  <c r="F54" i="2" s="1"/>
  <c r="B55" i="2"/>
  <c r="B56" i="2"/>
  <c r="E56" i="2" s="1"/>
  <c r="F56" i="2" s="1"/>
  <c r="B57" i="2"/>
  <c r="E57" i="2" s="1"/>
  <c r="F57" i="2" s="1"/>
  <c r="B58" i="2"/>
  <c r="B59" i="2"/>
  <c r="B60" i="2"/>
  <c r="B61" i="2"/>
  <c r="B62" i="2"/>
  <c r="B63" i="2"/>
  <c r="B64" i="2"/>
  <c r="B65" i="2"/>
  <c r="E65" i="2" s="1"/>
  <c r="F65" i="2" s="1"/>
  <c r="B66" i="2"/>
  <c r="E66" i="2" s="1"/>
  <c r="F66" i="2" s="1"/>
  <c r="B67" i="2"/>
  <c r="E67" i="2" s="1"/>
  <c r="F67" i="2" s="1"/>
  <c r="B68" i="2"/>
  <c r="E68" i="2" s="1"/>
  <c r="F68" i="2" s="1"/>
  <c r="B69" i="2"/>
  <c r="B70" i="2"/>
  <c r="B71" i="2"/>
  <c r="B72" i="2"/>
  <c r="E72" i="2" s="1"/>
  <c r="F72" i="2" s="1"/>
  <c r="B73" i="2"/>
  <c r="B74" i="2"/>
  <c r="B75" i="2"/>
  <c r="B76" i="2"/>
  <c r="B77" i="2"/>
  <c r="B78" i="2"/>
  <c r="B79" i="2"/>
  <c r="B80" i="2"/>
  <c r="B81" i="2"/>
  <c r="E81" i="2" s="1"/>
  <c r="F81" i="2" s="1"/>
  <c r="B82" i="2"/>
  <c r="E82" i="2" s="1"/>
  <c r="F82" i="2" s="1"/>
  <c r="B83" i="2"/>
  <c r="E83" i="2" s="1"/>
  <c r="F83" i="2" s="1"/>
  <c r="B84" i="2"/>
  <c r="E84" i="2" s="1"/>
  <c r="F84" i="2" s="1"/>
  <c r="B85" i="2"/>
  <c r="B86" i="2"/>
  <c r="E86" i="2" s="1"/>
  <c r="F86" i="2" s="1"/>
  <c r="B87" i="2"/>
  <c r="B88" i="2"/>
  <c r="E88" i="2" s="1"/>
  <c r="F88" i="2" s="1"/>
  <c r="B89" i="2"/>
  <c r="E89" i="2" s="1"/>
  <c r="F89" i="2" s="1"/>
  <c r="B90" i="2"/>
  <c r="B91" i="2"/>
  <c r="B92" i="2"/>
  <c r="B93" i="2"/>
  <c r="B94" i="2"/>
  <c r="B95" i="2"/>
  <c r="B96" i="2"/>
  <c r="B97" i="2"/>
  <c r="E97" i="2" s="1"/>
  <c r="F97" i="2" s="1"/>
  <c r="B98" i="2"/>
  <c r="E98" i="2" s="1"/>
  <c r="F98" i="2" s="1"/>
  <c r="B99" i="2"/>
  <c r="E99" i="2" s="1"/>
  <c r="F99" i="2" s="1"/>
  <c r="B100" i="2"/>
  <c r="E100" i="2" s="1"/>
  <c r="F100" i="2" s="1"/>
  <c r="B101" i="2"/>
  <c r="B102" i="2"/>
  <c r="E102" i="2" s="1"/>
  <c r="F102" i="2" s="1"/>
  <c r="B103" i="2"/>
  <c r="B104" i="2"/>
  <c r="E104" i="2" s="1"/>
  <c r="F104" i="2" s="1"/>
  <c r="B105" i="2"/>
  <c r="E105" i="2" s="1"/>
  <c r="F105" i="2" s="1"/>
  <c r="B106" i="2"/>
  <c r="B107" i="2"/>
  <c r="B108" i="2"/>
  <c r="B109" i="2"/>
  <c r="B110" i="2"/>
  <c r="B111" i="2"/>
  <c r="B112" i="2"/>
  <c r="B113" i="2"/>
  <c r="E113" i="2" s="1"/>
  <c r="F113" i="2" s="1"/>
  <c r="B114" i="2"/>
  <c r="E114" i="2" s="1"/>
  <c r="F114" i="2" s="1"/>
  <c r="B115" i="2"/>
  <c r="E115" i="2" s="1"/>
  <c r="F115" i="2" s="1"/>
  <c r="B116" i="2"/>
  <c r="E116" i="2" s="1"/>
  <c r="F116" i="2" s="1"/>
  <c r="B117" i="2"/>
  <c r="B118" i="2"/>
  <c r="B119" i="2"/>
  <c r="B120" i="2"/>
  <c r="E120" i="2" s="1"/>
  <c r="F120" i="2" s="1"/>
  <c r="B121" i="2"/>
  <c r="E121" i="2" s="1"/>
  <c r="F121" i="2" s="1"/>
  <c r="B122" i="2"/>
  <c r="B123" i="2"/>
  <c r="B124" i="2"/>
  <c r="B125" i="2"/>
  <c r="B126" i="2"/>
  <c r="B127" i="2"/>
  <c r="B128" i="2"/>
  <c r="B129" i="2"/>
  <c r="E129" i="2" s="1"/>
  <c r="F129" i="2" s="1"/>
  <c r="B130" i="2"/>
  <c r="E130" i="2" s="1"/>
  <c r="F130" i="2" s="1"/>
  <c r="B131" i="2"/>
  <c r="E131" i="2" s="1"/>
  <c r="F131" i="2" s="1"/>
  <c r="B132" i="2"/>
  <c r="E132" i="2" s="1"/>
  <c r="F132" i="2" s="1"/>
  <c r="B133" i="2"/>
  <c r="B134" i="2"/>
  <c r="E134" i="2" s="1"/>
  <c r="F134" i="2" s="1"/>
  <c r="B135" i="2"/>
  <c r="B136" i="2"/>
  <c r="E136" i="2" s="1"/>
  <c r="F136" i="2" s="1"/>
  <c r="B137" i="2"/>
  <c r="E137" i="2" s="1"/>
  <c r="F137" i="2" s="1"/>
  <c r="B138" i="2"/>
  <c r="B139" i="2"/>
  <c r="B140" i="2"/>
  <c r="B141" i="2"/>
  <c r="B142" i="2"/>
  <c r="B143" i="2"/>
  <c r="B144" i="2"/>
  <c r="B145" i="2"/>
  <c r="E145" i="2" s="1"/>
  <c r="F145" i="2" s="1"/>
  <c r="B146" i="2"/>
  <c r="B147" i="2"/>
  <c r="E147" i="2" s="1"/>
  <c r="F147" i="2" s="1"/>
  <c r="B148" i="2"/>
  <c r="E148" i="2" s="1"/>
  <c r="F148" i="2" s="1"/>
  <c r="B149" i="2"/>
  <c r="B150" i="2"/>
  <c r="E150" i="2" s="1"/>
  <c r="F150" i="2" s="1"/>
  <c r="B151" i="2"/>
  <c r="B152" i="2"/>
  <c r="E152" i="2" s="1"/>
  <c r="F152" i="2" s="1"/>
  <c r="B153" i="2"/>
  <c r="E153" i="2" s="1"/>
  <c r="F153" i="2" s="1"/>
  <c r="B154" i="2"/>
  <c r="B155" i="2"/>
  <c r="B156" i="2"/>
  <c r="B157" i="2"/>
  <c r="B158" i="2"/>
  <c r="B159" i="2"/>
  <c r="B160" i="2"/>
  <c r="B161" i="2"/>
  <c r="E161" i="2" s="1"/>
  <c r="F161" i="2" s="1"/>
  <c r="B162" i="2"/>
  <c r="E162" i="2" s="1"/>
  <c r="F162" i="2" s="1"/>
  <c r="B163" i="2"/>
  <c r="E163" i="2" s="1"/>
  <c r="F163" i="2" s="1"/>
  <c r="B164" i="2"/>
  <c r="E164" i="2" s="1"/>
  <c r="F164" i="2" s="1"/>
  <c r="B165" i="2"/>
  <c r="B166" i="2"/>
  <c r="E166" i="2" s="1"/>
  <c r="F166" i="2" s="1"/>
  <c r="B167" i="2"/>
  <c r="B168" i="2"/>
  <c r="E168" i="2" s="1"/>
  <c r="F168" i="2" s="1"/>
  <c r="B169" i="2"/>
  <c r="E169" i="2" s="1"/>
  <c r="F169" i="2" s="1"/>
  <c r="B170" i="2"/>
  <c r="B171" i="2"/>
  <c r="B172" i="2"/>
  <c r="B173" i="2"/>
  <c r="B174" i="2"/>
  <c r="B175" i="2"/>
  <c r="B176" i="2"/>
  <c r="B177" i="2"/>
  <c r="E177" i="2" s="1"/>
  <c r="F177" i="2" s="1"/>
  <c r="B178" i="2"/>
  <c r="E178" i="2" s="1"/>
  <c r="F178" i="2" s="1"/>
  <c r="B179" i="2"/>
  <c r="B180" i="2"/>
  <c r="E180" i="2" s="1"/>
  <c r="F180" i="2" s="1"/>
  <c r="B181" i="2"/>
  <c r="B182" i="2"/>
  <c r="E182" i="2" s="1"/>
  <c r="F182" i="2" s="1"/>
  <c r="B183" i="2"/>
  <c r="B184" i="2"/>
  <c r="E184" i="2" s="1"/>
  <c r="F184" i="2" s="1"/>
  <c r="B185" i="2"/>
  <c r="E185" i="2" s="1"/>
  <c r="F185" i="2" s="1"/>
  <c r="B186" i="2"/>
  <c r="B187" i="2"/>
  <c r="B188" i="2"/>
  <c r="B189" i="2"/>
  <c r="B190" i="2"/>
  <c r="B191" i="2"/>
  <c r="B192" i="2"/>
  <c r="B193" i="2"/>
  <c r="E193" i="2" s="1"/>
  <c r="F193" i="2" s="1"/>
  <c r="B194" i="2"/>
  <c r="E194" i="2" s="1"/>
  <c r="F194" i="2" s="1"/>
  <c r="B195" i="2"/>
  <c r="B196" i="2"/>
  <c r="E196" i="2" s="1"/>
  <c r="F196" i="2" s="1"/>
  <c r="B197" i="2"/>
  <c r="B198" i="2"/>
  <c r="E198" i="2" s="1"/>
  <c r="F198" i="2" s="1"/>
  <c r="B199" i="2"/>
  <c r="B200" i="2"/>
  <c r="E200" i="2" s="1"/>
  <c r="F200" i="2" s="1"/>
  <c r="B201" i="2"/>
  <c r="E201" i="2" s="1"/>
  <c r="F201" i="2" s="1"/>
  <c r="B202" i="2"/>
  <c r="B3" i="2"/>
  <c r="E181" i="2" l="1"/>
  <c r="F181" i="2" s="1"/>
  <c r="E165" i="2"/>
  <c r="F165" i="2" s="1"/>
  <c r="E149" i="2"/>
  <c r="F149" i="2" s="1"/>
  <c r="E133" i="2"/>
  <c r="F133" i="2" s="1"/>
  <c r="E117" i="2"/>
  <c r="F117" i="2" s="1"/>
  <c r="E101" i="2"/>
  <c r="F101" i="2" s="1"/>
  <c r="E85" i="2"/>
  <c r="F85" i="2" s="1"/>
  <c r="E69" i="2"/>
  <c r="F69" i="2" s="1"/>
  <c r="E53" i="2"/>
  <c r="F53" i="2" s="1"/>
  <c r="E37" i="2"/>
  <c r="F37" i="2" s="1"/>
  <c r="E21" i="2"/>
  <c r="F21" i="2" s="1"/>
  <c r="E176" i="2"/>
  <c r="F176" i="2" s="1"/>
  <c r="E144" i="2"/>
  <c r="F144" i="2" s="1"/>
  <c r="E128" i="2"/>
  <c r="F128" i="2" s="1"/>
  <c r="E112" i="2"/>
  <c r="F112" i="2" s="1"/>
  <c r="E96" i="2"/>
  <c r="F96" i="2" s="1"/>
  <c r="E80" i="2"/>
  <c r="F80" i="2" s="1"/>
  <c r="E64" i="2"/>
  <c r="F64" i="2" s="1"/>
  <c r="E48" i="2"/>
  <c r="F48" i="2" s="1"/>
  <c r="E32" i="2"/>
  <c r="F32" i="2" s="1"/>
  <c r="E16" i="2"/>
  <c r="F16" i="2" s="1"/>
  <c r="E188" i="2"/>
  <c r="F188" i="2" s="1"/>
  <c r="E156" i="2"/>
  <c r="F156" i="2" s="1"/>
  <c r="E140" i="2"/>
  <c r="F140" i="2" s="1"/>
  <c r="E124" i="2"/>
  <c r="F124" i="2" s="1"/>
  <c r="E108" i="2"/>
  <c r="F108" i="2" s="1"/>
  <c r="E92" i="2"/>
  <c r="F92" i="2" s="1"/>
  <c r="E76" i="2"/>
  <c r="F76" i="2" s="1"/>
  <c r="E44" i="2"/>
  <c r="F44" i="2" s="1"/>
  <c r="E28" i="2"/>
  <c r="F28" i="2" s="1"/>
  <c r="E12" i="2"/>
  <c r="F12" i="2" s="1"/>
  <c r="E175" i="2"/>
  <c r="F175" i="2" s="1"/>
  <c r="E94" i="2"/>
  <c r="F94" i="2" s="1"/>
  <c r="E142" i="2"/>
  <c r="F142" i="2" s="1"/>
  <c r="E189" i="2"/>
  <c r="F189" i="2" s="1"/>
  <c r="E173" i="2"/>
  <c r="F173" i="2" s="1"/>
  <c r="E157" i="2"/>
  <c r="F157" i="2" s="1"/>
  <c r="E141" i="2"/>
  <c r="F141" i="2" s="1"/>
  <c r="E109" i="2"/>
  <c r="F109" i="2" s="1"/>
  <c r="E93" i="2"/>
  <c r="F93" i="2" s="1"/>
  <c r="E77" i="2"/>
  <c r="F77" i="2" s="1"/>
  <c r="E61" i="2"/>
  <c r="F61" i="2" s="1"/>
  <c r="E45" i="2"/>
  <c r="F45" i="2" s="1"/>
  <c r="E29" i="2"/>
  <c r="F29" i="2" s="1"/>
  <c r="E13" i="2"/>
  <c r="F13" i="2" s="1"/>
  <c r="E190" i="2"/>
  <c r="F190" i="2" s="1"/>
  <c r="E62" i="2"/>
  <c r="F62" i="2" s="1"/>
  <c r="E110" i="2"/>
  <c r="F110" i="2" s="1"/>
  <c r="E202" i="2"/>
  <c r="F202" i="2" s="1"/>
  <c r="E186" i="2"/>
  <c r="F186" i="2" s="1"/>
  <c r="E170" i="2"/>
  <c r="F170" i="2" s="1"/>
  <c r="E138" i="2"/>
  <c r="F138" i="2" s="1"/>
  <c r="E122" i="2"/>
  <c r="F122" i="2" s="1"/>
  <c r="E106" i="2"/>
  <c r="F106" i="2" s="1"/>
  <c r="E90" i="2"/>
  <c r="F90" i="2" s="1"/>
  <c r="E74" i="2"/>
  <c r="F74" i="2" s="1"/>
  <c r="E58" i="2"/>
  <c r="F58" i="2" s="1"/>
  <c r="E42" i="2"/>
  <c r="F42" i="2" s="1"/>
  <c r="E26" i="2"/>
  <c r="F26" i="2" s="1"/>
  <c r="E10" i="2"/>
  <c r="F10" i="2" s="1"/>
  <c r="E174" i="2"/>
  <c r="F174" i="2" s="1"/>
  <c r="E30" i="2"/>
  <c r="F30" i="2" s="1"/>
  <c r="E158" i="2"/>
  <c r="F158" i="2" s="1"/>
  <c r="E126" i="2"/>
  <c r="F126" i="2" s="1"/>
  <c r="E146" i="2"/>
  <c r="F146" i="2" s="1"/>
  <c r="E46" i="2"/>
  <c r="F46" i="2" s="1"/>
  <c r="E78" i="2"/>
  <c r="F78" i="2" s="1"/>
  <c r="V197" i="7"/>
  <c r="V181" i="7"/>
  <c r="W181" i="7" s="1"/>
  <c r="V165" i="7"/>
  <c r="W165" i="7" s="1"/>
  <c r="V149" i="7"/>
  <c r="V133" i="7"/>
  <c r="V117" i="7"/>
  <c r="W117" i="7" s="1"/>
  <c r="V101" i="7"/>
  <c r="W101" i="7" s="1"/>
  <c r="V85" i="7"/>
  <c r="V69" i="7"/>
  <c r="V53" i="7"/>
  <c r="W53" i="7" s="1"/>
  <c r="V21" i="7"/>
  <c r="V5" i="7"/>
  <c r="E160" i="2"/>
  <c r="F160" i="2" s="1"/>
  <c r="E125" i="2"/>
  <c r="F125" i="2" s="1"/>
  <c r="E60" i="2"/>
  <c r="F60" i="2" s="1"/>
  <c r="E172" i="2"/>
  <c r="F172" i="2" s="1"/>
  <c r="E70" i="2"/>
  <c r="F70" i="2" s="1"/>
  <c r="E118" i="2"/>
  <c r="F118" i="2" s="1"/>
  <c r="E14" i="2"/>
  <c r="F14" i="2" s="1"/>
  <c r="E22" i="2"/>
  <c r="F22" i="2" s="1"/>
  <c r="E192" i="2"/>
  <c r="F192" i="2" s="1"/>
  <c r="E197" i="2"/>
  <c r="F197" i="2" s="1"/>
  <c r="E35" i="2"/>
  <c r="F35" i="2" s="1"/>
  <c r="E154" i="2"/>
  <c r="F154" i="2" s="1"/>
  <c r="E73" i="2"/>
  <c r="F73" i="2" s="1"/>
  <c r="E5" i="2"/>
  <c r="F5" i="2" s="1"/>
  <c r="AB3" i="2"/>
  <c r="L202" i="2"/>
  <c r="L198" i="2"/>
  <c r="L194" i="2"/>
  <c r="L190" i="2"/>
  <c r="L186" i="2"/>
  <c r="L182" i="2"/>
  <c r="L178" i="2"/>
  <c r="L174" i="2"/>
  <c r="L170" i="2"/>
  <c r="L166" i="2"/>
  <c r="L162" i="2"/>
  <c r="L158" i="2"/>
  <c r="L154" i="2"/>
  <c r="L150" i="2"/>
  <c r="L146" i="2"/>
  <c r="L142" i="2"/>
  <c r="L138" i="2"/>
  <c r="L134" i="2"/>
  <c r="L130" i="2"/>
  <c r="L126" i="2"/>
  <c r="L122" i="2"/>
  <c r="L118" i="2"/>
  <c r="L114" i="2"/>
  <c r="L110" i="2"/>
  <c r="L106" i="2"/>
  <c r="L102" i="2"/>
  <c r="L98" i="2"/>
  <c r="L94" i="2"/>
  <c r="L90" i="2"/>
  <c r="L86" i="2"/>
  <c r="L82" i="2"/>
  <c r="L78" i="2"/>
  <c r="L74" i="2"/>
  <c r="L70" i="2"/>
  <c r="L66" i="2"/>
  <c r="L62" i="2"/>
  <c r="L58" i="2"/>
  <c r="L54" i="2"/>
  <c r="L50" i="2"/>
  <c r="L46" i="2"/>
  <c r="L42" i="2"/>
  <c r="L38" i="2"/>
  <c r="L34" i="2"/>
  <c r="L30" i="2"/>
  <c r="L26" i="2"/>
  <c r="L22" i="2"/>
  <c r="L18" i="2"/>
  <c r="L14" i="2"/>
  <c r="L10" i="2"/>
  <c r="L6" i="2"/>
  <c r="T200" i="2"/>
  <c r="T196" i="2"/>
  <c r="T192" i="2"/>
  <c r="T188" i="2"/>
  <c r="T184" i="2"/>
  <c r="T180" i="2"/>
  <c r="T176" i="2"/>
  <c r="T172" i="2"/>
  <c r="T168" i="2"/>
  <c r="T164" i="2"/>
  <c r="T160" i="2"/>
  <c r="T156" i="2"/>
  <c r="T152" i="2"/>
  <c r="T148" i="2"/>
  <c r="T144" i="2"/>
  <c r="T140" i="2"/>
  <c r="T136" i="2"/>
  <c r="T132" i="2"/>
  <c r="T128" i="2"/>
  <c r="T124" i="2"/>
  <c r="T120" i="2"/>
  <c r="T116" i="2"/>
  <c r="T112" i="2"/>
  <c r="T108" i="2"/>
  <c r="T104" i="2"/>
  <c r="T100" i="2"/>
  <c r="T96" i="2"/>
  <c r="T92" i="2"/>
  <c r="T88" i="2"/>
  <c r="T84" i="2"/>
  <c r="T80" i="2"/>
  <c r="T76" i="2"/>
  <c r="T72" i="2"/>
  <c r="T68" i="2"/>
  <c r="T64" i="2"/>
  <c r="T60" i="2"/>
  <c r="T56" i="2"/>
  <c r="T52" i="2"/>
  <c r="T48" i="2"/>
  <c r="T44" i="2"/>
  <c r="T40" i="2"/>
  <c r="T36" i="2"/>
  <c r="T32" i="2"/>
  <c r="T28" i="2"/>
  <c r="T24" i="2"/>
  <c r="T20" i="2"/>
  <c r="T16" i="2"/>
  <c r="T12" i="2"/>
  <c r="T8" i="2"/>
  <c r="T4" i="2"/>
  <c r="AB202" i="2"/>
  <c r="AB198" i="2"/>
  <c r="AB194" i="2"/>
  <c r="AB190" i="2"/>
  <c r="T199" i="2"/>
  <c r="T195" i="2"/>
  <c r="T191" i="2"/>
  <c r="T187" i="2"/>
  <c r="T183" i="2"/>
  <c r="T179" i="2"/>
  <c r="T175" i="2"/>
  <c r="T171" i="2"/>
  <c r="T167" i="2"/>
  <c r="T163" i="2"/>
  <c r="T159" i="2"/>
  <c r="T155" i="2"/>
  <c r="T151" i="2"/>
  <c r="T147" i="2"/>
  <c r="AB186" i="2"/>
  <c r="AB182" i="2"/>
  <c r="AB178" i="2"/>
  <c r="AB174" i="2"/>
  <c r="AB170" i="2"/>
  <c r="AB166" i="2"/>
  <c r="AB162" i="2"/>
  <c r="AB158" i="2"/>
  <c r="AB154" i="2"/>
  <c r="AB150" i="2"/>
  <c r="AB146" i="2"/>
  <c r="AB142" i="2"/>
  <c r="AB138" i="2"/>
  <c r="AB134" i="2"/>
  <c r="AB130" i="2"/>
  <c r="AB126" i="2"/>
  <c r="AB122" i="2"/>
  <c r="AB118" i="2"/>
  <c r="AB114" i="2"/>
  <c r="T143" i="2"/>
  <c r="T139" i="2"/>
  <c r="T135" i="2"/>
  <c r="T131" i="2"/>
  <c r="T127" i="2"/>
  <c r="T123" i="2"/>
  <c r="T119" i="2"/>
  <c r="T115" i="2"/>
  <c r="T111" i="2"/>
  <c r="T107" i="2"/>
  <c r="T103" i="2"/>
  <c r="P146" i="7"/>
  <c r="P86" i="7"/>
  <c r="N22" i="7"/>
  <c r="N150" i="7"/>
  <c r="J1" i="5"/>
  <c r="J1" i="8"/>
  <c r="V18" i="7"/>
  <c r="V139" i="7"/>
  <c r="V51" i="7"/>
  <c r="V186" i="7"/>
  <c r="V199" i="7"/>
  <c r="V167" i="7"/>
  <c r="V135" i="7"/>
  <c r="V103" i="7"/>
  <c r="V71" i="7"/>
  <c r="V39" i="7"/>
  <c r="V7" i="7"/>
  <c r="V174" i="7"/>
  <c r="V142" i="7"/>
  <c r="V110" i="7"/>
  <c r="V78" i="7"/>
  <c r="V46" i="7"/>
  <c r="V14" i="7"/>
  <c r="V33" i="7"/>
  <c r="L199" i="2"/>
  <c r="L195" i="2"/>
  <c r="L191" i="2"/>
  <c r="L187" i="2"/>
  <c r="L183" i="2"/>
  <c r="L179" i="2"/>
  <c r="L175" i="2"/>
  <c r="L171" i="2"/>
  <c r="L167" i="2"/>
  <c r="L163" i="2"/>
  <c r="L159" i="2"/>
  <c r="L155" i="2"/>
  <c r="L151" i="2"/>
  <c r="L147" i="2"/>
  <c r="L143" i="2"/>
  <c r="L139" i="2"/>
  <c r="L135" i="2"/>
  <c r="L131" i="2"/>
  <c r="L127" i="2"/>
  <c r="L123" i="2"/>
  <c r="L119" i="2"/>
  <c r="L115" i="2"/>
  <c r="L111" i="2"/>
  <c r="L107" i="2"/>
  <c r="L103" i="2"/>
  <c r="L99" i="2"/>
  <c r="L95" i="2"/>
  <c r="P199" i="7"/>
  <c r="P171" i="7"/>
  <c r="P107" i="7"/>
  <c r="N103" i="7"/>
  <c r="Q103" i="7" s="1"/>
  <c r="P91" i="7"/>
  <c r="P87" i="7"/>
  <c r="N75" i="7"/>
  <c r="Q75" i="7" s="1"/>
  <c r="N71" i="7"/>
  <c r="P59" i="7"/>
  <c r="P55" i="7"/>
  <c r="N43" i="7"/>
  <c r="Q43" i="7" s="1"/>
  <c r="N39" i="7"/>
  <c r="Q39" i="7" s="1"/>
  <c r="P27" i="7"/>
  <c r="P23" i="7"/>
  <c r="N11" i="7"/>
  <c r="Q11" i="7" s="1"/>
  <c r="N7" i="7"/>
  <c r="W91" i="7"/>
  <c r="Z91" i="7" s="1"/>
  <c r="V83" i="7"/>
  <c r="V67" i="7"/>
  <c r="V171" i="7"/>
  <c r="V107" i="7"/>
  <c r="V163" i="7"/>
  <c r="V82" i="7"/>
  <c r="V3" i="7"/>
  <c r="V115" i="7"/>
  <c r="V34" i="7"/>
  <c r="V170" i="7"/>
  <c r="V191" i="7"/>
  <c r="V159" i="7"/>
  <c r="V127" i="7"/>
  <c r="V95" i="7"/>
  <c r="V63" i="7"/>
  <c r="V31" i="7"/>
  <c r="AB110" i="2"/>
  <c r="AB106" i="2"/>
  <c r="AB102" i="2"/>
  <c r="AB98" i="2"/>
  <c r="AB94" i="2"/>
  <c r="AB90" i="2"/>
  <c r="AB86" i="2"/>
  <c r="AB82" i="2"/>
  <c r="AB78" i="2"/>
  <c r="AB74" i="2"/>
  <c r="AB70" i="2"/>
  <c r="AB66" i="2"/>
  <c r="AB62" i="2"/>
  <c r="AB58" i="2"/>
  <c r="AB54" i="2"/>
  <c r="AB50" i="2"/>
  <c r="AB46" i="2"/>
  <c r="AB42" i="2"/>
  <c r="AB38" i="2"/>
  <c r="AB34" i="2"/>
  <c r="AB30" i="2"/>
  <c r="AB26" i="2"/>
  <c r="AB22" i="2"/>
  <c r="AB18" i="2"/>
  <c r="AB14" i="2"/>
  <c r="AB10" i="2"/>
  <c r="AB6" i="2"/>
  <c r="AB201" i="2"/>
  <c r="AB197" i="2"/>
  <c r="AB193" i="2"/>
  <c r="AB189" i="2"/>
  <c r="AB185" i="2"/>
  <c r="AB181" i="2"/>
  <c r="AB177" i="2"/>
  <c r="AB173" i="2"/>
  <c r="AB169" i="2"/>
  <c r="AB165" i="2"/>
  <c r="AB161" i="2"/>
  <c r="AB157" i="2"/>
  <c r="AB153" i="2"/>
  <c r="AB149" i="2"/>
  <c r="AB145" i="2"/>
  <c r="AB141" i="2"/>
  <c r="AB137" i="2"/>
  <c r="AB133" i="2"/>
  <c r="AB129" i="2"/>
  <c r="AB125" i="2"/>
  <c r="AB121" i="2"/>
  <c r="AB117" i="2"/>
  <c r="AB113" i="2"/>
  <c r="AB109" i="2"/>
  <c r="AB105" i="2"/>
  <c r="AB101" i="2"/>
  <c r="AB97" i="2"/>
  <c r="AB93" i="2"/>
  <c r="AB89" i="2"/>
  <c r="AB85" i="2"/>
  <c r="AB81" i="2"/>
  <c r="AB77" i="2"/>
  <c r="AB73" i="2"/>
  <c r="AB69" i="2"/>
  <c r="AB65" i="2"/>
  <c r="AB61" i="2"/>
  <c r="AB57" i="2"/>
  <c r="AB53" i="2"/>
  <c r="AB49" i="2"/>
  <c r="AB45" i="2"/>
  <c r="AB41" i="2"/>
  <c r="AB37" i="2"/>
  <c r="AB33" i="2"/>
  <c r="AB29" i="2"/>
  <c r="AB25" i="2"/>
  <c r="AB21" i="2"/>
  <c r="AB17" i="2"/>
  <c r="AB13" i="2"/>
  <c r="AB9" i="2"/>
  <c r="AB5" i="2"/>
  <c r="AB200" i="2"/>
  <c r="AB196" i="2"/>
  <c r="AB192" i="2"/>
  <c r="AB188" i="2"/>
  <c r="AB184" i="2"/>
  <c r="AB180" i="2"/>
  <c r="AB176" i="2"/>
  <c r="AB172" i="2"/>
  <c r="AB168" i="2"/>
  <c r="AB164" i="2"/>
  <c r="AB160" i="2"/>
  <c r="AB156" i="2"/>
  <c r="AB152" i="2"/>
  <c r="AB148" i="2"/>
  <c r="AB144" i="2"/>
  <c r="AB140" i="2"/>
  <c r="AB136" i="2"/>
  <c r="AB132" i="2"/>
  <c r="AB128" i="2"/>
  <c r="AB124" i="2"/>
  <c r="AB120" i="2"/>
  <c r="AB116" i="2"/>
  <c r="AB112" i="2"/>
  <c r="AB108" i="2"/>
  <c r="AB104" i="2"/>
  <c r="AB100" i="2"/>
  <c r="AB96" i="2"/>
  <c r="AB92" i="2"/>
  <c r="AB88" i="2"/>
  <c r="AB84" i="2"/>
  <c r="AB80" i="2"/>
  <c r="AB76" i="2"/>
  <c r="AB72" i="2"/>
  <c r="AB68" i="2"/>
  <c r="AB64" i="2"/>
  <c r="AB60" i="2"/>
  <c r="AB56" i="2"/>
  <c r="AB52" i="2"/>
  <c r="AB48" i="2"/>
  <c r="AB44" i="2"/>
  <c r="AB40" i="2"/>
  <c r="AB36" i="2"/>
  <c r="AB32" i="2"/>
  <c r="AB28" i="2"/>
  <c r="AB24" i="2"/>
  <c r="AB20" i="2"/>
  <c r="AB16" i="2"/>
  <c r="AB12" i="2"/>
  <c r="AB8" i="2"/>
  <c r="AB4" i="2"/>
  <c r="AB199" i="2"/>
  <c r="AB195" i="2"/>
  <c r="AB191" i="2"/>
  <c r="AB187" i="2"/>
  <c r="AB183" i="2"/>
  <c r="AB179" i="2"/>
  <c r="AB175" i="2"/>
  <c r="AB171" i="2"/>
  <c r="AB167" i="2"/>
  <c r="AB163" i="2"/>
  <c r="AB159" i="2"/>
  <c r="AB155" i="2"/>
  <c r="AB151" i="2"/>
  <c r="AB147" i="2"/>
  <c r="AB143" i="2"/>
  <c r="AB139" i="2"/>
  <c r="AB135" i="2"/>
  <c r="AB131" i="2"/>
  <c r="AB127" i="2"/>
  <c r="AB123" i="2"/>
  <c r="AB119" i="2"/>
  <c r="AB115" i="2"/>
  <c r="AB111" i="2"/>
  <c r="AB107" i="2"/>
  <c r="AB103" i="2"/>
  <c r="AB99" i="2"/>
  <c r="AB95" i="2"/>
  <c r="AB91" i="2"/>
  <c r="AB87" i="2"/>
  <c r="AB83" i="2"/>
  <c r="AB79" i="2"/>
  <c r="AB75" i="2"/>
  <c r="AB71" i="2"/>
  <c r="AB67" i="2"/>
  <c r="AB63" i="2"/>
  <c r="AB59" i="2"/>
  <c r="AB55" i="2"/>
  <c r="AB51" i="2"/>
  <c r="AB47" i="2"/>
  <c r="AB43" i="2"/>
  <c r="AB39" i="2"/>
  <c r="AB35" i="2"/>
  <c r="AB31" i="2"/>
  <c r="AB27" i="2"/>
  <c r="AB23" i="2"/>
  <c r="AB19" i="2"/>
  <c r="AB15" i="2"/>
  <c r="AB11" i="2"/>
  <c r="AB7" i="2"/>
  <c r="T99" i="2"/>
  <c r="T95" i="2"/>
  <c r="T91" i="2"/>
  <c r="T87" i="2"/>
  <c r="T83" i="2"/>
  <c r="T79" i="2"/>
  <c r="T75" i="2"/>
  <c r="T71" i="2"/>
  <c r="T67" i="2"/>
  <c r="T63" i="2"/>
  <c r="T59" i="2"/>
  <c r="T55" i="2"/>
  <c r="T51" i="2"/>
  <c r="T47" i="2"/>
  <c r="T43" i="2"/>
  <c r="T39" i="2"/>
  <c r="T35" i="2"/>
  <c r="T31" i="2"/>
  <c r="T27" i="2"/>
  <c r="T23" i="2"/>
  <c r="T19" i="2"/>
  <c r="T15" i="2"/>
  <c r="T11" i="2"/>
  <c r="T7" i="2"/>
  <c r="T3" i="2"/>
  <c r="T202" i="2"/>
  <c r="T198" i="2"/>
  <c r="T194" i="2"/>
  <c r="T190" i="2"/>
  <c r="T186" i="2"/>
  <c r="T182" i="2"/>
  <c r="T178" i="2"/>
  <c r="T174" i="2"/>
  <c r="T170" i="2"/>
  <c r="T166" i="2"/>
  <c r="T162" i="2"/>
  <c r="T158" i="2"/>
  <c r="T154" i="2"/>
  <c r="T150" i="2"/>
  <c r="T146" i="2"/>
  <c r="T142" i="2"/>
  <c r="T138" i="2"/>
  <c r="T134" i="2"/>
  <c r="T130" i="2"/>
  <c r="T126" i="2"/>
  <c r="T122" i="2"/>
  <c r="T118" i="2"/>
  <c r="T114" i="2"/>
  <c r="T110" i="2"/>
  <c r="T106" i="2"/>
  <c r="T102" i="2"/>
  <c r="T98" i="2"/>
  <c r="T94" i="2"/>
  <c r="T90" i="2"/>
  <c r="T86" i="2"/>
  <c r="T82" i="2"/>
  <c r="T78" i="2"/>
  <c r="T74" i="2"/>
  <c r="T70" i="2"/>
  <c r="T66" i="2"/>
  <c r="T62" i="2"/>
  <c r="T58" i="2"/>
  <c r="T54" i="2"/>
  <c r="T50" i="2"/>
  <c r="T46" i="2"/>
  <c r="T42" i="2"/>
  <c r="T38" i="2"/>
  <c r="T34" i="2"/>
  <c r="T30" i="2"/>
  <c r="T26" i="2"/>
  <c r="T22" i="2"/>
  <c r="T18" i="2"/>
  <c r="T14" i="2"/>
  <c r="T10" i="2"/>
  <c r="T6" i="2"/>
  <c r="T201" i="2"/>
  <c r="T197" i="2"/>
  <c r="T193" i="2"/>
  <c r="T189" i="2"/>
  <c r="T185" i="2"/>
  <c r="T181" i="2"/>
  <c r="T177" i="2"/>
  <c r="T173" i="2"/>
  <c r="T169" i="2"/>
  <c r="T165" i="2"/>
  <c r="T161" i="2"/>
  <c r="T157" i="2"/>
  <c r="T153" i="2"/>
  <c r="T149" i="2"/>
  <c r="T145" i="2"/>
  <c r="T141" i="2"/>
  <c r="T137" i="2"/>
  <c r="T133" i="2"/>
  <c r="T129" i="2"/>
  <c r="T125" i="2"/>
  <c r="T121" i="2"/>
  <c r="T117" i="2"/>
  <c r="T113" i="2"/>
  <c r="T109" i="2"/>
  <c r="T105" i="2"/>
  <c r="T101" i="2"/>
  <c r="T97" i="2"/>
  <c r="T93" i="2"/>
  <c r="T89" i="2"/>
  <c r="T85" i="2"/>
  <c r="T81" i="2"/>
  <c r="T77" i="2"/>
  <c r="T73" i="2"/>
  <c r="T69" i="2"/>
  <c r="T65" i="2"/>
  <c r="T61" i="2"/>
  <c r="T57" i="2"/>
  <c r="T53" i="2"/>
  <c r="T49" i="2"/>
  <c r="T45" i="2"/>
  <c r="T41" i="2"/>
  <c r="T37" i="2"/>
  <c r="T33" i="2"/>
  <c r="T29" i="2"/>
  <c r="T25" i="2"/>
  <c r="T21" i="2"/>
  <c r="T17" i="2"/>
  <c r="T13" i="2"/>
  <c r="T9" i="2"/>
  <c r="T5" i="2"/>
  <c r="L3" i="2"/>
  <c r="L201" i="2"/>
  <c r="L197" i="2"/>
  <c r="L193" i="2"/>
  <c r="L189" i="2"/>
  <c r="L185" i="2"/>
  <c r="L181" i="2"/>
  <c r="L177" i="2"/>
  <c r="L173" i="2"/>
  <c r="L169" i="2"/>
  <c r="L165" i="2"/>
  <c r="L161" i="2"/>
  <c r="L157" i="2"/>
  <c r="L153" i="2"/>
  <c r="L149" i="2"/>
  <c r="L145" i="2"/>
  <c r="L141" i="2"/>
  <c r="L137" i="2"/>
  <c r="L133" i="2"/>
  <c r="L129" i="2"/>
  <c r="L125" i="2"/>
  <c r="L121" i="2"/>
  <c r="L117" i="2"/>
  <c r="L113" i="2"/>
  <c r="L109" i="2"/>
  <c r="L105" i="2"/>
  <c r="L101" i="2"/>
  <c r="L97" i="2"/>
  <c r="L93" i="2"/>
  <c r="L89" i="2"/>
  <c r="L85" i="2"/>
  <c r="L81" i="2"/>
  <c r="L77" i="2"/>
  <c r="L73" i="2"/>
  <c r="L69" i="2"/>
  <c r="L65" i="2"/>
  <c r="L61" i="2"/>
  <c r="L57" i="2"/>
  <c r="L53" i="2"/>
  <c r="L49" i="2"/>
  <c r="L45" i="2"/>
  <c r="L41" i="2"/>
  <c r="L37" i="2"/>
  <c r="L33" i="2"/>
  <c r="L29" i="2"/>
  <c r="L25" i="2"/>
  <c r="L21" i="2"/>
  <c r="L17" i="2"/>
  <c r="L13" i="2"/>
  <c r="L9" i="2"/>
  <c r="L5" i="2"/>
  <c r="L200" i="2"/>
  <c r="L196" i="2"/>
  <c r="L192" i="2"/>
  <c r="L188" i="2"/>
  <c r="L184" i="2"/>
  <c r="L180" i="2"/>
  <c r="L176" i="2"/>
  <c r="L172" i="2"/>
  <c r="L168" i="2"/>
  <c r="L164" i="2"/>
  <c r="L160" i="2"/>
  <c r="L156" i="2"/>
  <c r="L152" i="2"/>
  <c r="L148" i="2"/>
  <c r="L144" i="2"/>
  <c r="L140" i="2"/>
  <c r="L136" i="2"/>
  <c r="L132" i="2"/>
  <c r="L128" i="2"/>
  <c r="L124" i="2"/>
  <c r="L120" i="2"/>
  <c r="L116" i="2"/>
  <c r="L112" i="2"/>
  <c r="L108" i="2"/>
  <c r="L104" i="2"/>
  <c r="L100" i="2"/>
  <c r="L96" i="2"/>
  <c r="L92" i="2"/>
  <c r="L88" i="2"/>
  <c r="L84" i="2"/>
  <c r="L80" i="2"/>
  <c r="L76" i="2"/>
  <c r="L72" i="2"/>
  <c r="L68" i="2"/>
  <c r="L64" i="2"/>
  <c r="L60" i="2"/>
  <c r="L56" i="2"/>
  <c r="L52" i="2"/>
  <c r="L48" i="2"/>
  <c r="L44" i="2"/>
  <c r="L40" i="2"/>
  <c r="L36" i="2"/>
  <c r="L32" i="2"/>
  <c r="L28" i="2"/>
  <c r="L24" i="2"/>
  <c r="L20" i="2"/>
  <c r="L16" i="2"/>
  <c r="L12" i="2"/>
  <c r="L8" i="2"/>
  <c r="L4" i="2"/>
  <c r="L91" i="2"/>
  <c r="L87" i="2"/>
  <c r="L83" i="2"/>
  <c r="L79" i="2"/>
  <c r="L75" i="2"/>
  <c r="L71" i="2"/>
  <c r="L67" i="2"/>
  <c r="L63" i="2"/>
  <c r="L59" i="2"/>
  <c r="L55" i="2"/>
  <c r="L51" i="2"/>
  <c r="L47" i="2"/>
  <c r="L43" i="2"/>
  <c r="L39" i="2"/>
  <c r="L35" i="2"/>
  <c r="L31" i="2"/>
  <c r="L27" i="2"/>
  <c r="L23" i="2"/>
  <c r="L19" i="2"/>
  <c r="L15" i="2"/>
  <c r="L11" i="2"/>
  <c r="L7" i="2"/>
  <c r="D200" i="2"/>
  <c r="D196" i="2"/>
  <c r="D192" i="2"/>
  <c r="D188" i="2"/>
  <c r="D184" i="2"/>
  <c r="D180" i="2"/>
  <c r="D176" i="2"/>
  <c r="D172" i="2"/>
  <c r="D168" i="2"/>
  <c r="D164" i="2"/>
  <c r="D160" i="2"/>
  <c r="D156" i="2"/>
  <c r="D152" i="2"/>
  <c r="D148" i="2"/>
  <c r="D144" i="2"/>
  <c r="D140" i="2"/>
  <c r="D136" i="2"/>
  <c r="D132" i="2"/>
  <c r="D128" i="2"/>
  <c r="D124" i="2"/>
  <c r="D120" i="2"/>
  <c r="D116" i="2"/>
  <c r="D112" i="2"/>
  <c r="D108" i="2"/>
  <c r="D104" i="2"/>
  <c r="D100" i="2"/>
  <c r="D96" i="2"/>
  <c r="D92" i="2"/>
  <c r="D88" i="2"/>
  <c r="D84" i="2"/>
  <c r="D80" i="2"/>
  <c r="D76" i="2"/>
  <c r="D72" i="2"/>
  <c r="D68" i="2"/>
  <c r="D64" i="2"/>
  <c r="D60" i="2"/>
  <c r="D56" i="2"/>
  <c r="D52" i="2"/>
  <c r="D48" i="2"/>
  <c r="D44" i="2"/>
  <c r="D40" i="2"/>
  <c r="D36" i="2"/>
  <c r="D32" i="2"/>
  <c r="D28" i="2"/>
  <c r="D24" i="2"/>
  <c r="D20" i="2"/>
  <c r="D16" i="2"/>
  <c r="D12" i="2"/>
  <c r="D8" i="2"/>
  <c r="D4" i="2"/>
  <c r="AX200" i="5"/>
  <c r="AZ200" i="5" s="1"/>
  <c r="BC200" i="5" s="1"/>
  <c r="AN200" i="5"/>
  <c r="BH200" i="5"/>
  <c r="BR200" i="5"/>
  <c r="J200" i="5"/>
  <c r="L200" i="5" s="1"/>
  <c r="T200" i="5"/>
  <c r="V200" i="5" s="1"/>
  <c r="Y200" i="5" s="1"/>
  <c r="AD200" i="5"/>
  <c r="AF200" i="5" s="1"/>
  <c r="AK200" i="8"/>
  <c r="AB200" i="8"/>
  <c r="S200" i="8"/>
  <c r="T200" i="8" s="1"/>
  <c r="J200" i="8"/>
  <c r="A200" i="8"/>
  <c r="BR196" i="5"/>
  <c r="AX196" i="5"/>
  <c r="AZ196" i="5" s="1"/>
  <c r="BC196" i="5" s="1"/>
  <c r="AN196" i="5"/>
  <c r="BH196" i="5"/>
  <c r="J196" i="5"/>
  <c r="L196" i="5" s="1"/>
  <c r="T196" i="5"/>
  <c r="V196" i="5" s="1"/>
  <c r="Y196" i="5" s="1"/>
  <c r="AD196" i="5"/>
  <c r="AF196" i="5" s="1"/>
  <c r="AK196" i="8"/>
  <c r="AB196" i="8"/>
  <c r="S196" i="8"/>
  <c r="T196" i="8" s="1"/>
  <c r="J196" i="8"/>
  <c r="A196" i="8"/>
  <c r="AX192" i="5"/>
  <c r="AZ192" i="5" s="1"/>
  <c r="BC192" i="5" s="1"/>
  <c r="AN192" i="5"/>
  <c r="BR192" i="5"/>
  <c r="BH192" i="5"/>
  <c r="J192" i="5"/>
  <c r="L192" i="5" s="1"/>
  <c r="AD192" i="5"/>
  <c r="AF192" i="5" s="1"/>
  <c r="T192" i="5"/>
  <c r="V192" i="5" s="1"/>
  <c r="Y192" i="5" s="1"/>
  <c r="AK192" i="8"/>
  <c r="AB192" i="8"/>
  <c r="S192" i="8"/>
  <c r="T192" i="8" s="1"/>
  <c r="J192" i="8"/>
  <c r="A192" i="8"/>
  <c r="B192" i="8" s="1"/>
  <c r="BH188" i="5"/>
  <c r="AX188" i="5"/>
  <c r="AZ188" i="5" s="1"/>
  <c r="BC188" i="5" s="1"/>
  <c r="AN188" i="5"/>
  <c r="BR188" i="5"/>
  <c r="J188" i="5"/>
  <c r="L188" i="5" s="1"/>
  <c r="AD188" i="5"/>
  <c r="AF188" i="5" s="1"/>
  <c r="T188" i="5"/>
  <c r="V188" i="5" s="1"/>
  <c r="Y188" i="5" s="1"/>
  <c r="AK188" i="8"/>
  <c r="AB188" i="8"/>
  <c r="S188" i="8"/>
  <c r="T188" i="8" s="1"/>
  <c r="J188" i="8"/>
  <c r="A188" i="8"/>
  <c r="AX184" i="5"/>
  <c r="AZ184" i="5" s="1"/>
  <c r="BC184" i="5" s="1"/>
  <c r="AN184" i="5"/>
  <c r="BH184" i="5"/>
  <c r="BR184" i="5"/>
  <c r="J184" i="5"/>
  <c r="L184" i="5" s="1"/>
  <c r="T184" i="5"/>
  <c r="V184" i="5" s="1"/>
  <c r="Y184" i="5" s="1"/>
  <c r="AD184" i="5"/>
  <c r="AF184" i="5" s="1"/>
  <c r="AK184" i="8"/>
  <c r="AB184" i="8"/>
  <c r="S184" i="8"/>
  <c r="T184" i="8" s="1"/>
  <c r="J184" i="8"/>
  <c r="A184" i="8"/>
  <c r="BR180" i="5"/>
  <c r="AX180" i="5"/>
  <c r="AZ180" i="5" s="1"/>
  <c r="BC180" i="5" s="1"/>
  <c r="AN180" i="5"/>
  <c r="BH180" i="5"/>
  <c r="J180" i="5"/>
  <c r="L180" i="5" s="1"/>
  <c r="T180" i="5"/>
  <c r="V180" i="5" s="1"/>
  <c r="Y180" i="5" s="1"/>
  <c r="AD180" i="5"/>
  <c r="AF180" i="5" s="1"/>
  <c r="AK180" i="8"/>
  <c r="AB180" i="8"/>
  <c r="S180" i="8"/>
  <c r="T180" i="8" s="1"/>
  <c r="J180" i="8"/>
  <c r="A180" i="8"/>
  <c r="B180" i="8" s="1"/>
  <c r="AX176" i="5"/>
  <c r="AZ176" i="5" s="1"/>
  <c r="AN176" i="5"/>
  <c r="BR176" i="5"/>
  <c r="BH176" i="5"/>
  <c r="J176" i="5"/>
  <c r="L176" i="5" s="1"/>
  <c r="AD176" i="5"/>
  <c r="AF176" i="5" s="1"/>
  <c r="T176" i="5"/>
  <c r="V176" i="5" s="1"/>
  <c r="Y176" i="5" s="1"/>
  <c r="AK176" i="8"/>
  <c r="AB176" i="8"/>
  <c r="S176" i="8"/>
  <c r="T176" i="8" s="1"/>
  <c r="J176" i="8"/>
  <c r="A176" i="8"/>
  <c r="BR172" i="5"/>
  <c r="BH172" i="5"/>
  <c r="AX172" i="5"/>
  <c r="AZ172" i="5" s="1"/>
  <c r="BC172" i="5" s="1"/>
  <c r="AN172" i="5"/>
  <c r="J172" i="5"/>
  <c r="L172" i="5" s="1"/>
  <c r="AD172" i="5"/>
  <c r="AF172" i="5" s="1"/>
  <c r="T172" i="5"/>
  <c r="V172" i="5" s="1"/>
  <c r="Y172" i="5" s="1"/>
  <c r="AK172" i="8"/>
  <c r="AB172" i="8"/>
  <c r="S172" i="8"/>
  <c r="T172" i="8" s="1"/>
  <c r="J172" i="8"/>
  <c r="A172" i="8"/>
  <c r="AX168" i="5"/>
  <c r="AZ168" i="5" s="1"/>
  <c r="AN168" i="5"/>
  <c r="BR168" i="5"/>
  <c r="BH168" i="5"/>
  <c r="J168" i="5"/>
  <c r="L168" i="5" s="1"/>
  <c r="T168" i="5"/>
  <c r="V168" i="5" s="1"/>
  <c r="Y168" i="5" s="1"/>
  <c r="AD168" i="5"/>
  <c r="AF168" i="5" s="1"/>
  <c r="AK168" i="8"/>
  <c r="AB168" i="8"/>
  <c r="S168" i="8"/>
  <c r="T168" i="8" s="1"/>
  <c r="J168" i="8"/>
  <c r="A168" i="8"/>
  <c r="AX164" i="5"/>
  <c r="AZ164" i="5" s="1"/>
  <c r="AN164" i="5"/>
  <c r="BH164" i="5"/>
  <c r="BR164" i="5"/>
  <c r="J164" i="5"/>
  <c r="L164" i="5" s="1"/>
  <c r="T164" i="5"/>
  <c r="V164" i="5" s="1"/>
  <c r="Y164" i="5" s="1"/>
  <c r="AD164" i="5"/>
  <c r="AF164" i="5" s="1"/>
  <c r="AK164" i="8"/>
  <c r="AB164" i="8"/>
  <c r="S164" i="8"/>
  <c r="T164" i="8" s="1"/>
  <c r="J164" i="8"/>
  <c r="A164" i="8"/>
  <c r="AX160" i="5"/>
  <c r="AZ160" i="5" s="1"/>
  <c r="BC160" i="5" s="1"/>
  <c r="AN160" i="5"/>
  <c r="BR160" i="5"/>
  <c r="BH160" i="5"/>
  <c r="J160" i="5"/>
  <c r="L160" i="5" s="1"/>
  <c r="AD160" i="5"/>
  <c r="AF160" i="5" s="1"/>
  <c r="T160" i="5"/>
  <c r="V160" i="5" s="1"/>
  <c r="Y160" i="5" s="1"/>
  <c r="AK160" i="8"/>
  <c r="AB160" i="8"/>
  <c r="S160" i="8"/>
  <c r="T160" i="8" s="1"/>
  <c r="J160" i="8"/>
  <c r="A160" i="8"/>
  <c r="BR156" i="5"/>
  <c r="BH156" i="5"/>
  <c r="AX156" i="5"/>
  <c r="AZ156" i="5" s="1"/>
  <c r="BC156" i="5" s="1"/>
  <c r="AN156" i="5"/>
  <c r="J156" i="5"/>
  <c r="L156" i="5" s="1"/>
  <c r="AD156" i="5"/>
  <c r="AF156" i="5" s="1"/>
  <c r="T156" i="5"/>
  <c r="V156" i="5" s="1"/>
  <c r="Y156" i="5" s="1"/>
  <c r="AK156" i="8"/>
  <c r="AB156" i="8"/>
  <c r="S156" i="8"/>
  <c r="T156" i="8" s="1"/>
  <c r="J156" i="8"/>
  <c r="A156" i="8"/>
  <c r="BR152" i="5"/>
  <c r="AX152" i="5"/>
  <c r="AZ152" i="5" s="1"/>
  <c r="BC152" i="5" s="1"/>
  <c r="AN152" i="5"/>
  <c r="BH152" i="5"/>
  <c r="J152" i="5"/>
  <c r="L152" i="5" s="1"/>
  <c r="T152" i="5"/>
  <c r="V152" i="5" s="1"/>
  <c r="Y152" i="5" s="1"/>
  <c r="AD152" i="5"/>
  <c r="AF152" i="5" s="1"/>
  <c r="AK152" i="8"/>
  <c r="AB152" i="8"/>
  <c r="S152" i="8"/>
  <c r="T152" i="8" s="1"/>
  <c r="J152" i="8"/>
  <c r="A152" i="8"/>
  <c r="AX148" i="5"/>
  <c r="AZ148" i="5" s="1"/>
  <c r="BC148" i="5" s="1"/>
  <c r="AN148" i="5"/>
  <c r="BR148" i="5"/>
  <c r="BH148" i="5"/>
  <c r="J148" i="5"/>
  <c r="L148" i="5" s="1"/>
  <c r="T148" i="5"/>
  <c r="V148" i="5" s="1"/>
  <c r="Y148" i="5" s="1"/>
  <c r="AD148" i="5"/>
  <c r="AF148" i="5" s="1"/>
  <c r="AK148" i="8"/>
  <c r="AB148" i="8"/>
  <c r="S148" i="8"/>
  <c r="T148" i="8" s="1"/>
  <c r="J148" i="8"/>
  <c r="A148" i="8"/>
  <c r="BR144" i="5"/>
  <c r="AX144" i="5"/>
  <c r="AZ144" i="5" s="1"/>
  <c r="BC144" i="5" s="1"/>
  <c r="AN144" i="5"/>
  <c r="BH144" i="5"/>
  <c r="J144" i="5"/>
  <c r="L144" i="5" s="1"/>
  <c r="AD144" i="5"/>
  <c r="AF144" i="5" s="1"/>
  <c r="T144" i="5"/>
  <c r="V144" i="5" s="1"/>
  <c r="Y144" i="5" s="1"/>
  <c r="AK144" i="8"/>
  <c r="AB144" i="8"/>
  <c r="S144" i="8"/>
  <c r="T144" i="8" s="1"/>
  <c r="J144" i="8"/>
  <c r="A144" i="8"/>
  <c r="BR140" i="5"/>
  <c r="BH140" i="5"/>
  <c r="AX140" i="5"/>
  <c r="AZ140" i="5" s="1"/>
  <c r="BC140" i="5" s="1"/>
  <c r="AN140" i="5"/>
  <c r="J140" i="5"/>
  <c r="L140" i="5" s="1"/>
  <c r="AD140" i="5"/>
  <c r="AF140" i="5" s="1"/>
  <c r="T140" i="5"/>
  <c r="V140" i="5" s="1"/>
  <c r="Y140" i="5" s="1"/>
  <c r="AK140" i="8"/>
  <c r="AB140" i="8"/>
  <c r="S140" i="8"/>
  <c r="T140" i="8" s="1"/>
  <c r="J140" i="8"/>
  <c r="A140" i="8"/>
  <c r="AX136" i="5"/>
  <c r="AZ136" i="5" s="1"/>
  <c r="BC136" i="5" s="1"/>
  <c r="AN136" i="5"/>
  <c r="BH136" i="5"/>
  <c r="BR136" i="5"/>
  <c r="J136" i="5"/>
  <c r="L136" i="5" s="1"/>
  <c r="T136" i="5"/>
  <c r="V136" i="5" s="1"/>
  <c r="Y136" i="5" s="1"/>
  <c r="AD136" i="5"/>
  <c r="AF136" i="5" s="1"/>
  <c r="AK136" i="8"/>
  <c r="AB136" i="8"/>
  <c r="S136" i="8"/>
  <c r="T136" i="8" s="1"/>
  <c r="J136" i="8"/>
  <c r="A136" i="8"/>
  <c r="AX132" i="5"/>
  <c r="AZ132" i="5" s="1"/>
  <c r="BC132" i="5" s="1"/>
  <c r="AN132" i="5"/>
  <c r="BR132" i="5"/>
  <c r="BH132" i="5"/>
  <c r="J132" i="5"/>
  <c r="L132" i="5" s="1"/>
  <c r="T132" i="5"/>
  <c r="V132" i="5" s="1"/>
  <c r="Y132" i="5" s="1"/>
  <c r="AD132" i="5"/>
  <c r="AF132" i="5" s="1"/>
  <c r="AK132" i="8"/>
  <c r="AB132" i="8"/>
  <c r="S132" i="8"/>
  <c r="T132" i="8" s="1"/>
  <c r="J132" i="8"/>
  <c r="A132" i="8"/>
  <c r="B132" i="8" s="1"/>
  <c r="AX128" i="5"/>
  <c r="AZ128" i="5" s="1"/>
  <c r="BC128" i="5" s="1"/>
  <c r="AN128" i="5"/>
  <c r="BR128" i="5"/>
  <c r="BH128" i="5"/>
  <c r="J128" i="5"/>
  <c r="L128" i="5" s="1"/>
  <c r="AD128" i="5"/>
  <c r="AF128" i="5" s="1"/>
  <c r="T128" i="5"/>
  <c r="V128" i="5" s="1"/>
  <c r="Y128" i="5" s="1"/>
  <c r="AK128" i="8"/>
  <c r="AB128" i="8"/>
  <c r="S128" i="8"/>
  <c r="T128" i="8" s="1"/>
  <c r="J128" i="8"/>
  <c r="A128" i="8"/>
  <c r="BR124" i="5"/>
  <c r="BH124" i="5"/>
  <c r="AX124" i="5"/>
  <c r="AZ124" i="5" s="1"/>
  <c r="BC124" i="5" s="1"/>
  <c r="AN124" i="5"/>
  <c r="J124" i="5"/>
  <c r="L124" i="5" s="1"/>
  <c r="AD124" i="5"/>
  <c r="AF124" i="5" s="1"/>
  <c r="T124" i="5"/>
  <c r="V124" i="5" s="1"/>
  <c r="Y124" i="5" s="1"/>
  <c r="AK124" i="8"/>
  <c r="AB124" i="8"/>
  <c r="S124" i="8"/>
  <c r="T124" i="8" s="1"/>
  <c r="J124" i="8"/>
  <c r="A124" i="8"/>
  <c r="AX120" i="5"/>
  <c r="AZ120" i="5" s="1"/>
  <c r="BC120" i="5" s="1"/>
  <c r="AN120" i="5"/>
  <c r="BH120" i="5"/>
  <c r="BR120" i="5"/>
  <c r="J120" i="5"/>
  <c r="L120" i="5" s="1"/>
  <c r="T120" i="5"/>
  <c r="V120" i="5" s="1"/>
  <c r="Y120" i="5" s="1"/>
  <c r="AD120" i="5"/>
  <c r="AF120" i="5" s="1"/>
  <c r="AK120" i="8"/>
  <c r="AB120" i="8"/>
  <c r="S120" i="8"/>
  <c r="T120" i="8" s="1"/>
  <c r="J120" i="8"/>
  <c r="A120" i="8"/>
  <c r="BR116" i="5"/>
  <c r="AX116" i="5"/>
  <c r="AZ116" i="5" s="1"/>
  <c r="BC116" i="5" s="1"/>
  <c r="AN116" i="5"/>
  <c r="BH116" i="5"/>
  <c r="J116" i="5"/>
  <c r="L116" i="5" s="1"/>
  <c r="T116" i="5"/>
  <c r="V116" i="5" s="1"/>
  <c r="Y116" i="5" s="1"/>
  <c r="AD116" i="5"/>
  <c r="AF116" i="5" s="1"/>
  <c r="AK116" i="8"/>
  <c r="AB116" i="8"/>
  <c r="S116" i="8"/>
  <c r="T116" i="8" s="1"/>
  <c r="J116" i="8"/>
  <c r="A116" i="8"/>
  <c r="AX112" i="5"/>
  <c r="AZ112" i="5" s="1"/>
  <c r="BC112" i="5" s="1"/>
  <c r="AN112" i="5"/>
  <c r="BR112" i="5"/>
  <c r="BH112" i="5"/>
  <c r="J112" i="5"/>
  <c r="L112" i="5" s="1"/>
  <c r="AD112" i="5"/>
  <c r="AF112" i="5" s="1"/>
  <c r="T112" i="5"/>
  <c r="V112" i="5" s="1"/>
  <c r="Y112" i="5" s="1"/>
  <c r="AK112" i="8"/>
  <c r="AB112" i="8"/>
  <c r="S112" i="8"/>
  <c r="T112" i="8" s="1"/>
  <c r="J112" i="8"/>
  <c r="A112" i="8"/>
  <c r="B112" i="8" s="1"/>
  <c r="BR108" i="5"/>
  <c r="BH108" i="5"/>
  <c r="AX108" i="5"/>
  <c r="AZ108" i="5" s="1"/>
  <c r="BC108" i="5" s="1"/>
  <c r="AN108" i="5"/>
  <c r="J108" i="5"/>
  <c r="L108" i="5" s="1"/>
  <c r="AD108" i="5"/>
  <c r="AF108" i="5" s="1"/>
  <c r="T108" i="5"/>
  <c r="V108" i="5" s="1"/>
  <c r="Y108" i="5" s="1"/>
  <c r="AK108" i="8"/>
  <c r="AB108" i="8"/>
  <c r="S108" i="8"/>
  <c r="T108" i="8" s="1"/>
  <c r="J108" i="8"/>
  <c r="A108" i="8"/>
  <c r="AX104" i="5"/>
  <c r="AZ104" i="5" s="1"/>
  <c r="BC104" i="5" s="1"/>
  <c r="AN104" i="5"/>
  <c r="BR104" i="5"/>
  <c r="BH104" i="5"/>
  <c r="J104" i="5"/>
  <c r="L104" i="5" s="1"/>
  <c r="T104" i="5"/>
  <c r="V104" i="5" s="1"/>
  <c r="Y104" i="5" s="1"/>
  <c r="AD104" i="5"/>
  <c r="AF104" i="5" s="1"/>
  <c r="AK104" i="8"/>
  <c r="AB104" i="8"/>
  <c r="S104" i="8"/>
  <c r="T104" i="8" s="1"/>
  <c r="J104" i="8"/>
  <c r="A104" i="8"/>
  <c r="B104" i="8" s="1"/>
  <c r="AX100" i="5"/>
  <c r="AZ100" i="5" s="1"/>
  <c r="BC100" i="5" s="1"/>
  <c r="AN100" i="5"/>
  <c r="BH100" i="5"/>
  <c r="BR100" i="5"/>
  <c r="J100" i="5"/>
  <c r="L100" i="5" s="1"/>
  <c r="T100" i="5"/>
  <c r="V100" i="5" s="1"/>
  <c r="Y100" i="5" s="1"/>
  <c r="AD100" i="5"/>
  <c r="AF100" i="5" s="1"/>
  <c r="AK100" i="8"/>
  <c r="AB100" i="8"/>
  <c r="S100" i="8"/>
  <c r="T100" i="8" s="1"/>
  <c r="J100" i="8"/>
  <c r="A100" i="8"/>
  <c r="AN96" i="5"/>
  <c r="BR96" i="5"/>
  <c r="AX96" i="5"/>
  <c r="AZ96" i="5" s="1"/>
  <c r="BC96" i="5" s="1"/>
  <c r="BH96" i="5"/>
  <c r="J96" i="5"/>
  <c r="L96" i="5" s="1"/>
  <c r="AD96" i="5"/>
  <c r="AF96" i="5" s="1"/>
  <c r="T96" i="5"/>
  <c r="V96" i="5" s="1"/>
  <c r="Y96" i="5" s="1"/>
  <c r="AK96" i="8"/>
  <c r="AB96" i="8"/>
  <c r="S96" i="8"/>
  <c r="T96" i="8" s="1"/>
  <c r="J96" i="8"/>
  <c r="A96" i="8"/>
  <c r="BR92" i="5"/>
  <c r="BH92" i="5"/>
  <c r="AN92" i="5"/>
  <c r="AX92" i="5"/>
  <c r="AZ92" i="5" s="1"/>
  <c r="BC92" i="5" s="1"/>
  <c r="J92" i="5"/>
  <c r="L92" i="5" s="1"/>
  <c r="AD92" i="5"/>
  <c r="AF92" i="5" s="1"/>
  <c r="T92" i="5"/>
  <c r="V92" i="5" s="1"/>
  <c r="Y92" i="5" s="1"/>
  <c r="AK92" i="8"/>
  <c r="AB92" i="8"/>
  <c r="S92" i="8"/>
  <c r="T92" i="8" s="1"/>
  <c r="J92" i="8"/>
  <c r="A92" i="8"/>
  <c r="BR88" i="5"/>
  <c r="AN88" i="5"/>
  <c r="BH88" i="5"/>
  <c r="AX88" i="5"/>
  <c r="AZ88" i="5" s="1"/>
  <c r="BC88" i="5" s="1"/>
  <c r="J88" i="5"/>
  <c r="L88" i="5" s="1"/>
  <c r="T88" i="5"/>
  <c r="V88" i="5" s="1"/>
  <c r="Y88" i="5" s="1"/>
  <c r="AK88" i="8"/>
  <c r="AD88" i="5"/>
  <c r="AF88" i="5" s="1"/>
  <c r="AB88" i="8"/>
  <c r="S88" i="8"/>
  <c r="T88" i="8" s="1"/>
  <c r="J88" i="8"/>
  <c r="A88" i="8"/>
  <c r="AX84" i="5"/>
  <c r="AZ84" i="5" s="1"/>
  <c r="BC84" i="5" s="1"/>
  <c r="AN84" i="5"/>
  <c r="BR84" i="5"/>
  <c r="BH84" i="5"/>
  <c r="J84" i="5"/>
  <c r="L84" i="5" s="1"/>
  <c r="T84" i="5"/>
  <c r="V84" i="5" s="1"/>
  <c r="Y84" i="5" s="1"/>
  <c r="AK84" i="8"/>
  <c r="AD84" i="5"/>
  <c r="AF84" i="5" s="1"/>
  <c r="AB84" i="8"/>
  <c r="S84" i="8"/>
  <c r="T84" i="8" s="1"/>
  <c r="J84" i="8"/>
  <c r="A84" i="8"/>
  <c r="BR80" i="5"/>
  <c r="AN80" i="5"/>
  <c r="AX80" i="5"/>
  <c r="AZ80" i="5" s="1"/>
  <c r="BC80" i="5" s="1"/>
  <c r="BH80" i="5"/>
  <c r="J80" i="5"/>
  <c r="L80" i="5" s="1"/>
  <c r="AD80" i="5"/>
  <c r="AF80" i="5" s="1"/>
  <c r="T80" i="5"/>
  <c r="V80" i="5" s="1"/>
  <c r="Y80" i="5" s="1"/>
  <c r="AK80" i="8"/>
  <c r="AB80" i="8"/>
  <c r="S80" i="8"/>
  <c r="T80" i="8" s="1"/>
  <c r="J80" i="8"/>
  <c r="A80" i="8"/>
  <c r="BR76" i="5"/>
  <c r="BH76" i="5"/>
  <c r="AN76" i="5"/>
  <c r="AX76" i="5"/>
  <c r="AZ76" i="5" s="1"/>
  <c r="BC76" i="5" s="1"/>
  <c r="J76" i="5"/>
  <c r="L76" i="5" s="1"/>
  <c r="AD76" i="5"/>
  <c r="AF76" i="5" s="1"/>
  <c r="T76" i="5"/>
  <c r="V76" i="5" s="1"/>
  <c r="Y76" i="5" s="1"/>
  <c r="AK76" i="8"/>
  <c r="AB76" i="8"/>
  <c r="S76" i="8"/>
  <c r="T76" i="8" s="1"/>
  <c r="J76" i="8"/>
  <c r="A76" i="8"/>
  <c r="AN72" i="5"/>
  <c r="BH72" i="5"/>
  <c r="BR72" i="5"/>
  <c r="AX72" i="5"/>
  <c r="AZ72" i="5" s="1"/>
  <c r="BC72" i="5" s="1"/>
  <c r="J72" i="5"/>
  <c r="L72" i="5" s="1"/>
  <c r="T72" i="5"/>
  <c r="V72" i="5" s="1"/>
  <c r="Y72" i="5" s="1"/>
  <c r="AK72" i="8"/>
  <c r="AD72" i="5"/>
  <c r="AF72" i="5" s="1"/>
  <c r="AB72" i="8"/>
  <c r="S72" i="8"/>
  <c r="T72" i="8" s="1"/>
  <c r="J72" i="8"/>
  <c r="A72" i="8"/>
  <c r="B72" i="8" s="1"/>
  <c r="AX68" i="5"/>
  <c r="AZ68" i="5" s="1"/>
  <c r="BC68" i="5" s="1"/>
  <c r="AN68" i="5"/>
  <c r="BR68" i="5"/>
  <c r="BH68" i="5"/>
  <c r="J68" i="5"/>
  <c r="L68" i="5" s="1"/>
  <c r="T68" i="5"/>
  <c r="V68" i="5" s="1"/>
  <c r="Y68" i="5" s="1"/>
  <c r="AK68" i="8"/>
  <c r="AD68" i="5"/>
  <c r="AF68" i="5" s="1"/>
  <c r="AB68" i="8"/>
  <c r="S68" i="8"/>
  <c r="T68" i="8" s="1"/>
  <c r="J68" i="8"/>
  <c r="A68" i="8"/>
  <c r="AN64" i="5"/>
  <c r="AD64" i="5"/>
  <c r="AF64" i="5" s="1"/>
  <c r="AX64" i="5"/>
  <c r="AZ64" i="5" s="1"/>
  <c r="BC64" i="5" s="1"/>
  <c r="BR64" i="5"/>
  <c r="BH64" i="5"/>
  <c r="J64" i="5"/>
  <c r="L64" i="5" s="1"/>
  <c r="T64" i="5"/>
  <c r="V64" i="5" s="1"/>
  <c r="Y64" i="5" s="1"/>
  <c r="AK64" i="8"/>
  <c r="AB64" i="8"/>
  <c r="S64" i="8"/>
  <c r="T64" i="8" s="1"/>
  <c r="J64" i="8"/>
  <c r="A64" i="8"/>
  <c r="BR60" i="5"/>
  <c r="BH60" i="5"/>
  <c r="AN60" i="5"/>
  <c r="AD60" i="5"/>
  <c r="AF60" i="5" s="1"/>
  <c r="AX60" i="5"/>
  <c r="AZ60" i="5" s="1"/>
  <c r="BC60" i="5" s="1"/>
  <c r="J60" i="5"/>
  <c r="L60" i="5" s="1"/>
  <c r="T60" i="5"/>
  <c r="V60" i="5" s="1"/>
  <c r="Y60" i="5" s="1"/>
  <c r="AK60" i="8"/>
  <c r="AB60" i="8"/>
  <c r="S60" i="8"/>
  <c r="T60" i="8" s="1"/>
  <c r="J60" i="8"/>
  <c r="A60" i="8"/>
  <c r="AN56" i="5"/>
  <c r="AD56" i="5"/>
  <c r="AF56" i="5" s="1"/>
  <c r="BH56" i="5"/>
  <c r="BR56" i="5"/>
  <c r="AX56" i="5"/>
  <c r="AZ56" i="5" s="1"/>
  <c r="BC56" i="5" s="1"/>
  <c r="J56" i="5"/>
  <c r="L56" i="5" s="1"/>
  <c r="T56" i="5"/>
  <c r="V56" i="5" s="1"/>
  <c r="Y56" i="5" s="1"/>
  <c r="AK56" i="8"/>
  <c r="AB56" i="8"/>
  <c r="S56" i="8"/>
  <c r="T56" i="8" s="1"/>
  <c r="J56" i="8"/>
  <c r="A56" i="8"/>
  <c r="BR52" i="5"/>
  <c r="AX52" i="5"/>
  <c r="AZ52" i="5" s="1"/>
  <c r="BC52" i="5" s="1"/>
  <c r="AN52" i="5"/>
  <c r="AD52" i="5"/>
  <c r="AF52" i="5" s="1"/>
  <c r="BH52" i="5"/>
  <c r="J52" i="5"/>
  <c r="L52" i="5" s="1"/>
  <c r="T52" i="5"/>
  <c r="V52" i="5" s="1"/>
  <c r="Y52" i="5" s="1"/>
  <c r="AK52" i="8"/>
  <c r="AB52" i="8"/>
  <c r="S52" i="8"/>
  <c r="T52" i="8" s="1"/>
  <c r="J52" i="8"/>
  <c r="A52" i="8"/>
  <c r="B52" i="8" s="1"/>
  <c r="AN48" i="5"/>
  <c r="AD48" i="5"/>
  <c r="AF48" i="5" s="1"/>
  <c r="AX48" i="5"/>
  <c r="AZ48" i="5" s="1"/>
  <c r="BC48" i="5" s="1"/>
  <c r="BR48" i="5"/>
  <c r="BH48" i="5"/>
  <c r="J48" i="5"/>
  <c r="L48" i="5" s="1"/>
  <c r="T48" i="5"/>
  <c r="V48" i="5" s="1"/>
  <c r="Y48" i="5" s="1"/>
  <c r="AK48" i="8"/>
  <c r="AB48" i="8"/>
  <c r="S48" i="8"/>
  <c r="T48" i="8" s="1"/>
  <c r="J48" i="8"/>
  <c r="A48" i="8"/>
  <c r="BR44" i="5"/>
  <c r="BH44" i="5"/>
  <c r="AN44" i="5"/>
  <c r="AD44" i="5"/>
  <c r="AF44" i="5" s="1"/>
  <c r="AX44" i="5"/>
  <c r="AZ44" i="5" s="1"/>
  <c r="BC44" i="5" s="1"/>
  <c r="J44" i="5"/>
  <c r="L44" i="5" s="1"/>
  <c r="T44" i="5"/>
  <c r="V44" i="5" s="1"/>
  <c r="Y44" i="5" s="1"/>
  <c r="AK44" i="8"/>
  <c r="AB44" i="8"/>
  <c r="S44" i="8"/>
  <c r="T44" i="8" s="1"/>
  <c r="J44" i="8"/>
  <c r="A44" i="8"/>
  <c r="AN40" i="5"/>
  <c r="AD40" i="5"/>
  <c r="AF40" i="5" s="1"/>
  <c r="BR40" i="5"/>
  <c r="BH40" i="5"/>
  <c r="AX40" i="5"/>
  <c r="AZ40" i="5" s="1"/>
  <c r="BC40" i="5" s="1"/>
  <c r="J40" i="5"/>
  <c r="L40" i="5" s="1"/>
  <c r="T40" i="5"/>
  <c r="V40" i="5" s="1"/>
  <c r="Y40" i="5" s="1"/>
  <c r="AK40" i="8"/>
  <c r="AB40" i="8"/>
  <c r="S40" i="8"/>
  <c r="T40" i="8" s="1"/>
  <c r="J40" i="8"/>
  <c r="A40" i="8"/>
  <c r="AX36" i="5"/>
  <c r="AZ36" i="5" s="1"/>
  <c r="BA36" i="5" s="1"/>
  <c r="BD36" i="5" s="1"/>
  <c r="AN36" i="5"/>
  <c r="AD36" i="5"/>
  <c r="AF36" i="5" s="1"/>
  <c r="BH36" i="5"/>
  <c r="BR36" i="5"/>
  <c r="J36" i="5"/>
  <c r="L36" i="5" s="1"/>
  <c r="T36" i="5"/>
  <c r="V36" i="5" s="1"/>
  <c r="Y36" i="5" s="1"/>
  <c r="AK36" i="8"/>
  <c r="AB36" i="8"/>
  <c r="S36" i="8"/>
  <c r="T36" i="8" s="1"/>
  <c r="J36" i="8"/>
  <c r="A36" i="8"/>
  <c r="AN32" i="5"/>
  <c r="AD32" i="5"/>
  <c r="AF32" i="5" s="1"/>
  <c r="BR32" i="5"/>
  <c r="AX32" i="5"/>
  <c r="AZ32" i="5" s="1"/>
  <c r="BH32" i="5"/>
  <c r="J32" i="5"/>
  <c r="L32" i="5" s="1"/>
  <c r="T32" i="5"/>
  <c r="V32" i="5" s="1"/>
  <c r="Y32" i="5" s="1"/>
  <c r="AK32" i="8"/>
  <c r="AB32" i="8"/>
  <c r="S32" i="8"/>
  <c r="T32" i="8" s="1"/>
  <c r="J32" i="8"/>
  <c r="A32" i="8"/>
  <c r="B32" i="8" s="1"/>
  <c r="BH28" i="5"/>
  <c r="AN28" i="5"/>
  <c r="AD28" i="5"/>
  <c r="AF28" i="5" s="1"/>
  <c r="AX28" i="5"/>
  <c r="AZ28" i="5" s="1"/>
  <c r="BA28" i="5" s="1"/>
  <c r="BD28" i="5" s="1"/>
  <c r="BR28" i="5"/>
  <c r="J28" i="5"/>
  <c r="L28" i="5" s="1"/>
  <c r="T28" i="5"/>
  <c r="V28" i="5" s="1"/>
  <c r="Y28" i="5" s="1"/>
  <c r="AK28" i="8"/>
  <c r="AB28" i="8"/>
  <c r="S28" i="8"/>
  <c r="T28" i="8" s="1"/>
  <c r="J28" i="8"/>
  <c r="A28" i="8"/>
  <c r="AN24" i="5"/>
  <c r="AD24" i="5"/>
  <c r="AF24" i="5" s="1"/>
  <c r="BH24" i="5"/>
  <c r="BR24" i="5"/>
  <c r="AX24" i="5"/>
  <c r="AZ24" i="5" s="1"/>
  <c r="J24" i="5"/>
  <c r="L24" i="5" s="1"/>
  <c r="T24" i="5"/>
  <c r="V24" i="5" s="1"/>
  <c r="Y24" i="5" s="1"/>
  <c r="AK24" i="8"/>
  <c r="AB24" i="8"/>
  <c r="S24" i="8"/>
  <c r="T24" i="8" s="1"/>
  <c r="J24" i="8"/>
  <c r="A24" i="8"/>
  <c r="BR20" i="5"/>
  <c r="AX20" i="5"/>
  <c r="AZ20" i="5" s="1"/>
  <c r="AN20" i="5"/>
  <c r="AD20" i="5"/>
  <c r="AF20" i="5" s="1"/>
  <c r="BH20" i="5"/>
  <c r="J20" i="5"/>
  <c r="L20" i="5" s="1"/>
  <c r="T20" i="5"/>
  <c r="V20" i="5" s="1"/>
  <c r="Y20" i="5" s="1"/>
  <c r="AK20" i="8"/>
  <c r="AB20" i="8"/>
  <c r="S20" i="8"/>
  <c r="T20" i="8" s="1"/>
  <c r="J20" i="8"/>
  <c r="A20" i="8"/>
  <c r="AN16" i="5"/>
  <c r="AD16" i="5"/>
  <c r="AF16" i="5" s="1"/>
  <c r="AX16" i="5"/>
  <c r="AZ16" i="5" s="1"/>
  <c r="BA16" i="5" s="1"/>
  <c r="BD16" i="5" s="1"/>
  <c r="BR16" i="5"/>
  <c r="BH16" i="5"/>
  <c r="J16" i="5"/>
  <c r="L16" i="5" s="1"/>
  <c r="T16" i="5"/>
  <c r="V16" i="5" s="1"/>
  <c r="Y16" i="5" s="1"/>
  <c r="AK16" i="8"/>
  <c r="AB16" i="8"/>
  <c r="S16" i="8"/>
  <c r="T16" i="8" s="1"/>
  <c r="J16" i="8"/>
  <c r="A16" i="8"/>
  <c r="BR12" i="5"/>
  <c r="BH12" i="5"/>
  <c r="AN12" i="5"/>
  <c r="AD12" i="5"/>
  <c r="AF12" i="5" s="1"/>
  <c r="AX12" i="5"/>
  <c r="AZ12" i="5" s="1"/>
  <c r="J12" i="5"/>
  <c r="L12" i="5" s="1"/>
  <c r="T12" i="5"/>
  <c r="V12" i="5" s="1"/>
  <c r="Y12" i="5" s="1"/>
  <c r="AK12" i="8"/>
  <c r="AB12" i="8"/>
  <c r="S12" i="8"/>
  <c r="T12" i="8" s="1"/>
  <c r="J12" i="8"/>
  <c r="A12" i="8"/>
  <c r="AN8" i="5"/>
  <c r="AD8" i="5"/>
  <c r="AF8" i="5" s="1"/>
  <c r="BH8" i="5"/>
  <c r="BR8" i="5"/>
  <c r="AX8" i="5"/>
  <c r="AZ8" i="5" s="1"/>
  <c r="J8" i="5"/>
  <c r="L8" i="5" s="1"/>
  <c r="T8" i="5"/>
  <c r="V8" i="5" s="1"/>
  <c r="Y8" i="5" s="1"/>
  <c r="AK8" i="8"/>
  <c r="AB8" i="8"/>
  <c r="S8" i="8"/>
  <c r="T8" i="8" s="1"/>
  <c r="J8" i="8"/>
  <c r="A8" i="8"/>
  <c r="BR4" i="5"/>
  <c r="AX4" i="5"/>
  <c r="AZ4" i="5" s="1"/>
  <c r="AN4" i="5"/>
  <c r="AD4" i="5"/>
  <c r="AF4" i="5" s="1"/>
  <c r="BH4" i="5"/>
  <c r="J4" i="5"/>
  <c r="L4" i="5" s="1"/>
  <c r="T4" i="5"/>
  <c r="V4" i="5" s="1"/>
  <c r="Y4" i="5" s="1"/>
  <c r="AK4" i="8"/>
  <c r="AB4" i="8"/>
  <c r="S4" i="8"/>
  <c r="T4" i="8" s="1"/>
  <c r="J4" i="8"/>
  <c r="A4" i="8"/>
  <c r="D3" i="2"/>
  <c r="D199" i="2"/>
  <c r="D195" i="2"/>
  <c r="D191" i="2"/>
  <c r="D187" i="2"/>
  <c r="D183" i="2"/>
  <c r="D179" i="2"/>
  <c r="D175" i="2"/>
  <c r="D171" i="2"/>
  <c r="D167" i="2"/>
  <c r="D163" i="2"/>
  <c r="D159" i="2"/>
  <c r="D155" i="2"/>
  <c r="D151" i="2"/>
  <c r="D147" i="2"/>
  <c r="D143" i="2"/>
  <c r="D139" i="2"/>
  <c r="D135" i="2"/>
  <c r="D131" i="2"/>
  <c r="D127" i="2"/>
  <c r="D123" i="2"/>
  <c r="D119" i="2"/>
  <c r="D115" i="2"/>
  <c r="D111" i="2"/>
  <c r="D107" i="2"/>
  <c r="D103" i="2"/>
  <c r="D99" i="2"/>
  <c r="D95" i="2"/>
  <c r="D91" i="2"/>
  <c r="D87" i="2"/>
  <c r="D83" i="2"/>
  <c r="D79" i="2"/>
  <c r="D75" i="2"/>
  <c r="D71" i="2"/>
  <c r="D67" i="2"/>
  <c r="D63" i="2"/>
  <c r="D59" i="2"/>
  <c r="D55" i="2"/>
  <c r="D51" i="2"/>
  <c r="D47" i="2"/>
  <c r="D43" i="2"/>
  <c r="D39" i="2"/>
  <c r="D35" i="2"/>
  <c r="D31" i="2"/>
  <c r="D27" i="2"/>
  <c r="D23" i="2"/>
  <c r="D19" i="2"/>
  <c r="D15" i="2"/>
  <c r="D11" i="2"/>
  <c r="D7" i="2"/>
  <c r="BR3" i="5"/>
  <c r="BH3" i="5"/>
  <c r="BI3" i="5" s="1"/>
  <c r="AX3" i="5"/>
  <c r="AZ3" i="5" s="1"/>
  <c r="BC3" i="5" s="1"/>
  <c r="AN3" i="5"/>
  <c r="AP3" i="5" s="1"/>
  <c r="AS3" i="5" s="1"/>
  <c r="AD3" i="5"/>
  <c r="AF3" i="5" s="1"/>
  <c r="J3" i="5"/>
  <c r="L3" i="5" s="1"/>
  <c r="O3" i="5" s="1"/>
  <c r="T3" i="5"/>
  <c r="V3" i="5" s="1"/>
  <c r="Y3" i="5" s="1"/>
  <c r="AK3" i="8"/>
  <c r="AB3" i="8"/>
  <c r="S3" i="8"/>
  <c r="T3" i="8" s="1"/>
  <c r="J3" i="8"/>
  <c r="K3" i="8" s="1"/>
  <c r="A3" i="8"/>
  <c r="BH199" i="5"/>
  <c r="BR199" i="5"/>
  <c r="AX199" i="5"/>
  <c r="AZ199" i="5" s="1"/>
  <c r="AN199" i="5"/>
  <c r="AD199" i="5"/>
  <c r="AF199" i="5" s="1"/>
  <c r="T199" i="5"/>
  <c r="V199" i="5" s="1"/>
  <c r="Y199" i="5" s="1"/>
  <c r="J199" i="5"/>
  <c r="L199" i="5" s="1"/>
  <c r="AK199" i="8"/>
  <c r="AB199" i="8"/>
  <c r="S199" i="8"/>
  <c r="T199" i="8" s="1"/>
  <c r="J199" i="8"/>
  <c r="A199" i="8"/>
  <c r="BH195" i="5"/>
  <c r="BI195" i="5" s="1"/>
  <c r="BR195" i="5"/>
  <c r="AX195" i="5"/>
  <c r="AZ195" i="5" s="1"/>
  <c r="AN195" i="5"/>
  <c r="AD195" i="5"/>
  <c r="AF195" i="5" s="1"/>
  <c r="T195" i="5"/>
  <c r="V195" i="5" s="1"/>
  <c r="Y195" i="5" s="1"/>
  <c r="J195" i="5"/>
  <c r="L195" i="5" s="1"/>
  <c r="AK195" i="8"/>
  <c r="AB195" i="8"/>
  <c r="S195" i="8"/>
  <c r="T195" i="8" s="1"/>
  <c r="J195" i="8"/>
  <c r="A195" i="8"/>
  <c r="BR191" i="5"/>
  <c r="BH191" i="5"/>
  <c r="AX191" i="5"/>
  <c r="AZ191" i="5" s="1"/>
  <c r="BC191" i="5" s="1"/>
  <c r="AN191" i="5"/>
  <c r="AD191" i="5"/>
  <c r="AF191" i="5" s="1"/>
  <c r="T191" i="5"/>
  <c r="V191" i="5" s="1"/>
  <c r="Y191" i="5" s="1"/>
  <c r="AK191" i="8"/>
  <c r="AB191" i="8"/>
  <c r="S191" i="8"/>
  <c r="T191" i="8" s="1"/>
  <c r="J191" i="8"/>
  <c r="J191" i="5"/>
  <c r="L191" i="5" s="1"/>
  <c r="A191" i="8"/>
  <c r="BR187" i="5"/>
  <c r="BH187" i="5"/>
  <c r="AX187" i="5"/>
  <c r="AZ187" i="5" s="1"/>
  <c r="BC187" i="5" s="1"/>
  <c r="AN187" i="5"/>
  <c r="AD187" i="5"/>
  <c r="AF187" i="5" s="1"/>
  <c r="T187" i="5"/>
  <c r="V187" i="5" s="1"/>
  <c r="Y187" i="5" s="1"/>
  <c r="J187" i="5"/>
  <c r="L187" i="5" s="1"/>
  <c r="AK187" i="8"/>
  <c r="AB187" i="8"/>
  <c r="S187" i="8"/>
  <c r="T187" i="8" s="1"/>
  <c r="J187" i="8"/>
  <c r="A187" i="8"/>
  <c r="B187" i="8" s="1"/>
  <c r="BH183" i="5"/>
  <c r="BR183" i="5"/>
  <c r="AX183" i="5"/>
  <c r="AZ183" i="5" s="1"/>
  <c r="BC183" i="5" s="1"/>
  <c r="AN183" i="5"/>
  <c r="AD183" i="5"/>
  <c r="AF183" i="5" s="1"/>
  <c r="T183" i="5"/>
  <c r="V183" i="5" s="1"/>
  <c r="Y183" i="5" s="1"/>
  <c r="J183" i="5"/>
  <c r="L183" i="5" s="1"/>
  <c r="AK183" i="8"/>
  <c r="AB183" i="8"/>
  <c r="S183" i="8"/>
  <c r="T183" i="8" s="1"/>
  <c r="J183" i="8"/>
  <c r="A183" i="8"/>
  <c r="BH179" i="5"/>
  <c r="BR179" i="5"/>
  <c r="AX179" i="5"/>
  <c r="AZ179" i="5" s="1"/>
  <c r="BC179" i="5" s="1"/>
  <c r="AN179" i="5"/>
  <c r="AD179" i="5"/>
  <c r="AF179" i="5" s="1"/>
  <c r="T179" i="5"/>
  <c r="V179" i="5" s="1"/>
  <c r="Y179" i="5" s="1"/>
  <c r="J179" i="5"/>
  <c r="L179" i="5" s="1"/>
  <c r="AK179" i="8"/>
  <c r="AB179" i="8"/>
  <c r="S179" i="8"/>
  <c r="T179" i="8" s="1"/>
  <c r="J179" i="8"/>
  <c r="A179" i="8"/>
  <c r="BR175" i="5"/>
  <c r="BH175" i="5"/>
  <c r="AX175" i="5"/>
  <c r="AZ175" i="5" s="1"/>
  <c r="BC175" i="5" s="1"/>
  <c r="AN175" i="5"/>
  <c r="AD175" i="5"/>
  <c r="AF175" i="5" s="1"/>
  <c r="T175" i="5"/>
  <c r="V175" i="5" s="1"/>
  <c r="Y175" i="5" s="1"/>
  <c r="AK175" i="8"/>
  <c r="AB175" i="8"/>
  <c r="S175" i="8"/>
  <c r="T175" i="8" s="1"/>
  <c r="J175" i="8"/>
  <c r="J175" i="5"/>
  <c r="L175" i="5" s="1"/>
  <c r="A175" i="8"/>
  <c r="BR171" i="5"/>
  <c r="BH171" i="5"/>
  <c r="AX171" i="5"/>
  <c r="AZ171" i="5" s="1"/>
  <c r="BC171" i="5" s="1"/>
  <c r="AN171" i="5"/>
  <c r="AD171" i="5"/>
  <c r="AF171" i="5" s="1"/>
  <c r="T171" i="5"/>
  <c r="V171" i="5" s="1"/>
  <c r="Y171" i="5" s="1"/>
  <c r="J171" i="5"/>
  <c r="L171" i="5" s="1"/>
  <c r="AK171" i="8"/>
  <c r="AB171" i="8"/>
  <c r="S171" i="8"/>
  <c r="T171" i="8" s="1"/>
  <c r="J171" i="8"/>
  <c r="A171" i="8"/>
  <c r="BR167" i="5"/>
  <c r="BH167" i="5"/>
  <c r="AX167" i="5"/>
  <c r="AZ167" i="5" s="1"/>
  <c r="BC167" i="5" s="1"/>
  <c r="AN167" i="5"/>
  <c r="AD167" i="5"/>
  <c r="AF167" i="5" s="1"/>
  <c r="T167" i="5"/>
  <c r="V167" i="5" s="1"/>
  <c r="Y167" i="5" s="1"/>
  <c r="J167" i="5"/>
  <c r="L167" i="5" s="1"/>
  <c r="AK167" i="8"/>
  <c r="AB167" i="8"/>
  <c r="S167" i="8"/>
  <c r="T167" i="8" s="1"/>
  <c r="J167" i="8"/>
  <c r="A167" i="8"/>
  <c r="BH163" i="5"/>
  <c r="BR163" i="5"/>
  <c r="AX163" i="5"/>
  <c r="AZ163" i="5" s="1"/>
  <c r="BC163" i="5" s="1"/>
  <c r="AN163" i="5"/>
  <c r="AD163" i="5"/>
  <c r="AF163" i="5" s="1"/>
  <c r="T163" i="5"/>
  <c r="V163" i="5" s="1"/>
  <c r="Y163" i="5" s="1"/>
  <c r="J163" i="5"/>
  <c r="L163" i="5" s="1"/>
  <c r="AK163" i="8"/>
  <c r="AB163" i="8"/>
  <c r="S163" i="8"/>
  <c r="T163" i="8" s="1"/>
  <c r="J163" i="8"/>
  <c r="A163" i="8"/>
  <c r="BR159" i="5"/>
  <c r="BH159" i="5"/>
  <c r="AX159" i="5"/>
  <c r="AZ159" i="5" s="1"/>
  <c r="BC159" i="5" s="1"/>
  <c r="AN159" i="5"/>
  <c r="AD159" i="5"/>
  <c r="AF159" i="5" s="1"/>
  <c r="T159" i="5"/>
  <c r="V159" i="5" s="1"/>
  <c r="Y159" i="5" s="1"/>
  <c r="AK159" i="8"/>
  <c r="AB159" i="8"/>
  <c r="S159" i="8"/>
  <c r="T159" i="8" s="1"/>
  <c r="J159" i="8"/>
  <c r="J159" i="5"/>
  <c r="L159" i="5" s="1"/>
  <c r="A159" i="8"/>
  <c r="BR155" i="5"/>
  <c r="BH155" i="5"/>
  <c r="AX155" i="5"/>
  <c r="AZ155" i="5" s="1"/>
  <c r="BC155" i="5" s="1"/>
  <c r="AN155" i="5"/>
  <c r="AD155" i="5"/>
  <c r="AF155" i="5" s="1"/>
  <c r="T155" i="5"/>
  <c r="V155" i="5" s="1"/>
  <c r="Y155" i="5" s="1"/>
  <c r="J155" i="5"/>
  <c r="L155" i="5" s="1"/>
  <c r="AK155" i="8"/>
  <c r="AB155" i="8"/>
  <c r="S155" i="8"/>
  <c r="T155" i="8" s="1"/>
  <c r="J155" i="8"/>
  <c r="A155" i="8"/>
  <c r="B155" i="8" s="1"/>
  <c r="BR151" i="5"/>
  <c r="BH151" i="5"/>
  <c r="AX151" i="5"/>
  <c r="AZ151" i="5" s="1"/>
  <c r="BC151" i="5" s="1"/>
  <c r="AN151" i="5"/>
  <c r="AD151" i="5"/>
  <c r="AF151" i="5" s="1"/>
  <c r="T151" i="5"/>
  <c r="V151" i="5" s="1"/>
  <c r="Y151" i="5" s="1"/>
  <c r="J151" i="5"/>
  <c r="L151" i="5" s="1"/>
  <c r="AK151" i="8"/>
  <c r="AB151" i="8"/>
  <c r="S151" i="8"/>
  <c r="T151" i="8" s="1"/>
  <c r="J151" i="8"/>
  <c r="A151" i="8"/>
  <c r="BR147" i="5"/>
  <c r="BH147" i="5"/>
  <c r="AX147" i="5"/>
  <c r="AZ147" i="5" s="1"/>
  <c r="BC147" i="5" s="1"/>
  <c r="AN147" i="5"/>
  <c r="AD147" i="5"/>
  <c r="AF147" i="5" s="1"/>
  <c r="T147" i="5"/>
  <c r="V147" i="5" s="1"/>
  <c r="Y147" i="5" s="1"/>
  <c r="J147" i="5"/>
  <c r="L147" i="5" s="1"/>
  <c r="AK147" i="8"/>
  <c r="AB147" i="8"/>
  <c r="S147" i="8"/>
  <c r="T147" i="8" s="1"/>
  <c r="J147" i="8"/>
  <c r="A147" i="8"/>
  <c r="BH143" i="5"/>
  <c r="BR143" i="5"/>
  <c r="AX143" i="5"/>
  <c r="AZ143" i="5" s="1"/>
  <c r="BC143" i="5" s="1"/>
  <c r="AN143" i="5"/>
  <c r="AD143" i="5"/>
  <c r="AF143" i="5" s="1"/>
  <c r="T143" i="5"/>
  <c r="V143" i="5" s="1"/>
  <c r="Y143" i="5" s="1"/>
  <c r="AK143" i="8"/>
  <c r="AB143" i="8"/>
  <c r="S143" i="8"/>
  <c r="T143" i="8" s="1"/>
  <c r="J143" i="8"/>
  <c r="J143" i="5"/>
  <c r="L143" i="5" s="1"/>
  <c r="A143" i="8"/>
  <c r="BR139" i="5"/>
  <c r="BH139" i="5"/>
  <c r="AX139" i="5"/>
  <c r="AZ139" i="5" s="1"/>
  <c r="BC139" i="5" s="1"/>
  <c r="AN139" i="5"/>
  <c r="AD139" i="5"/>
  <c r="AF139" i="5" s="1"/>
  <c r="T139" i="5"/>
  <c r="V139" i="5" s="1"/>
  <c r="Y139" i="5" s="1"/>
  <c r="J139" i="5"/>
  <c r="L139" i="5" s="1"/>
  <c r="AK139" i="8"/>
  <c r="AB139" i="8"/>
  <c r="S139" i="8"/>
  <c r="T139" i="8" s="1"/>
  <c r="J139" i="8"/>
  <c r="A139" i="8"/>
  <c r="BR135" i="5"/>
  <c r="BH135" i="5"/>
  <c r="AX135" i="5"/>
  <c r="AZ135" i="5" s="1"/>
  <c r="BC135" i="5" s="1"/>
  <c r="AN135" i="5"/>
  <c r="AD135" i="5"/>
  <c r="AF135" i="5" s="1"/>
  <c r="T135" i="5"/>
  <c r="V135" i="5" s="1"/>
  <c r="Y135" i="5" s="1"/>
  <c r="J135" i="5"/>
  <c r="L135" i="5" s="1"/>
  <c r="AK135" i="8"/>
  <c r="AB135" i="8"/>
  <c r="S135" i="8"/>
  <c r="T135" i="8" s="1"/>
  <c r="J135" i="8"/>
  <c r="A135" i="8"/>
  <c r="BR131" i="5"/>
  <c r="BH131" i="5"/>
  <c r="AX131" i="5"/>
  <c r="AZ131" i="5" s="1"/>
  <c r="BC131" i="5" s="1"/>
  <c r="AN131" i="5"/>
  <c r="AD131" i="5"/>
  <c r="AF131" i="5" s="1"/>
  <c r="T131" i="5"/>
  <c r="V131" i="5" s="1"/>
  <c r="Y131" i="5" s="1"/>
  <c r="J131" i="5"/>
  <c r="L131" i="5" s="1"/>
  <c r="AK131" i="8"/>
  <c r="AB131" i="8"/>
  <c r="S131" i="8"/>
  <c r="T131" i="8" s="1"/>
  <c r="J131" i="8"/>
  <c r="A131" i="8"/>
  <c r="BR127" i="5"/>
  <c r="BH127" i="5"/>
  <c r="AX127" i="5"/>
  <c r="AZ127" i="5" s="1"/>
  <c r="BC127" i="5" s="1"/>
  <c r="AN127" i="5"/>
  <c r="AD127" i="5"/>
  <c r="AF127" i="5" s="1"/>
  <c r="T127" i="5"/>
  <c r="V127" i="5" s="1"/>
  <c r="Y127" i="5" s="1"/>
  <c r="AK127" i="8"/>
  <c r="AB127" i="8"/>
  <c r="S127" i="8"/>
  <c r="T127" i="8" s="1"/>
  <c r="J127" i="8"/>
  <c r="J127" i="5"/>
  <c r="L127" i="5" s="1"/>
  <c r="A127" i="8"/>
  <c r="BR123" i="5"/>
  <c r="BH123" i="5"/>
  <c r="AX123" i="5"/>
  <c r="AZ123" i="5" s="1"/>
  <c r="BC123" i="5" s="1"/>
  <c r="AN123" i="5"/>
  <c r="AD123" i="5"/>
  <c r="AF123" i="5" s="1"/>
  <c r="T123" i="5"/>
  <c r="V123" i="5" s="1"/>
  <c r="Y123" i="5" s="1"/>
  <c r="J123" i="5"/>
  <c r="L123" i="5" s="1"/>
  <c r="AK123" i="8"/>
  <c r="AB123" i="8"/>
  <c r="S123" i="8"/>
  <c r="T123" i="8" s="1"/>
  <c r="J123" i="8"/>
  <c r="A123" i="8"/>
  <c r="BR119" i="5"/>
  <c r="BH119" i="5"/>
  <c r="AX119" i="5"/>
  <c r="AZ119" i="5" s="1"/>
  <c r="BC119" i="5" s="1"/>
  <c r="AN119" i="5"/>
  <c r="AD119" i="5"/>
  <c r="AF119" i="5" s="1"/>
  <c r="T119" i="5"/>
  <c r="V119" i="5" s="1"/>
  <c r="Y119" i="5" s="1"/>
  <c r="J119" i="5"/>
  <c r="L119" i="5" s="1"/>
  <c r="AK119" i="8"/>
  <c r="AB119" i="8"/>
  <c r="S119" i="8"/>
  <c r="T119" i="8" s="1"/>
  <c r="J119" i="8"/>
  <c r="A119" i="8"/>
  <c r="BH115" i="5"/>
  <c r="BR115" i="5"/>
  <c r="AX115" i="5"/>
  <c r="AZ115" i="5" s="1"/>
  <c r="BC115" i="5" s="1"/>
  <c r="AN115" i="5"/>
  <c r="AD115" i="5"/>
  <c r="AF115" i="5" s="1"/>
  <c r="T115" i="5"/>
  <c r="V115" i="5" s="1"/>
  <c r="Y115" i="5" s="1"/>
  <c r="J115" i="5"/>
  <c r="L115" i="5" s="1"/>
  <c r="AK115" i="8"/>
  <c r="AB115" i="8"/>
  <c r="S115" i="8"/>
  <c r="T115" i="8" s="1"/>
  <c r="J115" i="8"/>
  <c r="A115" i="8"/>
  <c r="BR111" i="5"/>
  <c r="BH111" i="5"/>
  <c r="AX111" i="5"/>
  <c r="AZ111" i="5" s="1"/>
  <c r="AN111" i="5"/>
  <c r="AD111" i="5"/>
  <c r="AF111" i="5" s="1"/>
  <c r="T111" i="5"/>
  <c r="V111" i="5" s="1"/>
  <c r="Y111" i="5" s="1"/>
  <c r="AK111" i="8"/>
  <c r="AB111" i="8"/>
  <c r="S111" i="8"/>
  <c r="T111" i="8" s="1"/>
  <c r="J111" i="8"/>
  <c r="J111" i="5"/>
  <c r="L111" i="5" s="1"/>
  <c r="A111" i="8"/>
  <c r="BR107" i="5"/>
  <c r="BH107" i="5"/>
  <c r="AX107" i="5"/>
  <c r="AZ107" i="5" s="1"/>
  <c r="BC107" i="5" s="1"/>
  <c r="AN107" i="5"/>
  <c r="AD107" i="5"/>
  <c r="AF107" i="5" s="1"/>
  <c r="T107" i="5"/>
  <c r="V107" i="5" s="1"/>
  <c r="Y107" i="5" s="1"/>
  <c r="J107" i="5"/>
  <c r="L107" i="5" s="1"/>
  <c r="AK107" i="8"/>
  <c r="AB107" i="8"/>
  <c r="S107" i="8"/>
  <c r="T107" i="8" s="1"/>
  <c r="J107" i="8"/>
  <c r="A107" i="8"/>
  <c r="B107" i="8" s="1"/>
  <c r="BR103" i="5"/>
  <c r="BH103" i="5"/>
  <c r="AX103" i="5"/>
  <c r="AZ103" i="5" s="1"/>
  <c r="BC103" i="5" s="1"/>
  <c r="AN103" i="5"/>
  <c r="AD103" i="5"/>
  <c r="AF103" i="5" s="1"/>
  <c r="T103" i="5"/>
  <c r="V103" i="5" s="1"/>
  <c r="Y103" i="5" s="1"/>
  <c r="J103" i="5"/>
  <c r="L103" i="5" s="1"/>
  <c r="AK103" i="8"/>
  <c r="AB103" i="8"/>
  <c r="S103" i="8"/>
  <c r="T103" i="8" s="1"/>
  <c r="J103" i="8"/>
  <c r="A103" i="8"/>
  <c r="BH99" i="5"/>
  <c r="BR99" i="5"/>
  <c r="AX99" i="5"/>
  <c r="AZ99" i="5" s="1"/>
  <c r="BC99" i="5" s="1"/>
  <c r="AN99" i="5"/>
  <c r="AD99" i="5"/>
  <c r="AF99" i="5" s="1"/>
  <c r="T99" i="5"/>
  <c r="V99" i="5" s="1"/>
  <c r="Y99" i="5" s="1"/>
  <c r="J99" i="5"/>
  <c r="L99" i="5" s="1"/>
  <c r="AK99" i="8"/>
  <c r="AB99" i="8"/>
  <c r="S99" i="8"/>
  <c r="T99" i="8" s="1"/>
  <c r="J99" i="8"/>
  <c r="A99" i="8"/>
  <c r="B99" i="8" s="1"/>
  <c r="BR95" i="5"/>
  <c r="AX95" i="5"/>
  <c r="AZ95" i="5" s="1"/>
  <c r="BC95" i="5" s="1"/>
  <c r="BH95" i="5"/>
  <c r="AN95" i="5"/>
  <c r="AD95" i="5"/>
  <c r="AF95" i="5" s="1"/>
  <c r="T95" i="5"/>
  <c r="V95" i="5" s="1"/>
  <c r="Y95" i="5" s="1"/>
  <c r="AK95" i="8"/>
  <c r="AB95" i="8"/>
  <c r="S95" i="8"/>
  <c r="T95" i="8" s="1"/>
  <c r="J95" i="8"/>
  <c r="J95" i="5"/>
  <c r="L95" i="5" s="1"/>
  <c r="A95" i="8"/>
  <c r="B95" i="8" s="1"/>
  <c r="AX91" i="5"/>
  <c r="AZ91" i="5" s="1"/>
  <c r="BC91" i="5" s="1"/>
  <c r="BR91" i="5"/>
  <c r="BH91" i="5"/>
  <c r="AN91" i="5"/>
  <c r="AD91" i="5"/>
  <c r="AF91" i="5" s="1"/>
  <c r="T91" i="5"/>
  <c r="V91" i="5" s="1"/>
  <c r="Y91" i="5" s="1"/>
  <c r="AK91" i="8"/>
  <c r="J91" i="5"/>
  <c r="L91" i="5" s="1"/>
  <c r="AB91" i="8"/>
  <c r="S91" i="8"/>
  <c r="T91" i="8" s="1"/>
  <c r="J91" i="8"/>
  <c r="A91" i="8"/>
  <c r="B91" i="8" s="1"/>
  <c r="BR87" i="5"/>
  <c r="BH87" i="5"/>
  <c r="AX87" i="5"/>
  <c r="AZ87" i="5" s="1"/>
  <c r="BC87" i="5" s="1"/>
  <c r="AN87" i="5"/>
  <c r="AD87" i="5"/>
  <c r="AF87" i="5" s="1"/>
  <c r="T87" i="5"/>
  <c r="V87" i="5" s="1"/>
  <c r="Y87" i="5" s="1"/>
  <c r="AK87" i="8"/>
  <c r="J87" i="5"/>
  <c r="L87" i="5" s="1"/>
  <c r="AB87" i="8"/>
  <c r="S87" i="8"/>
  <c r="T87" i="8" s="1"/>
  <c r="J87" i="8"/>
  <c r="A87" i="8"/>
  <c r="BR83" i="5"/>
  <c r="BH83" i="5"/>
  <c r="AX83" i="5"/>
  <c r="AZ83" i="5" s="1"/>
  <c r="BC83" i="5" s="1"/>
  <c r="AN83" i="5"/>
  <c r="AD83" i="5"/>
  <c r="AF83" i="5" s="1"/>
  <c r="T83" i="5"/>
  <c r="V83" i="5" s="1"/>
  <c r="Y83" i="5" s="1"/>
  <c r="AK83" i="8"/>
  <c r="J83" i="5"/>
  <c r="L83" i="5" s="1"/>
  <c r="AB83" i="8"/>
  <c r="S83" i="8"/>
  <c r="T83" i="8" s="1"/>
  <c r="J83" i="8"/>
  <c r="A83" i="8"/>
  <c r="AX79" i="5"/>
  <c r="AZ79" i="5" s="1"/>
  <c r="BC79" i="5" s="1"/>
  <c r="BH79" i="5"/>
  <c r="BR79" i="5"/>
  <c r="AN79" i="5"/>
  <c r="AD79" i="5"/>
  <c r="AF79" i="5" s="1"/>
  <c r="T79" i="5"/>
  <c r="V79" i="5" s="1"/>
  <c r="Y79" i="5" s="1"/>
  <c r="AK79" i="8"/>
  <c r="AB79" i="8"/>
  <c r="S79" i="8"/>
  <c r="T79" i="8" s="1"/>
  <c r="J79" i="8"/>
  <c r="J79" i="5"/>
  <c r="L79" i="5" s="1"/>
  <c r="A79" i="8"/>
  <c r="BR75" i="5"/>
  <c r="AX75" i="5"/>
  <c r="AZ75" i="5" s="1"/>
  <c r="BC75" i="5" s="1"/>
  <c r="BH75" i="5"/>
  <c r="AN75" i="5"/>
  <c r="AD75" i="5"/>
  <c r="AF75" i="5" s="1"/>
  <c r="T75" i="5"/>
  <c r="V75" i="5" s="1"/>
  <c r="Y75" i="5" s="1"/>
  <c r="AK75" i="8"/>
  <c r="J75" i="5"/>
  <c r="L75" i="5" s="1"/>
  <c r="AB75" i="8"/>
  <c r="S75" i="8"/>
  <c r="T75" i="8" s="1"/>
  <c r="J75" i="8"/>
  <c r="A75" i="8"/>
  <c r="BR71" i="5"/>
  <c r="BH71" i="5"/>
  <c r="AX71" i="5"/>
  <c r="AZ71" i="5" s="1"/>
  <c r="BC71" i="5" s="1"/>
  <c r="AN71" i="5"/>
  <c r="AD71" i="5"/>
  <c r="AF71" i="5" s="1"/>
  <c r="T71" i="5"/>
  <c r="V71" i="5" s="1"/>
  <c r="Y71" i="5" s="1"/>
  <c r="AK71" i="8"/>
  <c r="J71" i="5"/>
  <c r="L71" i="5" s="1"/>
  <c r="AB71" i="8"/>
  <c r="S71" i="8"/>
  <c r="T71" i="8" s="1"/>
  <c r="J71" i="8"/>
  <c r="A71" i="8"/>
  <c r="BR67" i="5"/>
  <c r="BH67" i="5"/>
  <c r="AX67" i="5"/>
  <c r="AZ67" i="5" s="1"/>
  <c r="BC67" i="5" s="1"/>
  <c r="AN67" i="5"/>
  <c r="AD67" i="5"/>
  <c r="AF67" i="5" s="1"/>
  <c r="T67" i="5"/>
  <c r="V67" i="5" s="1"/>
  <c r="Y67" i="5" s="1"/>
  <c r="AK67" i="8"/>
  <c r="J67" i="5"/>
  <c r="L67" i="5" s="1"/>
  <c r="AB67" i="8"/>
  <c r="S67" i="8"/>
  <c r="T67" i="8" s="1"/>
  <c r="J67" i="8"/>
  <c r="A67" i="8"/>
  <c r="AX63" i="5"/>
  <c r="AZ63" i="5" s="1"/>
  <c r="BC63" i="5" s="1"/>
  <c r="BR63" i="5"/>
  <c r="BH63" i="5"/>
  <c r="AN63" i="5"/>
  <c r="AD63" i="5"/>
  <c r="AF63" i="5" s="1"/>
  <c r="T63" i="5"/>
  <c r="V63" i="5" s="1"/>
  <c r="Y63" i="5" s="1"/>
  <c r="AK63" i="8"/>
  <c r="AB63" i="8"/>
  <c r="S63" i="8"/>
  <c r="T63" i="8" s="1"/>
  <c r="J63" i="8"/>
  <c r="J63" i="5"/>
  <c r="L63" i="5" s="1"/>
  <c r="A63" i="8"/>
  <c r="BR59" i="5"/>
  <c r="AX59" i="5"/>
  <c r="AZ59" i="5" s="1"/>
  <c r="BC59" i="5" s="1"/>
  <c r="BH59" i="5"/>
  <c r="AN59" i="5"/>
  <c r="AD59" i="5"/>
  <c r="AF59" i="5" s="1"/>
  <c r="T59" i="5"/>
  <c r="V59" i="5" s="1"/>
  <c r="Y59" i="5" s="1"/>
  <c r="AK59" i="8"/>
  <c r="J59" i="5"/>
  <c r="L59" i="5" s="1"/>
  <c r="AB59" i="8"/>
  <c r="S59" i="8"/>
  <c r="T59" i="8" s="1"/>
  <c r="J59" i="8"/>
  <c r="A59" i="8"/>
  <c r="BR55" i="5"/>
  <c r="BH55" i="5"/>
  <c r="AX55" i="5"/>
  <c r="AZ55" i="5" s="1"/>
  <c r="BC55" i="5" s="1"/>
  <c r="AN55" i="5"/>
  <c r="AD55" i="5"/>
  <c r="AF55" i="5" s="1"/>
  <c r="T55" i="5"/>
  <c r="V55" i="5" s="1"/>
  <c r="Y55" i="5" s="1"/>
  <c r="AK55" i="8"/>
  <c r="J55" i="5"/>
  <c r="L55" i="5" s="1"/>
  <c r="AB55" i="8"/>
  <c r="S55" i="8"/>
  <c r="T55" i="8" s="1"/>
  <c r="J55" i="8"/>
  <c r="A55" i="8"/>
  <c r="BH51" i="5"/>
  <c r="BR51" i="5"/>
  <c r="AX51" i="5"/>
  <c r="AZ51" i="5" s="1"/>
  <c r="BC51" i="5" s="1"/>
  <c r="AN51" i="5"/>
  <c r="AD51" i="5"/>
  <c r="AF51" i="5" s="1"/>
  <c r="T51" i="5"/>
  <c r="V51" i="5" s="1"/>
  <c r="Y51" i="5" s="1"/>
  <c r="AK51" i="8"/>
  <c r="J51" i="5"/>
  <c r="L51" i="5" s="1"/>
  <c r="AB51" i="8"/>
  <c r="S51" i="8"/>
  <c r="T51" i="8" s="1"/>
  <c r="J51" i="8"/>
  <c r="A51" i="8"/>
  <c r="AX47" i="5"/>
  <c r="AZ47" i="5" s="1"/>
  <c r="BC47" i="5" s="1"/>
  <c r="BR47" i="5"/>
  <c r="BH47" i="5"/>
  <c r="AN47" i="5"/>
  <c r="AD47" i="5"/>
  <c r="AF47" i="5" s="1"/>
  <c r="T47" i="5"/>
  <c r="V47" i="5" s="1"/>
  <c r="Y47" i="5" s="1"/>
  <c r="AK47" i="8"/>
  <c r="AB47" i="8"/>
  <c r="S47" i="8"/>
  <c r="T47" i="8" s="1"/>
  <c r="J47" i="8"/>
  <c r="J47" i="5"/>
  <c r="L47" i="5" s="1"/>
  <c r="A47" i="8"/>
  <c r="AX43" i="5"/>
  <c r="AZ43" i="5" s="1"/>
  <c r="BC43" i="5" s="1"/>
  <c r="BR43" i="5"/>
  <c r="BH43" i="5"/>
  <c r="AN43" i="5"/>
  <c r="AD43" i="5"/>
  <c r="AF43" i="5" s="1"/>
  <c r="T43" i="5"/>
  <c r="V43" i="5" s="1"/>
  <c r="Y43" i="5" s="1"/>
  <c r="AK43" i="8"/>
  <c r="J43" i="5"/>
  <c r="L43" i="5" s="1"/>
  <c r="AB43" i="8"/>
  <c r="S43" i="8"/>
  <c r="T43" i="8" s="1"/>
  <c r="J43" i="8"/>
  <c r="A43" i="8"/>
  <c r="BR39" i="5"/>
  <c r="BH39" i="5"/>
  <c r="AX39" i="5"/>
  <c r="AZ39" i="5" s="1"/>
  <c r="BC39" i="5" s="1"/>
  <c r="AN39" i="5"/>
  <c r="AD39" i="5"/>
  <c r="AF39" i="5" s="1"/>
  <c r="T39" i="5"/>
  <c r="V39" i="5" s="1"/>
  <c r="Y39" i="5" s="1"/>
  <c r="AK39" i="8"/>
  <c r="J39" i="5"/>
  <c r="L39" i="5" s="1"/>
  <c r="AB39" i="8"/>
  <c r="S39" i="8"/>
  <c r="T39" i="8" s="1"/>
  <c r="J39" i="8"/>
  <c r="A39" i="8"/>
  <c r="BH35" i="5"/>
  <c r="BR35" i="5"/>
  <c r="AX35" i="5"/>
  <c r="AZ35" i="5" s="1"/>
  <c r="BC35" i="5" s="1"/>
  <c r="AN35" i="5"/>
  <c r="AD35" i="5"/>
  <c r="AF35" i="5" s="1"/>
  <c r="T35" i="5"/>
  <c r="V35" i="5" s="1"/>
  <c r="Y35" i="5" s="1"/>
  <c r="AK35" i="8"/>
  <c r="J35" i="5"/>
  <c r="L35" i="5" s="1"/>
  <c r="AB35" i="8"/>
  <c r="S35" i="8"/>
  <c r="T35" i="8" s="1"/>
  <c r="J35" i="8"/>
  <c r="A35" i="8"/>
  <c r="BR31" i="5"/>
  <c r="AX31" i="5"/>
  <c r="AZ31" i="5" s="1"/>
  <c r="BC31" i="5" s="1"/>
  <c r="BH31" i="5"/>
  <c r="AN31" i="5"/>
  <c r="AD31" i="5"/>
  <c r="AF31" i="5" s="1"/>
  <c r="T31" i="5"/>
  <c r="V31" i="5" s="1"/>
  <c r="Y31" i="5" s="1"/>
  <c r="AK31" i="8"/>
  <c r="AB31" i="8"/>
  <c r="S31" i="8"/>
  <c r="T31" i="8" s="1"/>
  <c r="J31" i="8"/>
  <c r="J31" i="5"/>
  <c r="L31" i="5" s="1"/>
  <c r="A31" i="8"/>
  <c r="B31" i="8" s="1"/>
  <c r="BR27" i="5"/>
  <c r="AX27" i="5"/>
  <c r="AZ27" i="5" s="1"/>
  <c r="BC27" i="5" s="1"/>
  <c r="BH27" i="5"/>
  <c r="AN27" i="5"/>
  <c r="AD27" i="5"/>
  <c r="AF27" i="5" s="1"/>
  <c r="T27" i="5"/>
  <c r="V27" i="5" s="1"/>
  <c r="Y27" i="5" s="1"/>
  <c r="AK27" i="8"/>
  <c r="J27" i="5"/>
  <c r="L27" i="5" s="1"/>
  <c r="AB27" i="8"/>
  <c r="S27" i="8"/>
  <c r="T27" i="8" s="1"/>
  <c r="J27" i="8"/>
  <c r="A27" i="8"/>
  <c r="BH23" i="5"/>
  <c r="BR23" i="5"/>
  <c r="AX23" i="5"/>
  <c r="AZ23" i="5" s="1"/>
  <c r="BC23" i="5" s="1"/>
  <c r="AN23" i="5"/>
  <c r="AD23" i="5"/>
  <c r="AF23" i="5" s="1"/>
  <c r="T23" i="5"/>
  <c r="V23" i="5" s="1"/>
  <c r="Y23" i="5" s="1"/>
  <c r="AK23" i="8"/>
  <c r="J23" i="5"/>
  <c r="L23" i="5" s="1"/>
  <c r="AB23" i="8"/>
  <c r="S23" i="8"/>
  <c r="T23" i="8" s="1"/>
  <c r="J23" i="8"/>
  <c r="A23" i="8"/>
  <c r="BR19" i="5"/>
  <c r="BH19" i="5"/>
  <c r="AX19" i="5"/>
  <c r="AZ19" i="5" s="1"/>
  <c r="BC19" i="5" s="1"/>
  <c r="AN19" i="5"/>
  <c r="AD19" i="5"/>
  <c r="AF19" i="5" s="1"/>
  <c r="T19" i="5"/>
  <c r="V19" i="5" s="1"/>
  <c r="Y19" i="5" s="1"/>
  <c r="AK19" i="8"/>
  <c r="J19" i="5"/>
  <c r="L19" i="5" s="1"/>
  <c r="AB19" i="8"/>
  <c r="S19" i="8"/>
  <c r="T19" i="8" s="1"/>
  <c r="J19" i="8"/>
  <c r="A19" i="8"/>
  <c r="BR15" i="5"/>
  <c r="AX15" i="5"/>
  <c r="AZ15" i="5" s="1"/>
  <c r="BC15" i="5" s="1"/>
  <c r="BH15" i="5"/>
  <c r="AN15" i="5"/>
  <c r="AD15" i="5"/>
  <c r="AF15" i="5" s="1"/>
  <c r="T15" i="5"/>
  <c r="V15" i="5" s="1"/>
  <c r="Y15" i="5" s="1"/>
  <c r="AK15" i="8"/>
  <c r="AB15" i="8"/>
  <c r="S15" i="8"/>
  <c r="T15" i="8" s="1"/>
  <c r="J15" i="8"/>
  <c r="J15" i="5"/>
  <c r="L15" i="5" s="1"/>
  <c r="A15" i="8"/>
  <c r="BR11" i="5"/>
  <c r="AX11" i="5"/>
  <c r="AZ11" i="5" s="1"/>
  <c r="BC11" i="5" s="1"/>
  <c r="BH11" i="5"/>
  <c r="AN11" i="5"/>
  <c r="AD11" i="5"/>
  <c r="AF11" i="5" s="1"/>
  <c r="T11" i="5"/>
  <c r="V11" i="5" s="1"/>
  <c r="Y11" i="5" s="1"/>
  <c r="AK11" i="8"/>
  <c r="J11" i="5"/>
  <c r="L11" i="5" s="1"/>
  <c r="AB11" i="8"/>
  <c r="S11" i="8"/>
  <c r="T11" i="8" s="1"/>
  <c r="J11" i="8"/>
  <c r="A11" i="8"/>
  <c r="A7" i="5"/>
  <c r="B7" i="5" s="1"/>
  <c r="BH7" i="5"/>
  <c r="BR7" i="5"/>
  <c r="AX7" i="5"/>
  <c r="AZ7" i="5" s="1"/>
  <c r="BC7" i="5" s="1"/>
  <c r="AN7" i="5"/>
  <c r="AD7" i="5"/>
  <c r="AF7" i="5" s="1"/>
  <c r="T7" i="5"/>
  <c r="V7" i="5" s="1"/>
  <c r="Y7" i="5" s="1"/>
  <c r="AK7" i="8"/>
  <c r="J7" i="5"/>
  <c r="L7" i="5" s="1"/>
  <c r="AB7" i="8"/>
  <c r="S7" i="8"/>
  <c r="T7" i="8" s="1"/>
  <c r="J7" i="8"/>
  <c r="A7" i="8"/>
  <c r="X195" i="5"/>
  <c r="W151" i="5"/>
  <c r="Z151" i="5" s="1"/>
  <c r="X131" i="5"/>
  <c r="D202" i="2"/>
  <c r="D198" i="2"/>
  <c r="D194" i="2"/>
  <c r="D190" i="2"/>
  <c r="D186" i="2"/>
  <c r="D182" i="2"/>
  <c r="D178" i="2"/>
  <c r="D174" i="2"/>
  <c r="D170" i="2"/>
  <c r="D166" i="2"/>
  <c r="D162" i="2"/>
  <c r="D158" i="2"/>
  <c r="D154" i="2"/>
  <c r="D150" i="2"/>
  <c r="D146" i="2"/>
  <c r="D142" i="2"/>
  <c r="D138" i="2"/>
  <c r="D134" i="2"/>
  <c r="D130" i="2"/>
  <c r="D126" i="2"/>
  <c r="D122" i="2"/>
  <c r="D118" i="2"/>
  <c r="D114" i="2"/>
  <c r="D110" i="2"/>
  <c r="D106" i="2"/>
  <c r="D102" i="2"/>
  <c r="D98" i="2"/>
  <c r="D94" i="2"/>
  <c r="D90" i="2"/>
  <c r="D86" i="2"/>
  <c r="D82" i="2"/>
  <c r="D78" i="2"/>
  <c r="D74" i="2"/>
  <c r="D70" i="2"/>
  <c r="D66" i="2"/>
  <c r="D62" i="2"/>
  <c r="D58" i="2"/>
  <c r="D54" i="2"/>
  <c r="D50" i="2"/>
  <c r="D46" i="2"/>
  <c r="D42" i="2"/>
  <c r="D38" i="2"/>
  <c r="D34" i="2"/>
  <c r="D30" i="2"/>
  <c r="D26" i="2"/>
  <c r="D22" i="2"/>
  <c r="D18" i="2"/>
  <c r="D14" i="2"/>
  <c r="D10" i="2"/>
  <c r="D6" i="2"/>
  <c r="BR202" i="5"/>
  <c r="BH202" i="5"/>
  <c r="AX202" i="5"/>
  <c r="AZ202" i="5" s="1"/>
  <c r="BC202" i="5" s="1"/>
  <c r="AN202" i="5"/>
  <c r="AD202" i="5"/>
  <c r="AF202" i="5" s="1"/>
  <c r="AK202" i="8"/>
  <c r="AB202" i="8"/>
  <c r="S202" i="8"/>
  <c r="T202" i="8" s="1"/>
  <c r="J202" i="8"/>
  <c r="T202" i="5"/>
  <c r="V202" i="5" s="1"/>
  <c r="Y202" i="5" s="1"/>
  <c r="J202" i="5"/>
  <c r="L202" i="5" s="1"/>
  <c r="A202" i="8"/>
  <c r="B202" i="8" s="1"/>
  <c r="BR198" i="5"/>
  <c r="BH198" i="5"/>
  <c r="AX198" i="5"/>
  <c r="AZ198" i="5" s="1"/>
  <c r="BC198" i="5" s="1"/>
  <c r="AN198" i="5"/>
  <c r="J198" i="5"/>
  <c r="L198" i="5" s="1"/>
  <c r="AD198" i="5"/>
  <c r="AF198" i="5" s="1"/>
  <c r="AK198" i="8"/>
  <c r="AB198" i="8"/>
  <c r="S198" i="8"/>
  <c r="T198" i="8" s="1"/>
  <c r="J198" i="8"/>
  <c r="T198" i="5"/>
  <c r="V198" i="5" s="1"/>
  <c r="Y198" i="5" s="1"/>
  <c r="A198" i="8"/>
  <c r="BR194" i="5"/>
  <c r="BH194" i="5"/>
  <c r="AX194" i="5"/>
  <c r="AZ194" i="5" s="1"/>
  <c r="BC194" i="5" s="1"/>
  <c r="AN194" i="5"/>
  <c r="T194" i="5"/>
  <c r="V194" i="5" s="1"/>
  <c r="Y194" i="5" s="1"/>
  <c r="J194" i="5"/>
  <c r="L194" i="5" s="1"/>
  <c r="AK194" i="8"/>
  <c r="AB194" i="8"/>
  <c r="S194" i="8"/>
  <c r="T194" i="8" s="1"/>
  <c r="J194" i="8"/>
  <c r="AD194" i="5"/>
  <c r="AF194" i="5" s="1"/>
  <c r="A194" i="8"/>
  <c r="B194" i="8" s="1"/>
  <c r="BR190" i="5"/>
  <c r="BH190" i="5"/>
  <c r="AX190" i="5"/>
  <c r="AZ190" i="5" s="1"/>
  <c r="BC190" i="5" s="1"/>
  <c r="AN190" i="5"/>
  <c r="T190" i="5"/>
  <c r="V190" i="5" s="1"/>
  <c r="Y190" i="5" s="1"/>
  <c r="AK190" i="8"/>
  <c r="AB190" i="8"/>
  <c r="S190" i="8"/>
  <c r="T190" i="8" s="1"/>
  <c r="J190" i="8"/>
  <c r="J190" i="5"/>
  <c r="L190" i="5" s="1"/>
  <c r="AD190" i="5"/>
  <c r="AF190" i="5" s="1"/>
  <c r="A190" i="8"/>
  <c r="BR186" i="5"/>
  <c r="BH186" i="5"/>
  <c r="AX186" i="5"/>
  <c r="AZ186" i="5" s="1"/>
  <c r="BC186" i="5" s="1"/>
  <c r="AN186" i="5"/>
  <c r="AD186" i="5"/>
  <c r="AF186" i="5" s="1"/>
  <c r="AK186" i="8"/>
  <c r="AB186" i="8"/>
  <c r="S186" i="8"/>
  <c r="T186" i="8" s="1"/>
  <c r="J186" i="8"/>
  <c r="T186" i="5"/>
  <c r="V186" i="5" s="1"/>
  <c r="Y186" i="5" s="1"/>
  <c r="J186" i="5"/>
  <c r="L186" i="5" s="1"/>
  <c r="A186" i="8"/>
  <c r="BR182" i="5"/>
  <c r="BH182" i="5"/>
  <c r="AX182" i="5"/>
  <c r="AZ182" i="5" s="1"/>
  <c r="BC182" i="5" s="1"/>
  <c r="AN182" i="5"/>
  <c r="J182" i="5"/>
  <c r="L182" i="5" s="1"/>
  <c r="AD182" i="5"/>
  <c r="AF182" i="5" s="1"/>
  <c r="AK182" i="8"/>
  <c r="AB182" i="8"/>
  <c r="S182" i="8"/>
  <c r="T182" i="8" s="1"/>
  <c r="J182" i="8"/>
  <c r="T182" i="5"/>
  <c r="V182" i="5" s="1"/>
  <c r="Y182" i="5" s="1"/>
  <c r="A182" i="8"/>
  <c r="BR178" i="5"/>
  <c r="BH178" i="5"/>
  <c r="AX178" i="5"/>
  <c r="AZ178" i="5" s="1"/>
  <c r="BC178" i="5" s="1"/>
  <c r="AN178" i="5"/>
  <c r="T178" i="5"/>
  <c r="V178" i="5" s="1"/>
  <c r="Y178" i="5" s="1"/>
  <c r="J178" i="5"/>
  <c r="L178" i="5" s="1"/>
  <c r="AK178" i="8"/>
  <c r="AB178" i="8"/>
  <c r="S178" i="8"/>
  <c r="T178" i="8" s="1"/>
  <c r="J178" i="8"/>
  <c r="AD178" i="5"/>
  <c r="AF178" i="5" s="1"/>
  <c r="A178" i="8"/>
  <c r="A174" i="5"/>
  <c r="B174" i="5" s="1"/>
  <c r="BH174" i="5"/>
  <c r="BR174" i="5"/>
  <c r="AX174" i="5"/>
  <c r="AZ174" i="5" s="1"/>
  <c r="BC174" i="5" s="1"/>
  <c r="AN174" i="5"/>
  <c r="T174" i="5"/>
  <c r="V174" i="5" s="1"/>
  <c r="Y174" i="5" s="1"/>
  <c r="AK174" i="8"/>
  <c r="AB174" i="8"/>
  <c r="S174" i="8"/>
  <c r="T174" i="8" s="1"/>
  <c r="J174" i="8"/>
  <c r="J174" i="5"/>
  <c r="L174" i="5" s="1"/>
  <c r="AD174" i="5"/>
  <c r="AF174" i="5" s="1"/>
  <c r="A174" i="8"/>
  <c r="BH170" i="5"/>
  <c r="BR170" i="5"/>
  <c r="AX170" i="5"/>
  <c r="AZ170" i="5" s="1"/>
  <c r="BC170" i="5" s="1"/>
  <c r="AN170" i="5"/>
  <c r="AD170" i="5"/>
  <c r="AF170" i="5" s="1"/>
  <c r="AK170" i="8"/>
  <c r="AB170" i="8"/>
  <c r="S170" i="8"/>
  <c r="T170" i="8" s="1"/>
  <c r="J170" i="8"/>
  <c r="T170" i="5"/>
  <c r="V170" i="5" s="1"/>
  <c r="Y170" i="5" s="1"/>
  <c r="J170" i="5"/>
  <c r="L170" i="5" s="1"/>
  <c r="A170" i="8"/>
  <c r="BH166" i="5"/>
  <c r="BR166" i="5"/>
  <c r="AX166" i="5"/>
  <c r="AZ166" i="5" s="1"/>
  <c r="BC166" i="5" s="1"/>
  <c r="AN166" i="5"/>
  <c r="J166" i="5"/>
  <c r="L166" i="5" s="1"/>
  <c r="AD166" i="5"/>
  <c r="AF166" i="5" s="1"/>
  <c r="AK166" i="8"/>
  <c r="AB166" i="8"/>
  <c r="S166" i="8"/>
  <c r="T166" i="8" s="1"/>
  <c r="J166" i="8"/>
  <c r="T166" i="5"/>
  <c r="V166" i="5" s="1"/>
  <c r="Y166" i="5" s="1"/>
  <c r="A166" i="8"/>
  <c r="BR162" i="5"/>
  <c r="BH162" i="5"/>
  <c r="AX162" i="5"/>
  <c r="AZ162" i="5" s="1"/>
  <c r="BC162" i="5" s="1"/>
  <c r="AN162" i="5"/>
  <c r="T162" i="5"/>
  <c r="V162" i="5" s="1"/>
  <c r="Y162" i="5" s="1"/>
  <c r="J162" i="5"/>
  <c r="L162" i="5" s="1"/>
  <c r="AK162" i="8"/>
  <c r="AB162" i="8"/>
  <c r="S162" i="8"/>
  <c r="T162" i="8" s="1"/>
  <c r="J162" i="8"/>
  <c r="AD162" i="5"/>
  <c r="AF162" i="5" s="1"/>
  <c r="A162" i="8"/>
  <c r="BH158" i="5"/>
  <c r="AX158" i="5"/>
  <c r="AZ158" i="5" s="1"/>
  <c r="BC158" i="5" s="1"/>
  <c r="AN158" i="5"/>
  <c r="BR158" i="5"/>
  <c r="T158" i="5"/>
  <c r="V158" i="5" s="1"/>
  <c r="Y158" i="5" s="1"/>
  <c r="AK158" i="8"/>
  <c r="AB158" i="8"/>
  <c r="S158" i="8"/>
  <c r="T158" i="8" s="1"/>
  <c r="J158" i="8"/>
  <c r="J158" i="5"/>
  <c r="L158" i="5" s="1"/>
  <c r="AD158" i="5"/>
  <c r="AF158" i="5" s="1"/>
  <c r="A158" i="8"/>
  <c r="BH154" i="5"/>
  <c r="BR154" i="5"/>
  <c r="AX154" i="5"/>
  <c r="AZ154" i="5" s="1"/>
  <c r="BC154" i="5" s="1"/>
  <c r="AN154" i="5"/>
  <c r="AD154" i="5"/>
  <c r="AF154" i="5" s="1"/>
  <c r="AK154" i="8"/>
  <c r="AB154" i="8"/>
  <c r="S154" i="8"/>
  <c r="T154" i="8" s="1"/>
  <c r="J154" i="8"/>
  <c r="T154" i="5"/>
  <c r="V154" i="5" s="1"/>
  <c r="Y154" i="5" s="1"/>
  <c r="J154" i="5"/>
  <c r="L154" i="5" s="1"/>
  <c r="A154" i="8"/>
  <c r="BH150" i="5"/>
  <c r="AX150" i="5"/>
  <c r="AZ150" i="5" s="1"/>
  <c r="BC150" i="5" s="1"/>
  <c r="AN150" i="5"/>
  <c r="BR150" i="5"/>
  <c r="J150" i="5"/>
  <c r="L150" i="5" s="1"/>
  <c r="AD150" i="5"/>
  <c r="AF150" i="5" s="1"/>
  <c r="AK150" i="8"/>
  <c r="AB150" i="8"/>
  <c r="S150" i="8"/>
  <c r="T150" i="8" s="1"/>
  <c r="J150" i="8"/>
  <c r="T150" i="5"/>
  <c r="V150" i="5" s="1"/>
  <c r="Y150" i="5" s="1"/>
  <c r="A150" i="8"/>
  <c r="BR146" i="5"/>
  <c r="BH146" i="5"/>
  <c r="AX146" i="5"/>
  <c r="AZ146" i="5" s="1"/>
  <c r="BC146" i="5" s="1"/>
  <c r="AN146" i="5"/>
  <c r="T146" i="5"/>
  <c r="V146" i="5" s="1"/>
  <c r="Y146" i="5" s="1"/>
  <c r="J146" i="5"/>
  <c r="L146" i="5" s="1"/>
  <c r="AK146" i="8"/>
  <c r="AB146" i="8"/>
  <c r="S146" i="8"/>
  <c r="T146" i="8" s="1"/>
  <c r="J146" i="8"/>
  <c r="AD146" i="5"/>
  <c r="AF146" i="5" s="1"/>
  <c r="A146" i="8"/>
  <c r="B146" i="8" s="1"/>
  <c r="BH142" i="5"/>
  <c r="BR142" i="5"/>
  <c r="AX142" i="5"/>
  <c r="AZ142" i="5" s="1"/>
  <c r="BC142" i="5" s="1"/>
  <c r="AN142" i="5"/>
  <c r="T142" i="5"/>
  <c r="V142" i="5" s="1"/>
  <c r="Y142" i="5" s="1"/>
  <c r="AK142" i="8"/>
  <c r="AB142" i="8"/>
  <c r="S142" i="8"/>
  <c r="T142" i="8" s="1"/>
  <c r="J142" i="8"/>
  <c r="J142" i="5"/>
  <c r="L142" i="5" s="1"/>
  <c r="AD142" i="5"/>
  <c r="AF142" i="5" s="1"/>
  <c r="A142" i="8"/>
  <c r="BH138" i="5"/>
  <c r="BR138" i="5"/>
  <c r="AX138" i="5"/>
  <c r="AZ138" i="5" s="1"/>
  <c r="BC138" i="5" s="1"/>
  <c r="AN138" i="5"/>
  <c r="AD138" i="5"/>
  <c r="AF138" i="5" s="1"/>
  <c r="AK138" i="8"/>
  <c r="AB138" i="8"/>
  <c r="S138" i="8"/>
  <c r="T138" i="8" s="1"/>
  <c r="J138" i="8"/>
  <c r="T138" i="5"/>
  <c r="V138" i="5" s="1"/>
  <c r="Y138" i="5" s="1"/>
  <c r="J138" i="5"/>
  <c r="L138" i="5" s="1"/>
  <c r="A138" i="8"/>
  <c r="BH134" i="5"/>
  <c r="BR134" i="5"/>
  <c r="AX134" i="5"/>
  <c r="AZ134" i="5" s="1"/>
  <c r="BC134" i="5" s="1"/>
  <c r="AN134" i="5"/>
  <c r="J134" i="5"/>
  <c r="L134" i="5" s="1"/>
  <c r="AD134" i="5"/>
  <c r="AF134" i="5" s="1"/>
  <c r="AK134" i="8"/>
  <c r="AB134" i="8"/>
  <c r="S134" i="8"/>
  <c r="T134" i="8" s="1"/>
  <c r="J134" i="8"/>
  <c r="T134" i="5"/>
  <c r="V134" i="5" s="1"/>
  <c r="Y134" i="5" s="1"/>
  <c r="A134" i="8"/>
  <c r="BR130" i="5"/>
  <c r="BH130" i="5"/>
  <c r="AX130" i="5"/>
  <c r="AZ130" i="5" s="1"/>
  <c r="BC130" i="5" s="1"/>
  <c r="AN130" i="5"/>
  <c r="T130" i="5"/>
  <c r="V130" i="5" s="1"/>
  <c r="Y130" i="5" s="1"/>
  <c r="J130" i="5"/>
  <c r="L130" i="5" s="1"/>
  <c r="AK130" i="8"/>
  <c r="AB130" i="8"/>
  <c r="S130" i="8"/>
  <c r="T130" i="8" s="1"/>
  <c r="J130" i="8"/>
  <c r="AD130" i="5"/>
  <c r="AF130" i="5" s="1"/>
  <c r="A130" i="8"/>
  <c r="B130" i="8" s="1"/>
  <c r="BH126" i="5"/>
  <c r="BR126" i="5"/>
  <c r="AX126" i="5"/>
  <c r="AZ126" i="5" s="1"/>
  <c r="BC126" i="5" s="1"/>
  <c r="AN126" i="5"/>
  <c r="T126" i="5"/>
  <c r="V126" i="5" s="1"/>
  <c r="Y126" i="5" s="1"/>
  <c r="AK126" i="8"/>
  <c r="AB126" i="8"/>
  <c r="S126" i="8"/>
  <c r="T126" i="8" s="1"/>
  <c r="J126" i="8"/>
  <c r="J126" i="5"/>
  <c r="L126" i="5" s="1"/>
  <c r="AD126" i="5"/>
  <c r="AF126" i="5" s="1"/>
  <c r="A126" i="8"/>
  <c r="BH122" i="5"/>
  <c r="AX122" i="5"/>
  <c r="AZ122" i="5" s="1"/>
  <c r="BC122" i="5" s="1"/>
  <c r="AN122" i="5"/>
  <c r="BR122" i="5"/>
  <c r="AD122" i="5"/>
  <c r="AF122" i="5" s="1"/>
  <c r="AK122" i="8"/>
  <c r="AB122" i="8"/>
  <c r="S122" i="8"/>
  <c r="T122" i="8" s="1"/>
  <c r="J122" i="8"/>
  <c r="T122" i="5"/>
  <c r="V122" i="5" s="1"/>
  <c r="Y122" i="5" s="1"/>
  <c r="J122" i="5"/>
  <c r="L122" i="5" s="1"/>
  <c r="A122" i="8"/>
  <c r="BH118" i="5"/>
  <c r="BR118" i="5"/>
  <c r="AX118" i="5"/>
  <c r="AZ118" i="5" s="1"/>
  <c r="BC118" i="5" s="1"/>
  <c r="AN118" i="5"/>
  <c r="J118" i="5"/>
  <c r="L118" i="5" s="1"/>
  <c r="AD118" i="5"/>
  <c r="AF118" i="5" s="1"/>
  <c r="AK118" i="8"/>
  <c r="AB118" i="8"/>
  <c r="S118" i="8"/>
  <c r="T118" i="8" s="1"/>
  <c r="J118" i="8"/>
  <c r="T118" i="5"/>
  <c r="V118" i="5" s="1"/>
  <c r="Y118" i="5" s="1"/>
  <c r="A118" i="8"/>
  <c r="BR114" i="5"/>
  <c r="BH114" i="5"/>
  <c r="AX114" i="5"/>
  <c r="AZ114" i="5" s="1"/>
  <c r="BC114" i="5" s="1"/>
  <c r="AN114" i="5"/>
  <c r="T114" i="5"/>
  <c r="V114" i="5" s="1"/>
  <c r="Y114" i="5" s="1"/>
  <c r="J114" i="5"/>
  <c r="L114" i="5" s="1"/>
  <c r="AK114" i="8"/>
  <c r="AB114" i="8"/>
  <c r="S114" i="8"/>
  <c r="T114" i="8" s="1"/>
  <c r="J114" i="8"/>
  <c r="AD114" i="5"/>
  <c r="AF114" i="5" s="1"/>
  <c r="A114" i="8"/>
  <c r="BH110" i="5"/>
  <c r="BR110" i="5"/>
  <c r="AX110" i="5"/>
  <c r="AZ110" i="5" s="1"/>
  <c r="BC110" i="5" s="1"/>
  <c r="AN110" i="5"/>
  <c r="T110" i="5"/>
  <c r="V110" i="5" s="1"/>
  <c r="Y110" i="5" s="1"/>
  <c r="AK110" i="8"/>
  <c r="AB110" i="8"/>
  <c r="S110" i="8"/>
  <c r="T110" i="8" s="1"/>
  <c r="J110" i="8"/>
  <c r="J110" i="5"/>
  <c r="L110" i="5" s="1"/>
  <c r="AD110" i="5"/>
  <c r="AF110" i="5" s="1"/>
  <c r="A110" i="8"/>
  <c r="B110" i="8" s="1"/>
  <c r="BH106" i="5"/>
  <c r="BR106" i="5"/>
  <c r="AX106" i="5"/>
  <c r="AZ106" i="5" s="1"/>
  <c r="BC106" i="5" s="1"/>
  <c r="AN106" i="5"/>
  <c r="AD106" i="5"/>
  <c r="AF106" i="5" s="1"/>
  <c r="AK106" i="8"/>
  <c r="AB106" i="8"/>
  <c r="S106" i="8"/>
  <c r="T106" i="8" s="1"/>
  <c r="J106" i="8"/>
  <c r="T106" i="5"/>
  <c r="V106" i="5" s="1"/>
  <c r="Y106" i="5" s="1"/>
  <c r="J106" i="5"/>
  <c r="L106" i="5" s="1"/>
  <c r="A106" i="8"/>
  <c r="B106" i="8" s="1"/>
  <c r="BH102" i="5"/>
  <c r="BR102" i="5"/>
  <c r="AX102" i="5"/>
  <c r="AZ102" i="5" s="1"/>
  <c r="BC102" i="5" s="1"/>
  <c r="AN102" i="5"/>
  <c r="J102" i="5"/>
  <c r="L102" i="5" s="1"/>
  <c r="AD102" i="5"/>
  <c r="AF102" i="5" s="1"/>
  <c r="AK102" i="8"/>
  <c r="AB102" i="8"/>
  <c r="S102" i="8"/>
  <c r="T102" i="8" s="1"/>
  <c r="J102" i="8"/>
  <c r="T102" i="5"/>
  <c r="V102" i="5" s="1"/>
  <c r="Y102" i="5" s="1"/>
  <c r="A102" i="8"/>
  <c r="BR98" i="5"/>
  <c r="BH98" i="5"/>
  <c r="AX98" i="5"/>
  <c r="AZ98" i="5" s="1"/>
  <c r="BC98" i="5" s="1"/>
  <c r="AN98" i="5"/>
  <c r="T98" i="5"/>
  <c r="V98" i="5" s="1"/>
  <c r="Y98" i="5" s="1"/>
  <c r="J98" i="5"/>
  <c r="L98" i="5" s="1"/>
  <c r="AK98" i="8"/>
  <c r="AB98" i="8"/>
  <c r="S98" i="8"/>
  <c r="T98" i="8" s="1"/>
  <c r="J98" i="8"/>
  <c r="AD98" i="5"/>
  <c r="AF98" i="5" s="1"/>
  <c r="A98" i="8"/>
  <c r="B98" i="8" s="1"/>
  <c r="BH94" i="5"/>
  <c r="AX94" i="5"/>
  <c r="AZ94" i="5" s="1"/>
  <c r="BC94" i="5" s="1"/>
  <c r="AN94" i="5"/>
  <c r="BR94" i="5"/>
  <c r="T94" i="5"/>
  <c r="V94" i="5" s="1"/>
  <c r="Y94" i="5" s="1"/>
  <c r="AK94" i="8"/>
  <c r="AB94" i="8"/>
  <c r="S94" i="8"/>
  <c r="T94" i="8" s="1"/>
  <c r="J94" i="8"/>
  <c r="J94" i="5"/>
  <c r="L94" i="5" s="1"/>
  <c r="AD94" i="5"/>
  <c r="AF94" i="5" s="1"/>
  <c r="A94" i="8"/>
  <c r="B94" i="8" s="1"/>
  <c r="BH90" i="5"/>
  <c r="AX90" i="5"/>
  <c r="AZ90" i="5" s="1"/>
  <c r="BC90" i="5" s="1"/>
  <c r="BR90" i="5"/>
  <c r="AN90" i="5"/>
  <c r="AD90" i="5"/>
  <c r="AF90" i="5" s="1"/>
  <c r="AB90" i="8"/>
  <c r="S90" i="8"/>
  <c r="T90" i="8" s="1"/>
  <c r="J90" i="8"/>
  <c r="T90" i="5"/>
  <c r="V90" i="5" s="1"/>
  <c r="Y90" i="5" s="1"/>
  <c r="AK90" i="8"/>
  <c r="J90" i="5"/>
  <c r="L90" i="5" s="1"/>
  <c r="A90" i="8"/>
  <c r="BH86" i="5"/>
  <c r="AX86" i="5"/>
  <c r="AZ86" i="5" s="1"/>
  <c r="BC86" i="5" s="1"/>
  <c r="AN86" i="5"/>
  <c r="BR86" i="5"/>
  <c r="J86" i="5"/>
  <c r="L86" i="5" s="1"/>
  <c r="AD86" i="5"/>
  <c r="AF86" i="5" s="1"/>
  <c r="AB86" i="8"/>
  <c r="S86" i="8"/>
  <c r="T86" i="8" s="1"/>
  <c r="J86" i="8"/>
  <c r="T86" i="5"/>
  <c r="V86" i="5" s="1"/>
  <c r="Y86" i="5" s="1"/>
  <c r="AK86" i="8"/>
  <c r="A86" i="8"/>
  <c r="BR82" i="5"/>
  <c r="BH82" i="5"/>
  <c r="AX82" i="5"/>
  <c r="AZ82" i="5" s="1"/>
  <c r="BC82" i="5" s="1"/>
  <c r="AN82" i="5"/>
  <c r="T82" i="5"/>
  <c r="V82" i="5" s="1"/>
  <c r="Y82" i="5" s="1"/>
  <c r="AK82" i="8"/>
  <c r="J82" i="5"/>
  <c r="L82" i="5" s="1"/>
  <c r="AB82" i="8"/>
  <c r="S82" i="8"/>
  <c r="T82" i="8" s="1"/>
  <c r="J82" i="8"/>
  <c r="AD82" i="5"/>
  <c r="AF82" i="5" s="1"/>
  <c r="A82" i="8"/>
  <c r="BH78" i="5"/>
  <c r="AX78" i="5"/>
  <c r="AZ78" i="5" s="1"/>
  <c r="BC78" i="5" s="1"/>
  <c r="BR78" i="5"/>
  <c r="AN78" i="5"/>
  <c r="T78" i="5"/>
  <c r="V78" i="5" s="1"/>
  <c r="Y78" i="5" s="1"/>
  <c r="AK78" i="8"/>
  <c r="AB78" i="8"/>
  <c r="S78" i="8"/>
  <c r="T78" i="8" s="1"/>
  <c r="J78" i="8"/>
  <c r="J78" i="5"/>
  <c r="L78" i="5" s="1"/>
  <c r="AD78" i="5"/>
  <c r="AF78" i="5" s="1"/>
  <c r="A78" i="8"/>
  <c r="BH74" i="5"/>
  <c r="AX74" i="5"/>
  <c r="AZ74" i="5" s="1"/>
  <c r="BC74" i="5" s="1"/>
  <c r="BR74" i="5"/>
  <c r="AN74" i="5"/>
  <c r="AD74" i="5"/>
  <c r="AF74" i="5" s="1"/>
  <c r="AB74" i="8"/>
  <c r="S74" i="8"/>
  <c r="T74" i="8" s="1"/>
  <c r="J74" i="8"/>
  <c r="T74" i="5"/>
  <c r="V74" i="5" s="1"/>
  <c r="Y74" i="5" s="1"/>
  <c r="AK74" i="8"/>
  <c r="J74" i="5"/>
  <c r="L74" i="5" s="1"/>
  <c r="A74" i="8"/>
  <c r="B74" i="8" s="1"/>
  <c r="BH70" i="5"/>
  <c r="AX70" i="5"/>
  <c r="AZ70" i="5" s="1"/>
  <c r="BC70" i="5" s="1"/>
  <c r="BR70" i="5"/>
  <c r="AN70" i="5"/>
  <c r="J70" i="5"/>
  <c r="L70" i="5" s="1"/>
  <c r="AD70" i="5"/>
  <c r="AF70" i="5" s="1"/>
  <c r="AB70" i="8"/>
  <c r="S70" i="8"/>
  <c r="T70" i="8" s="1"/>
  <c r="J70" i="8"/>
  <c r="T70" i="5"/>
  <c r="V70" i="5" s="1"/>
  <c r="Y70" i="5" s="1"/>
  <c r="AK70" i="8"/>
  <c r="A70" i="8"/>
  <c r="B70" i="8" s="1"/>
  <c r="BR66" i="5"/>
  <c r="BH66" i="5"/>
  <c r="AX66" i="5"/>
  <c r="AZ66" i="5" s="1"/>
  <c r="BC66" i="5" s="1"/>
  <c r="AN66" i="5"/>
  <c r="T66" i="5"/>
  <c r="V66" i="5" s="1"/>
  <c r="Y66" i="5" s="1"/>
  <c r="AK66" i="8"/>
  <c r="J66" i="5"/>
  <c r="L66" i="5" s="1"/>
  <c r="AB66" i="8"/>
  <c r="S66" i="8"/>
  <c r="T66" i="8" s="1"/>
  <c r="J66" i="8"/>
  <c r="AD66" i="5"/>
  <c r="AF66" i="5" s="1"/>
  <c r="A66" i="8"/>
  <c r="A62" i="5"/>
  <c r="BH62" i="5"/>
  <c r="AX62" i="5"/>
  <c r="AZ62" i="5" s="1"/>
  <c r="BC62" i="5" s="1"/>
  <c r="BR62" i="5"/>
  <c r="AN62" i="5"/>
  <c r="AD62" i="5"/>
  <c r="AF62" i="5" s="1"/>
  <c r="T62" i="5"/>
  <c r="V62" i="5" s="1"/>
  <c r="Y62" i="5" s="1"/>
  <c r="AK62" i="8"/>
  <c r="AB62" i="8"/>
  <c r="S62" i="8"/>
  <c r="T62" i="8" s="1"/>
  <c r="J62" i="8"/>
  <c r="J62" i="5"/>
  <c r="L62" i="5" s="1"/>
  <c r="A62" i="8"/>
  <c r="BH58" i="5"/>
  <c r="AX58" i="5"/>
  <c r="AZ58" i="5" s="1"/>
  <c r="BC58" i="5" s="1"/>
  <c r="AN58" i="5"/>
  <c r="BR58" i="5"/>
  <c r="AB58" i="8"/>
  <c r="S58" i="8"/>
  <c r="T58" i="8" s="1"/>
  <c r="J58" i="8"/>
  <c r="AD58" i="5"/>
  <c r="AF58" i="5" s="1"/>
  <c r="T58" i="5"/>
  <c r="V58" i="5" s="1"/>
  <c r="Y58" i="5" s="1"/>
  <c r="AK58" i="8"/>
  <c r="J58" i="5"/>
  <c r="L58" i="5" s="1"/>
  <c r="A58" i="8"/>
  <c r="BH54" i="5"/>
  <c r="AX54" i="5"/>
  <c r="AZ54" i="5" s="1"/>
  <c r="BC54" i="5" s="1"/>
  <c r="BR54" i="5"/>
  <c r="AN54" i="5"/>
  <c r="AD54" i="5"/>
  <c r="AF54" i="5" s="1"/>
  <c r="J54" i="5"/>
  <c r="L54" i="5" s="1"/>
  <c r="AB54" i="8"/>
  <c r="S54" i="8"/>
  <c r="T54" i="8" s="1"/>
  <c r="J54" i="8"/>
  <c r="T54" i="5"/>
  <c r="V54" i="5" s="1"/>
  <c r="Y54" i="5" s="1"/>
  <c r="AK54" i="8"/>
  <c r="A54" i="8"/>
  <c r="BR50" i="5"/>
  <c r="BH50" i="5"/>
  <c r="AX50" i="5"/>
  <c r="AZ50" i="5" s="1"/>
  <c r="BC50" i="5" s="1"/>
  <c r="AN50" i="5"/>
  <c r="T50" i="5"/>
  <c r="V50" i="5" s="1"/>
  <c r="Y50" i="5" s="1"/>
  <c r="AK50" i="8"/>
  <c r="J50" i="5"/>
  <c r="L50" i="5" s="1"/>
  <c r="AB50" i="8"/>
  <c r="S50" i="8"/>
  <c r="T50" i="8" s="1"/>
  <c r="J50" i="8"/>
  <c r="AD50" i="5"/>
  <c r="AF50" i="5" s="1"/>
  <c r="A50" i="8"/>
  <c r="BH46" i="5"/>
  <c r="AX46" i="5"/>
  <c r="AZ46" i="5" s="1"/>
  <c r="BC46" i="5" s="1"/>
  <c r="BR46" i="5"/>
  <c r="AN46" i="5"/>
  <c r="AD46" i="5"/>
  <c r="AF46" i="5" s="1"/>
  <c r="T46" i="5"/>
  <c r="V46" i="5" s="1"/>
  <c r="Y46" i="5" s="1"/>
  <c r="AK46" i="8"/>
  <c r="AB46" i="8"/>
  <c r="S46" i="8"/>
  <c r="T46" i="8" s="1"/>
  <c r="J46" i="8"/>
  <c r="J46" i="5"/>
  <c r="L46" i="5" s="1"/>
  <c r="A46" i="8"/>
  <c r="BH42" i="5"/>
  <c r="AX42" i="5"/>
  <c r="AZ42" i="5" s="1"/>
  <c r="BC42" i="5" s="1"/>
  <c r="BR42" i="5"/>
  <c r="AN42" i="5"/>
  <c r="AB42" i="8"/>
  <c r="S42" i="8"/>
  <c r="T42" i="8" s="1"/>
  <c r="J42" i="8"/>
  <c r="T42" i="5"/>
  <c r="V42" i="5" s="1"/>
  <c r="Y42" i="5" s="1"/>
  <c r="AK42" i="8"/>
  <c r="AD42" i="5"/>
  <c r="AF42" i="5" s="1"/>
  <c r="J42" i="5"/>
  <c r="L42" i="5" s="1"/>
  <c r="A42" i="8"/>
  <c r="B42" i="8" s="1"/>
  <c r="BH38" i="5"/>
  <c r="AX38" i="5"/>
  <c r="AZ38" i="5" s="1"/>
  <c r="BC38" i="5" s="1"/>
  <c r="BR38" i="5"/>
  <c r="AN38" i="5"/>
  <c r="J38" i="5"/>
  <c r="L38" i="5" s="1"/>
  <c r="AB38" i="8"/>
  <c r="S38" i="8"/>
  <c r="T38" i="8" s="1"/>
  <c r="J38" i="8"/>
  <c r="AD38" i="5"/>
  <c r="AF38" i="5" s="1"/>
  <c r="T38" i="5"/>
  <c r="V38" i="5" s="1"/>
  <c r="Y38" i="5" s="1"/>
  <c r="AK38" i="8"/>
  <c r="A38" i="8"/>
  <c r="B38" i="8" s="1"/>
  <c r="BR34" i="5"/>
  <c r="BH34" i="5"/>
  <c r="AX34" i="5"/>
  <c r="AZ34" i="5" s="1"/>
  <c r="BC34" i="5" s="1"/>
  <c r="AN34" i="5"/>
  <c r="T34" i="5"/>
  <c r="V34" i="5" s="1"/>
  <c r="Y34" i="5" s="1"/>
  <c r="AK34" i="8"/>
  <c r="AD34" i="5"/>
  <c r="AF34" i="5" s="1"/>
  <c r="J34" i="5"/>
  <c r="L34" i="5" s="1"/>
  <c r="AB34" i="8"/>
  <c r="S34" i="8"/>
  <c r="T34" i="8" s="1"/>
  <c r="J34" i="8"/>
  <c r="A34" i="8"/>
  <c r="B34" i="8" s="1"/>
  <c r="BH30" i="5"/>
  <c r="AX30" i="5"/>
  <c r="AZ30" i="5" s="1"/>
  <c r="BC30" i="5" s="1"/>
  <c r="BR30" i="5"/>
  <c r="AN30" i="5"/>
  <c r="AD30" i="5"/>
  <c r="AF30" i="5" s="1"/>
  <c r="T30" i="5"/>
  <c r="V30" i="5" s="1"/>
  <c r="Y30" i="5" s="1"/>
  <c r="AK30" i="8"/>
  <c r="AB30" i="8"/>
  <c r="S30" i="8"/>
  <c r="T30" i="8" s="1"/>
  <c r="J30" i="8"/>
  <c r="J30" i="5"/>
  <c r="L30" i="5" s="1"/>
  <c r="A30" i="8"/>
  <c r="B30" i="8" s="1"/>
  <c r="BR26" i="5"/>
  <c r="BH26" i="5"/>
  <c r="AX26" i="5"/>
  <c r="AZ26" i="5" s="1"/>
  <c r="BC26" i="5" s="1"/>
  <c r="AN26" i="5"/>
  <c r="AB26" i="8"/>
  <c r="S26" i="8"/>
  <c r="T26" i="8" s="1"/>
  <c r="J26" i="8"/>
  <c r="T26" i="5"/>
  <c r="V26" i="5" s="1"/>
  <c r="Y26" i="5" s="1"/>
  <c r="AK26" i="8"/>
  <c r="AD26" i="5"/>
  <c r="AF26" i="5" s="1"/>
  <c r="J26" i="5"/>
  <c r="L26" i="5" s="1"/>
  <c r="A26" i="8"/>
  <c r="B26" i="8" s="1"/>
  <c r="BH22" i="5"/>
  <c r="AX22" i="5"/>
  <c r="AZ22" i="5" s="1"/>
  <c r="BC22" i="5" s="1"/>
  <c r="BR22" i="5"/>
  <c r="AN22" i="5"/>
  <c r="AD22" i="5"/>
  <c r="AF22" i="5" s="1"/>
  <c r="J22" i="5"/>
  <c r="L22" i="5" s="1"/>
  <c r="AB22" i="8"/>
  <c r="S22" i="8"/>
  <c r="T22" i="8" s="1"/>
  <c r="J22" i="8"/>
  <c r="T22" i="5"/>
  <c r="V22" i="5" s="1"/>
  <c r="Y22" i="5" s="1"/>
  <c r="AK22" i="8"/>
  <c r="A22" i="8"/>
  <c r="BH18" i="5"/>
  <c r="AX18" i="5"/>
  <c r="AZ18" i="5" s="1"/>
  <c r="BC18" i="5" s="1"/>
  <c r="AN18" i="5"/>
  <c r="AD18" i="5"/>
  <c r="AF18" i="5" s="1"/>
  <c r="BR18" i="5"/>
  <c r="T18" i="5"/>
  <c r="V18" i="5" s="1"/>
  <c r="Y18" i="5" s="1"/>
  <c r="AK18" i="8"/>
  <c r="J18" i="5"/>
  <c r="L18" i="5" s="1"/>
  <c r="AB18" i="8"/>
  <c r="S18" i="8"/>
  <c r="T18" i="8" s="1"/>
  <c r="J18" i="8"/>
  <c r="A18" i="8"/>
  <c r="BH14" i="5"/>
  <c r="AX14" i="5"/>
  <c r="AZ14" i="5" s="1"/>
  <c r="BC14" i="5" s="1"/>
  <c r="BR14" i="5"/>
  <c r="AN14" i="5"/>
  <c r="AD14" i="5"/>
  <c r="AF14" i="5" s="1"/>
  <c r="T14" i="5"/>
  <c r="V14" i="5" s="1"/>
  <c r="Y14" i="5" s="1"/>
  <c r="AK14" i="8"/>
  <c r="AB14" i="8"/>
  <c r="S14" i="8"/>
  <c r="T14" i="8" s="1"/>
  <c r="J14" i="8"/>
  <c r="J14" i="5"/>
  <c r="L14" i="5" s="1"/>
  <c r="A14" i="8"/>
  <c r="BR10" i="5"/>
  <c r="BH10" i="5"/>
  <c r="AX10" i="5"/>
  <c r="AZ10" i="5" s="1"/>
  <c r="BC10" i="5" s="1"/>
  <c r="AN10" i="5"/>
  <c r="AD10" i="5"/>
  <c r="AF10" i="5" s="1"/>
  <c r="AB10" i="8"/>
  <c r="S10" i="8"/>
  <c r="T10" i="8" s="1"/>
  <c r="J10" i="8"/>
  <c r="T10" i="5"/>
  <c r="V10" i="5" s="1"/>
  <c r="Y10" i="5" s="1"/>
  <c r="AK10" i="8"/>
  <c r="J10" i="5"/>
  <c r="L10" i="5" s="1"/>
  <c r="A10" i="8"/>
  <c r="BR6" i="5"/>
  <c r="BH6" i="5"/>
  <c r="AX6" i="5"/>
  <c r="AZ6" i="5" s="1"/>
  <c r="BC6" i="5" s="1"/>
  <c r="AN6" i="5"/>
  <c r="AD6" i="5"/>
  <c r="AF6" i="5" s="1"/>
  <c r="J6" i="5"/>
  <c r="L6" i="5" s="1"/>
  <c r="AB6" i="8"/>
  <c r="S6" i="8"/>
  <c r="T6" i="8" s="1"/>
  <c r="J6" i="8"/>
  <c r="T6" i="5"/>
  <c r="V6" i="5" s="1"/>
  <c r="Y6" i="5" s="1"/>
  <c r="AK6" i="8"/>
  <c r="A6" i="8"/>
  <c r="D201" i="2"/>
  <c r="D197" i="2"/>
  <c r="D193" i="2"/>
  <c r="D189" i="2"/>
  <c r="D185" i="2"/>
  <c r="D181" i="2"/>
  <c r="D177" i="2"/>
  <c r="D173" i="2"/>
  <c r="D169" i="2"/>
  <c r="D165" i="2"/>
  <c r="D161" i="2"/>
  <c r="D157" i="2"/>
  <c r="D153" i="2"/>
  <c r="D149" i="2"/>
  <c r="D145" i="2"/>
  <c r="D141" i="2"/>
  <c r="D137" i="2"/>
  <c r="D133" i="2"/>
  <c r="D129" i="2"/>
  <c r="D125" i="2"/>
  <c r="D121" i="2"/>
  <c r="D117" i="2"/>
  <c r="D113" i="2"/>
  <c r="D109" i="2"/>
  <c r="D105" i="2"/>
  <c r="D101" i="2"/>
  <c r="D97" i="2"/>
  <c r="D93" i="2"/>
  <c r="D89" i="2"/>
  <c r="D85" i="2"/>
  <c r="D81" i="2"/>
  <c r="D77" i="2"/>
  <c r="D73" i="2"/>
  <c r="D69" i="2"/>
  <c r="D65" i="2"/>
  <c r="D61" i="2"/>
  <c r="D57" i="2"/>
  <c r="D53" i="2"/>
  <c r="D49" i="2"/>
  <c r="D45" i="2"/>
  <c r="D41" i="2"/>
  <c r="D37" i="2"/>
  <c r="D33" i="2"/>
  <c r="D29" i="2"/>
  <c r="D25" i="2"/>
  <c r="D21" i="2"/>
  <c r="D17" i="2"/>
  <c r="D13" i="2"/>
  <c r="D9" i="2"/>
  <c r="D5" i="2"/>
  <c r="BR201" i="5"/>
  <c r="AX201" i="5"/>
  <c r="AZ201" i="5" s="1"/>
  <c r="BC201" i="5" s="1"/>
  <c r="AN201" i="5"/>
  <c r="BH201" i="5"/>
  <c r="AK201" i="8"/>
  <c r="AB201" i="8"/>
  <c r="S201" i="8"/>
  <c r="T201" i="8" s="1"/>
  <c r="J201" i="8"/>
  <c r="T201" i="5"/>
  <c r="V201" i="5" s="1"/>
  <c r="Y201" i="5" s="1"/>
  <c r="J201" i="5"/>
  <c r="L201" i="5" s="1"/>
  <c r="AD201" i="5"/>
  <c r="AF201" i="5" s="1"/>
  <c r="A201" i="8"/>
  <c r="BR197" i="5"/>
  <c r="AX197" i="5"/>
  <c r="AZ197" i="5" s="1"/>
  <c r="BC197" i="5" s="1"/>
  <c r="AN197" i="5"/>
  <c r="BH197" i="5"/>
  <c r="AD197" i="5"/>
  <c r="AF197" i="5" s="1"/>
  <c r="AK197" i="8"/>
  <c r="AB197" i="8"/>
  <c r="S197" i="8"/>
  <c r="T197" i="8" s="1"/>
  <c r="J197" i="8"/>
  <c r="T197" i="5"/>
  <c r="V197" i="5" s="1"/>
  <c r="Y197" i="5" s="1"/>
  <c r="J197" i="5"/>
  <c r="L197" i="5" s="1"/>
  <c r="A197" i="8"/>
  <c r="A193" i="5"/>
  <c r="B193" i="5" s="1"/>
  <c r="C193" i="5" s="1"/>
  <c r="F193" i="5" s="1"/>
  <c r="BH193" i="5"/>
  <c r="AX193" i="5"/>
  <c r="AZ193" i="5" s="1"/>
  <c r="BC193" i="5" s="1"/>
  <c r="AN193" i="5"/>
  <c r="BR193" i="5"/>
  <c r="J193" i="5"/>
  <c r="L193" i="5" s="1"/>
  <c r="AK193" i="8"/>
  <c r="AB193" i="8"/>
  <c r="S193" i="8"/>
  <c r="T193" i="8" s="1"/>
  <c r="J193" i="8"/>
  <c r="AD193" i="5"/>
  <c r="AF193" i="5" s="1"/>
  <c r="T193" i="5"/>
  <c r="V193" i="5" s="1"/>
  <c r="Y193" i="5" s="1"/>
  <c r="A193" i="8"/>
  <c r="BH189" i="5"/>
  <c r="AX189" i="5"/>
  <c r="AZ189" i="5" s="1"/>
  <c r="BC189" i="5" s="1"/>
  <c r="AN189" i="5"/>
  <c r="BR189" i="5"/>
  <c r="T189" i="5"/>
  <c r="V189" i="5" s="1"/>
  <c r="Y189" i="5" s="1"/>
  <c r="AK189" i="8"/>
  <c r="AB189" i="8"/>
  <c r="S189" i="8"/>
  <c r="T189" i="8" s="1"/>
  <c r="J189" i="8"/>
  <c r="J189" i="5"/>
  <c r="L189" i="5" s="1"/>
  <c r="AD189" i="5"/>
  <c r="AF189" i="5" s="1"/>
  <c r="A189" i="8"/>
  <c r="BR185" i="5"/>
  <c r="AX185" i="5"/>
  <c r="AZ185" i="5" s="1"/>
  <c r="BC185" i="5" s="1"/>
  <c r="AN185" i="5"/>
  <c r="BH185" i="5"/>
  <c r="AK185" i="8"/>
  <c r="AB185" i="8"/>
  <c r="S185" i="8"/>
  <c r="T185" i="8" s="1"/>
  <c r="J185" i="8"/>
  <c r="T185" i="5"/>
  <c r="V185" i="5" s="1"/>
  <c r="Y185" i="5" s="1"/>
  <c r="J185" i="5"/>
  <c r="L185" i="5" s="1"/>
  <c r="AD185" i="5"/>
  <c r="AF185" i="5" s="1"/>
  <c r="A185" i="8"/>
  <c r="BR181" i="5"/>
  <c r="AX181" i="5"/>
  <c r="AZ181" i="5" s="1"/>
  <c r="BC181" i="5" s="1"/>
  <c r="AN181" i="5"/>
  <c r="BH181" i="5"/>
  <c r="AD181" i="5"/>
  <c r="AF181" i="5" s="1"/>
  <c r="AK181" i="8"/>
  <c r="AB181" i="8"/>
  <c r="S181" i="8"/>
  <c r="T181" i="8" s="1"/>
  <c r="J181" i="8"/>
  <c r="T181" i="5"/>
  <c r="V181" i="5" s="1"/>
  <c r="Y181" i="5" s="1"/>
  <c r="J181" i="5"/>
  <c r="L181" i="5" s="1"/>
  <c r="A181" i="8"/>
  <c r="A177" i="5"/>
  <c r="B177" i="5" s="1"/>
  <c r="C177" i="5" s="1"/>
  <c r="F177" i="5" s="1"/>
  <c r="BR177" i="5"/>
  <c r="BH177" i="5"/>
  <c r="AX177" i="5"/>
  <c r="AZ177" i="5" s="1"/>
  <c r="BC177" i="5" s="1"/>
  <c r="AN177" i="5"/>
  <c r="J177" i="5"/>
  <c r="L177" i="5" s="1"/>
  <c r="AK177" i="8"/>
  <c r="AB177" i="8"/>
  <c r="S177" i="8"/>
  <c r="T177" i="8" s="1"/>
  <c r="J177" i="8"/>
  <c r="AD177" i="5"/>
  <c r="AF177" i="5" s="1"/>
  <c r="T177" i="5"/>
  <c r="V177" i="5" s="1"/>
  <c r="Y177" i="5" s="1"/>
  <c r="A177" i="8"/>
  <c r="BR173" i="5"/>
  <c r="BH173" i="5"/>
  <c r="AX173" i="5"/>
  <c r="AZ173" i="5" s="1"/>
  <c r="BC173" i="5" s="1"/>
  <c r="AN173" i="5"/>
  <c r="T173" i="5"/>
  <c r="V173" i="5" s="1"/>
  <c r="Y173" i="5" s="1"/>
  <c r="AK173" i="8"/>
  <c r="AB173" i="8"/>
  <c r="S173" i="8"/>
  <c r="T173" i="8" s="1"/>
  <c r="J173" i="8"/>
  <c r="J173" i="5"/>
  <c r="L173" i="5" s="1"/>
  <c r="AD173" i="5"/>
  <c r="AF173" i="5" s="1"/>
  <c r="A173" i="8"/>
  <c r="BR169" i="5"/>
  <c r="AX169" i="5"/>
  <c r="AZ169" i="5" s="1"/>
  <c r="BC169" i="5" s="1"/>
  <c r="AN169" i="5"/>
  <c r="BH169" i="5"/>
  <c r="AK169" i="8"/>
  <c r="AB169" i="8"/>
  <c r="S169" i="8"/>
  <c r="T169" i="8" s="1"/>
  <c r="J169" i="8"/>
  <c r="T169" i="5"/>
  <c r="V169" i="5" s="1"/>
  <c r="Y169" i="5" s="1"/>
  <c r="J169" i="5"/>
  <c r="L169" i="5" s="1"/>
  <c r="AD169" i="5"/>
  <c r="AF169" i="5" s="1"/>
  <c r="A169" i="8"/>
  <c r="BR165" i="5"/>
  <c r="AX165" i="5"/>
  <c r="AZ165" i="5" s="1"/>
  <c r="BC165" i="5" s="1"/>
  <c r="AN165" i="5"/>
  <c r="BH165" i="5"/>
  <c r="AD165" i="5"/>
  <c r="AF165" i="5" s="1"/>
  <c r="AK165" i="8"/>
  <c r="AB165" i="8"/>
  <c r="S165" i="8"/>
  <c r="T165" i="8" s="1"/>
  <c r="J165" i="8"/>
  <c r="T165" i="5"/>
  <c r="V165" i="5" s="1"/>
  <c r="Y165" i="5" s="1"/>
  <c r="J165" i="5"/>
  <c r="L165" i="5" s="1"/>
  <c r="A165" i="8"/>
  <c r="BR161" i="5"/>
  <c r="BH161" i="5"/>
  <c r="AX161" i="5"/>
  <c r="AZ161" i="5" s="1"/>
  <c r="BC161" i="5" s="1"/>
  <c r="AN161" i="5"/>
  <c r="J161" i="5"/>
  <c r="L161" i="5" s="1"/>
  <c r="AK161" i="8"/>
  <c r="AB161" i="8"/>
  <c r="S161" i="8"/>
  <c r="T161" i="8" s="1"/>
  <c r="J161" i="8"/>
  <c r="AD161" i="5"/>
  <c r="AF161" i="5" s="1"/>
  <c r="T161" i="5"/>
  <c r="V161" i="5" s="1"/>
  <c r="Y161" i="5" s="1"/>
  <c r="A161" i="8"/>
  <c r="BR157" i="5"/>
  <c r="BH157" i="5"/>
  <c r="AX157" i="5"/>
  <c r="AZ157" i="5" s="1"/>
  <c r="BC157" i="5" s="1"/>
  <c r="AN157" i="5"/>
  <c r="T157" i="5"/>
  <c r="V157" i="5" s="1"/>
  <c r="Y157" i="5" s="1"/>
  <c r="AK157" i="8"/>
  <c r="AB157" i="8"/>
  <c r="S157" i="8"/>
  <c r="T157" i="8" s="1"/>
  <c r="J157" i="8"/>
  <c r="J157" i="5"/>
  <c r="L157" i="5" s="1"/>
  <c r="AD157" i="5"/>
  <c r="AF157" i="5" s="1"/>
  <c r="A157" i="8"/>
  <c r="BR153" i="5"/>
  <c r="AX153" i="5"/>
  <c r="AZ153" i="5" s="1"/>
  <c r="BC153" i="5" s="1"/>
  <c r="AN153" i="5"/>
  <c r="BH153" i="5"/>
  <c r="AK153" i="8"/>
  <c r="AB153" i="8"/>
  <c r="S153" i="8"/>
  <c r="T153" i="8" s="1"/>
  <c r="J153" i="8"/>
  <c r="T153" i="5"/>
  <c r="V153" i="5" s="1"/>
  <c r="Y153" i="5" s="1"/>
  <c r="J153" i="5"/>
  <c r="L153" i="5" s="1"/>
  <c r="AD153" i="5"/>
  <c r="AF153" i="5" s="1"/>
  <c r="A153" i="8"/>
  <c r="BR149" i="5"/>
  <c r="AX149" i="5"/>
  <c r="AZ149" i="5" s="1"/>
  <c r="BC149" i="5" s="1"/>
  <c r="AN149" i="5"/>
  <c r="BH149" i="5"/>
  <c r="AD149" i="5"/>
  <c r="AF149" i="5" s="1"/>
  <c r="AK149" i="8"/>
  <c r="AB149" i="8"/>
  <c r="S149" i="8"/>
  <c r="T149" i="8" s="1"/>
  <c r="J149" i="8"/>
  <c r="T149" i="5"/>
  <c r="V149" i="5" s="1"/>
  <c r="Y149" i="5" s="1"/>
  <c r="J149" i="5"/>
  <c r="L149" i="5" s="1"/>
  <c r="A149" i="8"/>
  <c r="BR145" i="5"/>
  <c r="BH145" i="5"/>
  <c r="AX145" i="5"/>
  <c r="AZ145" i="5" s="1"/>
  <c r="BC145" i="5" s="1"/>
  <c r="AN145" i="5"/>
  <c r="J145" i="5"/>
  <c r="L145" i="5" s="1"/>
  <c r="AK145" i="8"/>
  <c r="AB145" i="8"/>
  <c r="S145" i="8"/>
  <c r="T145" i="8" s="1"/>
  <c r="J145" i="8"/>
  <c r="AD145" i="5"/>
  <c r="AF145" i="5" s="1"/>
  <c r="T145" i="5"/>
  <c r="V145" i="5" s="1"/>
  <c r="Y145" i="5" s="1"/>
  <c r="A145" i="8"/>
  <c r="BR141" i="5"/>
  <c r="BH141" i="5"/>
  <c r="AX141" i="5"/>
  <c r="AZ141" i="5" s="1"/>
  <c r="BC141" i="5" s="1"/>
  <c r="AN141" i="5"/>
  <c r="T141" i="5"/>
  <c r="V141" i="5" s="1"/>
  <c r="Y141" i="5" s="1"/>
  <c r="AK141" i="8"/>
  <c r="AB141" i="8"/>
  <c r="S141" i="8"/>
  <c r="T141" i="8" s="1"/>
  <c r="J141" i="8"/>
  <c r="J141" i="5"/>
  <c r="L141" i="5" s="1"/>
  <c r="AD141" i="5"/>
  <c r="AF141" i="5" s="1"/>
  <c r="A141" i="8"/>
  <c r="BR137" i="5"/>
  <c r="AX137" i="5"/>
  <c r="AZ137" i="5" s="1"/>
  <c r="BC137" i="5" s="1"/>
  <c r="AN137" i="5"/>
  <c r="BH137" i="5"/>
  <c r="AK137" i="8"/>
  <c r="AB137" i="8"/>
  <c r="S137" i="8"/>
  <c r="T137" i="8" s="1"/>
  <c r="J137" i="8"/>
  <c r="T137" i="5"/>
  <c r="V137" i="5" s="1"/>
  <c r="Y137" i="5" s="1"/>
  <c r="J137" i="5"/>
  <c r="L137" i="5" s="1"/>
  <c r="AD137" i="5"/>
  <c r="AF137" i="5" s="1"/>
  <c r="A137" i="8"/>
  <c r="BR133" i="5"/>
  <c r="AX133" i="5"/>
  <c r="AZ133" i="5" s="1"/>
  <c r="BC133" i="5" s="1"/>
  <c r="AN133" i="5"/>
  <c r="BH133" i="5"/>
  <c r="AD133" i="5"/>
  <c r="AF133" i="5" s="1"/>
  <c r="AK133" i="8"/>
  <c r="AB133" i="8"/>
  <c r="S133" i="8"/>
  <c r="T133" i="8" s="1"/>
  <c r="J133" i="8"/>
  <c r="T133" i="5"/>
  <c r="V133" i="5" s="1"/>
  <c r="Y133" i="5" s="1"/>
  <c r="J133" i="5"/>
  <c r="L133" i="5" s="1"/>
  <c r="A133" i="8"/>
  <c r="A129" i="5"/>
  <c r="B129" i="5" s="1"/>
  <c r="BR129" i="5"/>
  <c r="BH129" i="5"/>
  <c r="AX129" i="5"/>
  <c r="AZ129" i="5" s="1"/>
  <c r="BC129" i="5" s="1"/>
  <c r="AN129" i="5"/>
  <c r="J129" i="5"/>
  <c r="L129" i="5" s="1"/>
  <c r="AK129" i="8"/>
  <c r="AB129" i="8"/>
  <c r="S129" i="8"/>
  <c r="T129" i="8" s="1"/>
  <c r="J129" i="8"/>
  <c r="AD129" i="5"/>
  <c r="AF129" i="5" s="1"/>
  <c r="T129" i="5"/>
  <c r="V129" i="5" s="1"/>
  <c r="Y129" i="5" s="1"/>
  <c r="A129" i="8"/>
  <c r="BR125" i="5"/>
  <c r="BH125" i="5"/>
  <c r="AX125" i="5"/>
  <c r="AZ125" i="5" s="1"/>
  <c r="BC125" i="5" s="1"/>
  <c r="AN125" i="5"/>
  <c r="T125" i="5"/>
  <c r="V125" i="5" s="1"/>
  <c r="Y125" i="5" s="1"/>
  <c r="AK125" i="8"/>
  <c r="AB125" i="8"/>
  <c r="S125" i="8"/>
  <c r="T125" i="8" s="1"/>
  <c r="J125" i="8"/>
  <c r="J125" i="5"/>
  <c r="L125" i="5" s="1"/>
  <c r="AD125" i="5"/>
  <c r="AF125" i="5" s="1"/>
  <c r="A125" i="8"/>
  <c r="BR121" i="5"/>
  <c r="AX121" i="5"/>
  <c r="AZ121" i="5" s="1"/>
  <c r="BC121" i="5" s="1"/>
  <c r="AN121" i="5"/>
  <c r="BH121" i="5"/>
  <c r="AK121" i="8"/>
  <c r="AB121" i="8"/>
  <c r="S121" i="8"/>
  <c r="T121" i="8" s="1"/>
  <c r="J121" i="8"/>
  <c r="T121" i="5"/>
  <c r="V121" i="5" s="1"/>
  <c r="Y121" i="5" s="1"/>
  <c r="J121" i="5"/>
  <c r="L121" i="5" s="1"/>
  <c r="AD121" i="5"/>
  <c r="AF121" i="5" s="1"/>
  <c r="A121" i="8"/>
  <c r="BR117" i="5"/>
  <c r="AX117" i="5"/>
  <c r="AZ117" i="5" s="1"/>
  <c r="BC117" i="5" s="1"/>
  <c r="AN117" i="5"/>
  <c r="BH117" i="5"/>
  <c r="AD117" i="5"/>
  <c r="AF117" i="5" s="1"/>
  <c r="AK117" i="8"/>
  <c r="AB117" i="8"/>
  <c r="S117" i="8"/>
  <c r="T117" i="8" s="1"/>
  <c r="J117" i="8"/>
  <c r="T117" i="5"/>
  <c r="V117" i="5" s="1"/>
  <c r="Y117" i="5" s="1"/>
  <c r="J117" i="5"/>
  <c r="L117" i="5" s="1"/>
  <c r="A117" i="8"/>
  <c r="A113" i="5"/>
  <c r="B113" i="5" s="1"/>
  <c r="C113" i="5" s="1"/>
  <c r="F113" i="5" s="1"/>
  <c r="BR113" i="5"/>
  <c r="BH113" i="5"/>
  <c r="AX113" i="5"/>
  <c r="AZ113" i="5" s="1"/>
  <c r="BC113" i="5" s="1"/>
  <c r="AN113" i="5"/>
  <c r="J113" i="5"/>
  <c r="L113" i="5" s="1"/>
  <c r="AK113" i="8"/>
  <c r="AB113" i="8"/>
  <c r="S113" i="8"/>
  <c r="T113" i="8" s="1"/>
  <c r="J113" i="8"/>
  <c r="AD113" i="5"/>
  <c r="AF113" i="5" s="1"/>
  <c r="T113" i="5"/>
  <c r="V113" i="5" s="1"/>
  <c r="Y113" i="5" s="1"/>
  <c r="A113" i="8"/>
  <c r="BR109" i="5"/>
  <c r="BH109" i="5"/>
  <c r="AX109" i="5"/>
  <c r="AZ109" i="5" s="1"/>
  <c r="BC109" i="5" s="1"/>
  <c r="AN109" i="5"/>
  <c r="T109" i="5"/>
  <c r="V109" i="5" s="1"/>
  <c r="Y109" i="5" s="1"/>
  <c r="AK109" i="8"/>
  <c r="AB109" i="8"/>
  <c r="S109" i="8"/>
  <c r="T109" i="8" s="1"/>
  <c r="J109" i="8"/>
  <c r="J109" i="5"/>
  <c r="L109" i="5" s="1"/>
  <c r="AD109" i="5"/>
  <c r="AF109" i="5" s="1"/>
  <c r="A109" i="8"/>
  <c r="BR105" i="5"/>
  <c r="AX105" i="5"/>
  <c r="AN105" i="5"/>
  <c r="BH105" i="5"/>
  <c r="AK105" i="8"/>
  <c r="AB105" i="8"/>
  <c r="S105" i="8"/>
  <c r="T105" i="8" s="1"/>
  <c r="J105" i="8"/>
  <c r="T105" i="5"/>
  <c r="V105" i="5" s="1"/>
  <c r="Y105" i="5" s="1"/>
  <c r="J105" i="5"/>
  <c r="L105" i="5" s="1"/>
  <c r="AD105" i="5"/>
  <c r="AF105" i="5" s="1"/>
  <c r="A105" i="8"/>
  <c r="BR101" i="5"/>
  <c r="AX101" i="5"/>
  <c r="AZ101" i="5" s="1"/>
  <c r="BC101" i="5" s="1"/>
  <c r="AN101" i="5"/>
  <c r="BH101" i="5"/>
  <c r="AD101" i="5"/>
  <c r="AF101" i="5" s="1"/>
  <c r="AK101" i="8"/>
  <c r="AB101" i="8"/>
  <c r="S101" i="8"/>
  <c r="T101" i="8" s="1"/>
  <c r="J101" i="8"/>
  <c r="T101" i="5"/>
  <c r="V101" i="5" s="1"/>
  <c r="Y101" i="5" s="1"/>
  <c r="J101" i="5"/>
  <c r="L101" i="5" s="1"/>
  <c r="A101" i="8"/>
  <c r="B101" i="8" s="1"/>
  <c r="BR97" i="5"/>
  <c r="BH97" i="5"/>
  <c r="AN97" i="5"/>
  <c r="AX97" i="5"/>
  <c r="AZ97" i="5" s="1"/>
  <c r="BC97" i="5" s="1"/>
  <c r="J97" i="5"/>
  <c r="L97" i="5" s="1"/>
  <c r="AK97" i="8"/>
  <c r="AB97" i="8"/>
  <c r="S97" i="8"/>
  <c r="T97" i="8" s="1"/>
  <c r="J97" i="8"/>
  <c r="AD97" i="5"/>
  <c r="AF97" i="5" s="1"/>
  <c r="T97" i="5"/>
  <c r="V97" i="5" s="1"/>
  <c r="Y97" i="5" s="1"/>
  <c r="A97" i="8"/>
  <c r="BR93" i="5"/>
  <c r="BH93" i="5"/>
  <c r="AN93" i="5"/>
  <c r="AX93" i="5"/>
  <c r="AZ93" i="5" s="1"/>
  <c r="BC93" i="5" s="1"/>
  <c r="T93" i="5"/>
  <c r="V93" i="5" s="1"/>
  <c r="Y93" i="5" s="1"/>
  <c r="AK93" i="8"/>
  <c r="AB93" i="8"/>
  <c r="S93" i="8"/>
  <c r="T93" i="8" s="1"/>
  <c r="J93" i="8"/>
  <c r="J93" i="5"/>
  <c r="L93" i="5" s="1"/>
  <c r="AD93" i="5"/>
  <c r="AF93" i="5" s="1"/>
  <c r="A93" i="8"/>
  <c r="BR89" i="5"/>
  <c r="AX89" i="5"/>
  <c r="AZ89" i="5" s="1"/>
  <c r="BC89" i="5" s="1"/>
  <c r="AN89" i="5"/>
  <c r="BH89" i="5"/>
  <c r="AB89" i="8"/>
  <c r="S89" i="8"/>
  <c r="T89" i="8" s="1"/>
  <c r="J89" i="8"/>
  <c r="T89" i="5"/>
  <c r="V89" i="5" s="1"/>
  <c r="Y89" i="5" s="1"/>
  <c r="AK89" i="8"/>
  <c r="J89" i="5"/>
  <c r="L89" i="5" s="1"/>
  <c r="AD89" i="5"/>
  <c r="AF89" i="5" s="1"/>
  <c r="A89" i="8"/>
  <c r="BR85" i="5"/>
  <c r="AX85" i="5"/>
  <c r="AZ85" i="5" s="1"/>
  <c r="BC85" i="5" s="1"/>
  <c r="AN85" i="5"/>
  <c r="BH85" i="5"/>
  <c r="AD85" i="5"/>
  <c r="AF85" i="5" s="1"/>
  <c r="AB85" i="8"/>
  <c r="S85" i="8"/>
  <c r="T85" i="8" s="1"/>
  <c r="J85" i="8"/>
  <c r="T85" i="5"/>
  <c r="V85" i="5" s="1"/>
  <c r="Y85" i="5" s="1"/>
  <c r="AK85" i="8"/>
  <c r="J85" i="5"/>
  <c r="L85" i="5" s="1"/>
  <c r="A85" i="8"/>
  <c r="BR81" i="5"/>
  <c r="BH81" i="5"/>
  <c r="AN81" i="5"/>
  <c r="AX81" i="5"/>
  <c r="AZ81" i="5" s="1"/>
  <c r="BC81" i="5" s="1"/>
  <c r="J81" i="5"/>
  <c r="L81" i="5" s="1"/>
  <c r="AB81" i="8"/>
  <c r="S81" i="8"/>
  <c r="T81" i="8" s="1"/>
  <c r="J81" i="8"/>
  <c r="AD81" i="5"/>
  <c r="AF81" i="5" s="1"/>
  <c r="T81" i="5"/>
  <c r="V81" i="5" s="1"/>
  <c r="Y81" i="5" s="1"/>
  <c r="AK81" i="8"/>
  <c r="A81" i="8"/>
  <c r="BR77" i="5"/>
  <c r="BH77" i="5"/>
  <c r="AN77" i="5"/>
  <c r="AX77" i="5"/>
  <c r="AZ77" i="5" s="1"/>
  <c r="BC77" i="5" s="1"/>
  <c r="T77" i="5"/>
  <c r="V77" i="5" s="1"/>
  <c r="Y77" i="5" s="1"/>
  <c r="AK77" i="8"/>
  <c r="AB77" i="8"/>
  <c r="S77" i="8"/>
  <c r="T77" i="8" s="1"/>
  <c r="J77" i="8"/>
  <c r="J77" i="5"/>
  <c r="L77" i="5" s="1"/>
  <c r="AD77" i="5"/>
  <c r="AF77" i="5" s="1"/>
  <c r="A77" i="8"/>
  <c r="BR73" i="5"/>
  <c r="AX73" i="5"/>
  <c r="AZ73" i="5" s="1"/>
  <c r="BC73" i="5" s="1"/>
  <c r="AN73" i="5"/>
  <c r="BH73" i="5"/>
  <c r="AB73" i="8"/>
  <c r="S73" i="8"/>
  <c r="T73" i="8" s="1"/>
  <c r="J73" i="8"/>
  <c r="T73" i="5"/>
  <c r="V73" i="5" s="1"/>
  <c r="Y73" i="5" s="1"/>
  <c r="AK73" i="8"/>
  <c r="J73" i="5"/>
  <c r="L73" i="5" s="1"/>
  <c r="AD73" i="5"/>
  <c r="AF73" i="5" s="1"/>
  <c r="A73" i="8"/>
  <c r="BR69" i="5"/>
  <c r="AX69" i="5"/>
  <c r="AN69" i="5"/>
  <c r="BH69" i="5"/>
  <c r="AD69" i="5"/>
  <c r="AF69" i="5" s="1"/>
  <c r="AB69" i="8"/>
  <c r="S69" i="8"/>
  <c r="T69" i="8" s="1"/>
  <c r="J69" i="8"/>
  <c r="T69" i="5"/>
  <c r="V69" i="5" s="1"/>
  <c r="Y69" i="5" s="1"/>
  <c r="AK69" i="8"/>
  <c r="J69" i="5"/>
  <c r="L69" i="5" s="1"/>
  <c r="A69" i="8"/>
  <c r="A65" i="5"/>
  <c r="B65" i="5" s="1"/>
  <c r="C65" i="5" s="1"/>
  <c r="F65" i="5" s="1"/>
  <c r="BR65" i="5"/>
  <c r="BH65" i="5"/>
  <c r="AN65" i="5"/>
  <c r="AX65" i="5"/>
  <c r="AZ65" i="5" s="1"/>
  <c r="BC65" i="5" s="1"/>
  <c r="J65" i="5"/>
  <c r="L65" i="5" s="1"/>
  <c r="AB65" i="8"/>
  <c r="S65" i="8"/>
  <c r="T65" i="8" s="1"/>
  <c r="J65" i="8"/>
  <c r="AD65" i="5"/>
  <c r="AF65" i="5" s="1"/>
  <c r="T65" i="5"/>
  <c r="V65" i="5" s="1"/>
  <c r="Y65" i="5" s="1"/>
  <c r="AK65" i="8"/>
  <c r="A65" i="8"/>
  <c r="BR61" i="5"/>
  <c r="BH61" i="5"/>
  <c r="AN61" i="5"/>
  <c r="AX61" i="5"/>
  <c r="AZ61" i="5" s="1"/>
  <c r="BC61" i="5" s="1"/>
  <c r="T61" i="5"/>
  <c r="V61" i="5" s="1"/>
  <c r="Y61" i="5" s="1"/>
  <c r="AK61" i="8"/>
  <c r="AB61" i="8"/>
  <c r="S61" i="8"/>
  <c r="T61" i="8" s="1"/>
  <c r="J61" i="8"/>
  <c r="J61" i="5"/>
  <c r="L61" i="5" s="1"/>
  <c r="AD61" i="5"/>
  <c r="AF61" i="5" s="1"/>
  <c r="A61" i="8"/>
  <c r="BR57" i="5"/>
  <c r="AX57" i="5"/>
  <c r="AZ57" i="5" s="1"/>
  <c r="BC57" i="5" s="1"/>
  <c r="AN57" i="5"/>
  <c r="BH57" i="5"/>
  <c r="AB57" i="8"/>
  <c r="S57" i="8"/>
  <c r="T57" i="8" s="1"/>
  <c r="J57" i="8"/>
  <c r="AD57" i="5"/>
  <c r="AF57" i="5" s="1"/>
  <c r="T57" i="5"/>
  <c r="V57" i="5" s="1"/>
  <c r="Y57" i="5" s="1"/>
  <c r="AK57" i="8"/>
  <c r="J57" i="5"/>
  <c r="L57" i="5" s="1"/>
  <c r="A57" i="8"/>
  <c r="BR53" i="5"/>
  <c r="AX53" i="5"/>
  <c r="AZ53" i="5" s="1"/>
  <c r="BC53" i="5" s="1"/>
  <c r="AN53" i="5"/>
  <c r="BH53" i="5"/>
  <c r="AB53" i="8"/>
  <c r="S53" i="8"/>
  <c r="T53" i="8" s="1"/>
  <c r="J53" i="8"/>
  <c r="T53" i="5"/>
  <c r="V53" i="5" s="1"/>
  <c r="Y53" i="5" s="1"/>
  <c r="AK53" i="8"/>
  <c r="AD53" i="5"/>
  <c r="AF53" i="5" s="1"/>
  <c r="J53" i="5"/>
  <c r="L53" i="5" s="1"/>
  <c r="A53" i="8"/>
  <c r="BR49" i="5"/>
  <c r="BH49" i="5"/>
  <c r="AN49" i="5"/>
  <c r="AX49" i="5"/>
  <c r="AZ49" i="5" s="1"/>
  <c r="BC49" i="5" s="1"/>
  <c r="J49" i="5"/>
  <c r="L49" i="5" s="1"/>
  <c r="AB49" i="8"/>
  <c r="S49" i="8"/>
  <c r="T49" i="8" s="1"/>
  <c r="J49" i="8"/>
  <c r="AD49" i="5"/>
  <c r="AF49" i="5" s="1"/>
  <c r="T49" i="5"/>
  <c r="V49" i="5" s="1"/>
  <c r="Y49" i="5" s="1"/>
  <c r="AK49" i="8"/>
  <c r="A49" i="8"/>
  <c r="BR45" i="5"/>
  <c r="BH45" i="5"/>
  <c r="AN45" i="5"/>
  <c r="AD45" i="5"/>
  <c r="AF45" i="5" s="1"/>
  <c r="AX45" i="5"/>
  <c r="AZ45" i="5" s="1"/>
  <c r="BC45" i="5" s="1"/>
  <c r="T45" i="5"/>
  <c r="V45" i="5" s="1"/>
  <c r="Y45" i="5" s="1"/>
  <c r="AK45" i="8"/>
  <c r="AB45" i="8"/>
  <c r="S45" i="8"/>
  <c r="T45" i="8" s="1"/>
  <c r="J45" i="8"/>
  <c r="J45" i="5"/>
  <c r="L45" i="5" s="1"/>
  <c r="A45" i="8"/>
  <c r="BR41" i="5"/>
  <c r="AX41" i="5"/>
  <c r="AN41" i="5"/>
  <c r="AD41" i="5"/>
  <c r="AF41" i="5" s="1"/>
  <c r="BH41" i="5"/>
  <c r="AB41" i="8"/>
  <c r="S41" i="8"/>
  <c r="T41" i="8" s="1"/>
  <c r="J41" i="8"/>
  <c r="T41" i="5"/>
  <c r="V41" i="5" s="1"/>
  <c r="Y41" i="5" s="1"/>
  <c r="AK41" i="8"/>
  <c r="J41" i="5"/>
  <c r="L41" i="5" s="1"/>
  <c r="A41" i="8"/>
  <c r="B41" i="8" s="1"/>
  <c r="BR37" i="5"/>
  <c r="AX37" i="5"/>
  <c r="AN37" i="5"/>
  <c r="AD37" i="5"/>
  <c r="AF37" i="5" s="1"/>
  <c r="BH37" i="5"/>
  <c r="AB37" i="8"/>
  <c r="S37" i="8"/>
  <c r="T37" i="8" s="1"/>
  <c r="J37" i="8"/>
  <c r="T37" i="5"/>
  <c r="V37" i="5" s="1"/>
  <c r="Y37" i="5" s="1"/>
  <c r="AK37" i="8"/>
  <c r="J37" i="5"/>
  <c r="L37" i="5" s="1"/>
  <c r="A37" i="8"/>
  <c r="B37" i="8" s="1"/>
  <c r="BR33" i="5"/>
  <c r="BH33" i="5"/>
  <c r="AN33" i="5"/>
  <c r="AD33" i="5"/>
  <c r="AF33" i="5" s="1"/>
  <c r="AX33" i="5"/>
  <c r="J33" i="5"/>
  <c r="L33" i="5" s="1"/>
  <c r="AB33" i="8"/>
  <c r="S33" i="8"/>
  <c r="T33" i="8" s="1"/>
  <c r="J33" i="8"/>
  <c r="T33" i="5"/>
  <c r="V33" i="5" s="1"/>
  <c r="Y33" i="5" s="1"/>
  <c r="AK33" i="8"/>
  <c r="A33" i="8"/>
  <c r="BR29" i="5"/>
  <c r="BH29" i="5"/>
  <c r="AN29" i="5"/>
  <c r="AD29" i="5"/>
  <c r="AF29" i="5" s="1"/>
  <c r="AX29" i="5"/>
  <c r="T29" i="5"/>
  <c r="V29" i="5" s="1"/>
  <c r="Y29" i="5" s="1"/>
  <c r="AK29" i="8"/>
  <c r="AB29" i="8"/>
  <c r="S29" i="8"/>
  <c r="T29" i="8" s="1"/>
  <c r="J29" i="8"/>
  <c r="J29" i="5"/>
  <c r="L29" i="5" s="1"/>
  <c r="A29" i="8"/>
  <c r="B29" i="8" s="1"/>
  <c r="BR25" i="5"/>
  <c r="AX25" i="5"/>
  <c r="AN25" i="5"/>
  <c r="AD25" i="5"/>
  <c r="AF25" i="5" s="1"/>
  <c r="BH25" i="5"/>
  <c r="AB25" i="8"/>
  <c r="S25" i="8"/>
  <c r="T25" i="8" s="1"/>
  <c r="J25" i="8"/>
  <c r="T25" i="5"/>
  <c r="V25" i="5" s="1"/>
  <c r="Y25" i="5" s="1"/>
  <c r="AK25" i="8"/>
  <c r="J25" i="5"/>
  <c r="L25" i="5" s="1"/>
  <c r="A25" i="8"/>
  <c r="B25" i="8" s="1"/>
  <c r="BR21" i="5"/>
  <c r="AX21" i="5"/>
  <c r="AN21" i="5"/>
  <c r="AD21" i="5"/>
  <c r="AF21" i="5" s="1"/>
  <c r="BH21" i="5"/>
  <c r="AB21" i="8"/>
  <c r="S21" i="8"/>
  <c r="T21" i="8" s="1"/>
  <c r="J21" i="8"/>
  <c r="T21" i="5"/>
  <c r="V21" i="5" s="1"/>
  <c r="Y21" i="5" s="1"/>
  <c r="AK21" i="8"/>
  <c r="J21" i="5"/>
  <c r="L21" i="5" s="1"/>
  <c r="A21" i="8"/>
  <c r="BR17" i="5"/>
  <c r="BH17" i="5"/>
  <c r="AN17" i="5"/>
  <c r="AD17" i="5"/>
  <c r="AF17" i="5" s="1"/>
  <c r="AX17" i="5"/>
  <c r="AZ17" i="5" s="1"/>
  <c r="BC17" i="5" s="1"/>
  <c r="J17" i="5"/>
  <c r="L17" i="5" s="1"/>
  <c r="AB17" i="8"/>
  <c r="S17" i="8"/>
  <c r="T17" i="8" s="1"/>
  <c r="J17" i="8"/>
  <c r="T17" i="5"/>
  <c r="V17" i="5" s="1"/>
  <c r="Y17" i="5" s="1"/>
  <c r="AK17" i="8"/>
  <c r="A17" i="8"/>
  <c r="BR13" i="5"/>
  <c r="BH13" i="5"/>
  <c r="AN13" i="5"/>
  <c r="AD13" i="5"/>
  <c r="AF13" i="5" s="1"/>
  <c r="AX13" i="5"/>
  <c r="AZ13" i="5" s="1"/>
  <c r="BC13" i="5" s="1"/>
  <c r="T13" i="5"/>
  <c r="V13" i="5" s="1"/>
  <c r="Y13" i="5" s="1"/>
  <c r="AK13" i="8"/>
  <c r="AB13" i="8"/>
  <c r="S13" i="8"/>
  <c r="T13" i="8" s="1"/>
  <c r="J13" i="8"/>
  <c r="J13" i="5"/>
  <c r="L13" i="5" s="1"/>
  <c r="A13" i="8"/>
  <c r="BR9" i="5"/>
  <c r="AX9" i="5"/>
  <c r="AZ9" i="5" s="1"/>
  <c r="BC9" i="5" s="1"/>
  <c r="AN9" i="5"/>
  <c r="AD9" i="5"/>
  <c r="AF9" i="5" s="1"/>
  <c r="BH9" i="5"/>
  <c r="AB9" i="8"/>
  <c r="S9" i="8"/>
  <c r="T9" i="8" s="1"/>
  <c r="J9" i="8"/>
  <c r="T9" i="5"/>
  <c r="V9" i="5" s="1"/>
  <c r="Y9" i="5" s="1"/>
  <c r="AK9" i="8"/>
  <c r="J9" i="5"/>
  <c r="L9" i="5" s="1"/>
  <c r="A9" i="8"/>
  <c r="BR5" i="5"/>
  <c r="AX5" i="5"/>
  <c r="AZ5" i="5" s="1"/>
  <c r="BC5" i="5" s="1"/>
  <c r="AN5" i="5"/>
  <c r="AD5" i="5"/>
  <c r="AF5" i="5" s="1"/>
  <c r="BH5" i="5"/>
  <c r="AB5" i="8"/>
  <c r="S5" i="8"/>
  <c r="T5" i="8" s="1"/>
  <c r="J5" i="8"/>
  <c r="T5" i="5"/>
  <c r="V5" i="5" s="1"/>
  <c r="Y5" i="5" s="1"/>
  <c r="AK5" i="8"/>
  <c r="J5" i="5"/>
  <c r="L5" i="5" s="1"/>
  <c r="A5" i="8"/>
  <c r="X183" i="5"/>
  <c r="X127" i="5"/>
  <c r="W127" i="5"/>
  <c r="Z127" i="5" s="1"/>
  <c r="X119" i="5"/>
  <c r="B62" i="5"/>
  <c r="C62" i="5" s="1"/>
  <c r="F62" i="5" s="1"/>
  <c r="W90" i="5"/>
  <c r="Z90" i="5" s="1"/>
  <c r="W195" i="5"/>
  <c r="Z195" i="5" s="1"/>
  <c r="W191" i="5"/>
  <c r="Z191" i="5" s="1"/>
  <c r="X191" i="5"/>
  <c r="X179" i="5"/>
  <c r="W179" i="5"/>
  <c r="Z179" i="5" s="1"/>
  <c r="X163" i="5"/>
  <c r="W163" i="5"/>
  <c r="Z163" i="5" s="1"/>
  <c r="W143" i="5"/>
  <c r="Z143" i="5" s="1"/>
  <c r="X143" i="5"/>
  <c r="W109" i="5"/>
  <c r="Z109" i="5" s="1"/>
  <c r="X3" i="5"/>
  <c r="W175" i="5"/>
  <c r="Z175" i="5" s="1"/>
  <c r="X175" i="5"/>
  <c r="W159" i="5"/>
  <c r="Z159" i="5" s="1"/>
  <c r="X159" i="5"/>
  <c r="X147" i="5"/>
  <c r="W147" i="5"/>
  <c r="Z147" i="5" s="1"/>
  <c r="X200" i="5"/>
  <c r="W200" i="5"/>
  <c r="Z200" i="5" s="1"/>
  <c r="X168" i="5"/>
  <c r="W168" i="5"/>
  <c r="Z168" i="5" s="1"/>
  <c r="W160" i="5"/>
  <c r="Z160" i="5" s="1"/>
  <c r="X160" i="5"/>
  <c r="X136" i="5"/>
  <c r="W136" i="5"/>
  <c r="Z136" i="5" s="1"/>
  <c r="X120" i="5"/>
  <c r="W120" i="5"/>
  <c r="Z120" i="5" s="1"/>
  <c r="W131" i="5"/>
  <c r="Z131" i="5" s="1"/>
  <c r="AA151" i="5"/>
  <c r="Y91" i="7"/>
  <c r="W27" i="7"/>
  <c r="W47" i="7"/>
  <c r="W175" i="7"/>
  <c r="W43" i="7"/>
  <c r="W19" i="7"/>
  <c r="W99" i="7"/>
  <c r="W55" i="7"/>
  <c r="W119" i="7"/>
  <c r="W183" i="7"/>
  <c r="W79" i="7"/>
  <c r="W35" i="7"/>
  <c r="W59" i="7"/>
  <c r="W123" i="7"/>
  <c r="W187" i="7"/>
  <c r="W179" i="7"/>
  <c r="W66" i="7"/>
  <c r="W98" i="7"/>
  <c r="W130" i="7"/>
  <c r="W162" i="7"/>
  <c r="W194" i="7"/>
  <c r="W23" i="7"/>
  <c r="W87" i="7"/>
  <c r="W21" i="7"/>
  <c r="W30" i="7"/>
  <c r="W62" i="7"/>
  <c r="W94" i="7"/>
  <c r="W126" i="7"/>
  <c r="W158" i="7"/>
  <c r="W190" i="7"/>
  <c r="W111" i="7"/>
  <c r="W11" i="7"/>
  <c r="W15" i="7"/>
  <c r="W131" i="7"/>
  <c r="W195" i="7"/>
  <c r="W50" i="7"/>
  <c r="W114" i="7"/>
  <c r="W146" i="7"/>
  <c r="W178" i="7"/>
  <c r="W143" i="7"/>
  <c r="W147" i="7"/>
  <c r="W155" i="7"/>
  <c r="W151" i="7"/>
  <c r="O87" i="7"/>
  <c r="A6" i="5"/>
  <c r="AC190" i="2"/>
  <c r="AC166" i="2"/>
  <c r="AD166" i="2" s="1"/>
  <c r="AC158" i="2"/>
  <c r="AD158" i="2" s="1"/>
  <c r="AC126" i="2"/>
  <c r="AD126" i="2" s="1"/>
  <c r="AC98" i="2"/>
  <c r="AC42" i="2"/>
  <c r="AD42" i="2" s="1"/>
  <c r="M132" i="2"/>
  <c r="N132" i="2" s="1"/>
  <c r="M199" i="2"/>
  <c r="N199" i="2" s="1"/>
  <c r="M195" i="2"/>
  <c r="N195" i="2" s="1"/>
  <c r="M191" i="2"/>
  <c r="N191" i="2" s="1"/>
  <c r="M187" i="2"/>
  <c r="N187" i="2" s="1"/>
  <c r="M183" i="2"/>
  <c r="N183" i="2" s="1"/>
  <c r="M179" i="2"/>
  <c r="N179" i="2" s="1"/>
  <c r="M175" i="2"/>
  <c r="N175" i="2" s="1"/>
  <c r="M171" i="2"/>
  <c r="N171" i="2" s="1"/>
  <c r="M167" i="2"/>
  <c r="N167" i="2" s="1"/>
  <c r="M163" i="2"/>
  <c r="N163" i="2" s="1"/>
  <c r="M159" i="2"/>
  <c r="N159" i="2" s="1"/>
  <c r="M155" i="2"/>
  <c r="N155" i="2" s="1"/>
  <c r="M151" i="2"/>
  <c r="N151" i="2" s="1"/>
  <c r="M147" i="2"/>
  <c r="N147" i="2" s="1"/>
  <c r="M143" i="2"/>
  <c r="N143" i="2" s="1"/>
  <c r="M139" i="2"/>
  <c r="N139" i="2" s="1"/>
  <c r="M135" i="2"/>
  <c r="N135" i="2" s="1"/>
  <c r="M131" i="2"/>
  <c r="N131" i="2" s="1"/>
  <c r="M127" i="2"/>
  <c r="N127" i="2" s="1"/>
  <c r="M123" i="2"/>
  <c r="N123" i="2" s="1"/>
  <c r="M119" i="2"/>
  <c r="N119" i="2" s="1"/>
  <c r="M115" i="2"/>
  <c r="N115" i="2" s="1"/>
  <c r="M111" i="2"/>
  <c r="N111" i="2" s="1"/>
  <c r="M107" i="2"/>
  <c r="N107" i="2" s="1"/>
  <c r="M103" i="2"/>
  <c r="N103" i="2" s="1"/>
  <c r="M99" i="2"/>
  <c r="N99" i="2" s="1"/>
  <c r="M95" i="2"/>
  <c r="N95" i="2" s="1"/>
  <c r="M91" i="2"/>
  <c r="N91" i="2" s="1"/>
  <c r="M87" i="2"/>
  <c r="N87" i="2" s="1"/>
  <c r="M83" i="2"/>
  <c r="N83" i="2" s="1"/>
  <c r="M79" i="2"/>
  <c r="N79" i="2" s="1"/>
  <c r="M75" i="2"/>
  <c r="N75" i="2" s="1"/>
  <c r="M71" i="2"/>
  <c r="N71" i="2" s="1"/>
  <c r="M67" i="2"/>
  <c r="N67" i="2" s="1"/>
  <c r="M63" i="2"/>
  <c r="N63" i="2" s="1"/>
  <c r="M59" i="2"/>
  <c r="N59" i="2" s="1"/>
  <c r="M55" i="2"/>
  <c r="N55" i="2" s="1"/>
  <c r="M51" i="2"/>
  <c r="N51" i="2" s="1"/>
  <c r="M47" i="2"/>
  <c r="N47" i="2" s="1"/>
  <c r="M43" i="2"/>
  <c r="N43" i="2" s="1"/>
  <c r="M39" i="2"/>
  <c r="N39" i="2" s="1"/>
  <c r="M35" i="2"/>
  <c r="N35" i="2" s="1"/>
  <c r="M31" i="2"/>
  <c r="N31" i="2" s="1"/>
  <c r="M27" i="2"/>
  <c r="N27" i="2" s="1"/>
  <c r="M23" i="2"/>
  <c r="N23" i="2" s="1"/>
  <c r="M19" i="2"/>
  <c r="N19" i="2" s="1"/>
  <c r="M15" i="2"/>
  <c r="N15" i="2" s="1"/>
  <c r="M11" i="2"/>
  <c r="N11" i="2" s="1"/>
  <c r="M7" i="2"/>
  <c r="N7" i="2" s="1"/>
  <c r="M196" i="2"/>
  <c r="N196" i="2" s="1"/>
  <c r="M176" i="2"/>
  <c r="N176" i="2" s="1"/>
  <c r="M144" i="2"/>
  <c r="N144" i="2" s="1"/>
  <c r="M112" i="2"/>
  <c r="N112" i="2" s="1"/>
  <c r="M100" i="2"/>
  <c r="N100" i="2" s="1"/>
  <c r="M68" i="2"/>
  <c r="N68" i="2" s="1"/>
  <c r="M48" i="2"/>
  <c r="N48" i="2" s="1"/>
  <c r="M16" i="2"/>
  <c r="N16" i="2" s="1"/>
  <c r="AC71" i="2"/>
  <c r="M201" i="2"/>
  <c r="N201" i="2" s="1"/>
  <c r="M197" i="2"/>
  <c r="N197" i="2" s="1"/>
  <c r="M193" i="2"/>
  <c r="N193" i="2" s="1"/>
  <c r="M189" i="2"/>
  <c r="N189" i="2" s="1"/>
  <c r="M185" i="2"/>
  <c r="N185" i="2" s="1"/>
  <c r="M181" i="2"/>
  <c r="N181" i="2" s="1"/>
  <c r="M177" i="2"/>
  <c r="N177" i="2" s="1"/>
  <c r="M173" i="2"/>
  <c r="N173" i="2" s="1"/>
  <c r="M169" i="2"/>
  <c r="N169" i="2" s="1"/>
  <c r="M165" i="2"/>
  <c r="N165" i="2" s="1"/>
  <c r="M161" i="2"/>
  <c r="N161" i="2" s="1"/>
  <c r="M157" i="2"/>
  <c r="N157" i="2" s="1"/>
  <c r="M153" i="2"/>
  <c r="N153" i="2" s="1"/>
  <c r="M149" i="2"/>
  <c r="N149" i="2" s="1"/>
  <c r="M145" i="2"/>
  <c r="N145" i="2" s="1"/>
  <c r="M141" i="2"/>
  <c r="N141" i="2" s="1"/>
  <c r="M137" i="2"/>
  <c r="N137" i="2" s="1"/>
  <c r="M133" i="2"/>
  <c r="N133" i="2" s="1"/>
  <c r="M129" i="2"/>
  <c r="N129" i="2" s="1"/>
  <c r="M125" i="2"/>
  <c r="N125" i="2" s="1"/>
  <c r="M121" i="2"/>
  <c r="N121" i="2" s="1"/>
  <c r="M117" i="2"/>
  <c r="N117" i="2" s="1"/>
  <c r="M113" i="2"/>
  <c r="N113" i="2" s="1"/>
  <c r="M109" i="2"/>
  <c r="N109" i="2" s="1"/>
  <c r="M105" i="2"/>
  <c r="N105" i="2" s="1"/>
  <c r="M101" i="2"/>
  <c r="N101" i="2" s="1"/>
  <c r="M97" i="2"/>
  <c r="N97" i="2" s="1"/>
  <c r="M93" i="2"/>
  <c r="N93" i="2" s="1"/>
  <c r="M89" i="2"/>
  <c r="N89" i="2" s="1"/>
  <c r="M85" i="2"/>
  <c r="N85" i="2" s="1"/>
  <c r="M81" i="2"/>
  <c r="N81" i="2" s="1"/>
  <c r="M77" i="2"/>
  <c r="N77" i="2" s="1"/>
  <c r="M73" i="2"/>
  <c r="N73" i="2" s="1"/>
  <c r="M69" i="2"/>
  <c r="N69" i="2" s="1"/>
  <c r="M65" i="2"/>
  <c r="N65" i="2" s="1"/>
  <c r="M61" i="2"/>
  <c r="N61" i="2" s="1"/>
  <c r="M57" i="2"/>
  <c r="N57" i="2" s="1"/>
  <c r="M53" i="2"/>
  <c r="N53" i="2" s="1"/>
  <c r="M49" i="2"/>
  <c r="N49" i="2" s="1"/>
  <c r="M45" i="2"/>
  <c r="N45" i="2" s="1"/>
  <c r="M41" i="2"/>
  <c r="N41" i="2" s="1"/>
  <c r="M37" i="2"/>
  <c r="N37" i="2" s="1"/>
  <c r="AC198" i="2"/>
  <c r="AD198" i="2" s="1"/>
  <c r="AC134" i="2"/>
  <c r="AC114" i="2"/>
  <c r="AC82" i="2"/>
  <c r="AC66" i="2"/>
  <c r="AC18" i="2"/>
  <c r="AD18" i="2" s="1"/>
  <c r="AC10" i="2"/>
  <c r="A124" i="5"/>
  <c r="M202" i="2"/>
  <c r="N202" i="2" s="1"/>
  <c r="M198" i="2"/>
  <c r="N198" i="2" s="1"/>
  <c r="M194" i="2"/>
  <c r="N194" i="2" s="1"/>
  <c r="M190" i="2"/>
  <c r="N190" i="2" s="1"/>
  <c r="M186" i="2"/>
  <c r="N186" i="2" s="1"/>
  <c r="M182" i="2"/>
  <c r="N182" i="2" s="1"/>
  <c r="M178" i="2"/>
  <c r="N178" i="2" s="1"/>
  <c r="M174" i="2"/>
  <c r="N174" i="2" s="1"/>
  <c r="M170" i="2"/>
  <c r="N170" i="2" s="1"/>
  <c r="M166" i="2"/>
  <c r="N166" i="2" s="1"/>
  <c r="M162" i="2"/>
  <c r="N162" i="2" s="1"/>
  <c r="M158" i="2"/>
  <c r="N158" i="2" s="1"/>
  <c r="M154" i="2"/>
  <c r="N154" i="2" s="1"/>
  <c r="M150" i="2"/>
  <c r="N150" i="2" s="1"/>
  <c r="M146" i="2"/>
  <c r="N146" i="2" s="1"/>
  <c r="M142" i="2"/>
  <c r="N142" i="2" s="1"/>
  <c r="M138" i="2"/>
  <c r="N138" i="2" s="1"/>
  <c r="M134" i="2"/>
  <c r="N134" i="2" s="1"/>
  <c r="M130" i="2"/>
  <c r="N130" i="2" s="1"/>
  <c r="M126" i="2"/>
  <c r="N126" i="2" s="1"/>
  <c r="M122" i="2"/>
  <c r="N122" i="2" s="1"/>
  <c r="M118" i="2"/>
  <c r="N118" i="2" s="1"/>
  <c r="M114" i="2"/>
  <c r="N114" i="2" s="1"/>
  <c r="M110" i="2"/>
  <c r="N110" i="2" s="1"/>
  <c r="M106" i="2"/>
  <c r="N106" i="2" s="1"/>
  <c r="M102" i="2"/>
  <c r="N102" i="2" s="1"/>
  <c r="M98" i="2"/>
  <c r="N98" i="2" s="1"/>
  <c r="M94" i="2"/>
  <c r="N94" i="2" s="1"/>
  <c r="M90" i="2"/>
  <c r="N90" i="2" s="1"/>
  <c r="M86" i="2"/>
  <c r="N86" i="2" s="1"/>
  <c r="M82" i="2"/>
  <c r="N82" i="2" s="1"/>
  <c r="AC201" i="2"/>
  <c r="AD201" i="2" s="1"/>
  <c r="AC197" i="2"/>
  <c r="AD197" i="2" s="1"/>
  <c r="AC193" i="2"/>
  <c r="AC189" i="2"/>
  <c r="AC185" i="2"/>
  <c r="AD185" i="2" s="1"/>
  <c r="AC181" i="2"/>
  <c r="AD181" i="2" s="1"/>
  <c r="AC177" i="2"/>
  <c r="AD177" i="2" s="1"/>
  <c r="AC173" i="2"/>
  <c r="AC169" i="2"/>
  <c r="AD169" i="2" s="1"/>
  <c r="AC165" i="2"/>
  <c r="M33" i="2"/>
  <c r="N33" i="2" s="1"/>
  <c r="M29" i="2"/>
  <c r="N29" i="2" s="1"/>
  <c r="M25" i="2"/>
  <c r="N25" i="2" s="1"/>
  <c r="M21" i="2"/>
  <c r="N21" i="2" s="1"/>
  <c r="M17" i="2"/>
  <c r="N17" i="2" s="1"/>
  <c r="M184" i="2"/>
  <c r="N184" i="2" s="1"/>
  <c r="M172" i="2"/>
  <c r="N172" i="2" s="1"/>
  <c r="M164" i="2"/>
  <c r="N164" i="2" s="1"/>
  <c r="M152" i="2"/>
  <c r="N152" i="2" s="1"/>
  <c r="M140" i="2"/>
  <c r="N140" i="2" s="1"/>
  <c r="M120" i="2"/>
  <c r="N120" i="2" s="1"/>
  <c r="M108" i="2"/>
  <c r="N108" i="2" s="1"/>
  <c r="M88" i="2"/>
  <c r="N88" i="2" s="1"/>
  <c r="M80" i="2"/>
  <c r="N80" i="2" s="1"/>
  <c r="M76" i="2"/>
  <c r="N76" i="2" s="1"/>
  <c r="M56" i="2"/>
  <c r="N56" i="2" s="1"/>
  <c r="M44" i="2"/>
  <c r="N44" i="2" s="1"/>
  <c r="M36" i="2"/>
  <c r="N36" i="2" s="1"/>
  <c r="M24" i="2"/>
  <c r="N24" i="2" s="1"/>
  <c r="M12" i="2"/>
  <c r="N12" i="2" s="1"/>
  <c r="U202" i="2"/>
  <c r="V202" i="2" s="1"/>
  <c r="U198" i="2"/>
  <c r="V198" i="2" s="1"/>
  <c r="U194" i="2"/>
  <c r="U190" i="2"/>
  <c r="U186" i="2"/>
  <c r="U182" i="2"/>
  <c r="U178" i="2"/>
  <c r="U174" i="2"/>
  <c r="U170" i="2"/>
  <c r="U166" i="2"/>
  <c r="U162" i="2"/>
  <c r="U158" i="2"/>
  <c r="V158" i="2" s="1"/>
  <c r="U154" i="2"/>
  <c r="V154" i="2" s="1"/>
  <c r="U150" i="2"/>
  <c r="U146" i="2"/>
  <c r="U142" i="2"/>
  <c r="U138" i="2"/>
  <c r="U134" i="2"/>
  <c r="U130" i="2"/>
  <c r="V130" i="2" s="1"/>
  <c r="U126" i="2"/>
  <c r="V126" i="2" s="1"/>
  <c r="U122" i="2"/>
  <c r="U118" i="2"/>
  <c r="U114" i="2"/>
  <c r="U110" i="2"/>
  <c r="U106" i="2"/>
  <c r="V106" i="2" s="1"/>
  <c r="U102" i="2"/>
  <c r="U98" i="2"/>
  <c r="U94" i="2"/>
  <c r="V94" i="2" s="1"/>
  <c r="U90" i="2"/>
  <c r="U86" i="2"/>
  <c r="U82" i="2"/>
  <c r="V82" i="2" s="1"/>
  <c r="U78" i="2"/>
  <c r="U74" i="2"/>
  <c r="U70" i="2"/>
  <c r="U66" i="2"/>
  <c r="U62" i="2"/>
  <c r="V62" i="2" s="1"/>
  <c r="U58" i="2"/>
  <c r="V58" i="2" s="1"/>
  <c r="U54" i="2"/>
  <c r="U50" i="2"/>
  <c r="U46" i="2"/>
  <c r="U42" i="2"/>
  <c r="U38" i="2"/>
  <c r="U34" i="2"/>
  <c r="U30" i="2"/>
  <c r="V30" i="2" s="1"/>
  <c r="U26" i="2"/>
  <c r="U22" i="2"/>
  <c r="U18" i="2"/>
  <c r="U14" i="2"/>
  <c r="U10" i="2"/>
  <c r="U6" i="2"/>
  <c r="AC200" i="2"/>
  <c r="AC196" i="2"/>
  <c r="AD196" i="2" s="1"/>
  <c r="AC123" i="2"/>
  <c r="AD123" i="2" s="1"/>
  <c r="AC11" i="2"/>
  <c r="A98" i="5"/>
  <c r="L3" i="7"/>
  <c r="M3" i="7" s="1"/>
  <c r="L147" i="7"/>
  <c r="M147" i="7" s="1"/>
  <c r="L191" i="7"/>
  <c r="M191" i="7" s="1"/>
  <c r="L139" i="7"/>
  <c r="M139" i="7" s="1"/>
  <c r="BK3" i="5"/>
  <c r="L175" i="7"/>
  <c r="M175" i="7" s="1"/>
  <c r="U180" i="7"/>
  <c r="V180" i="7" s="1"/>
  <c r="L167" i="7"/>
  <c r="M167" i="7" s="1"/>
  <c r="U97" i="7"/>
  <c r="V97" i="7" s="1"/>
  <c r="AC187" i="2"/>
  <c r="AC167" i="2"/>
  <c r="AD167" i="2" s="1"/>
  <c r="AC147" i="2"/>
  <c r="AD147" i="2" s="1"/>
  <c r="AC143" i="2"/>
  <c r="AC95" i="2"/>
  <c r="AC39" i="2"/>
  <c r="M5" i="2"/>
  <c r="N5" i="2" s="1"/>
  <c r="U197" i="2"/>
  <c r="U189" i="2"/>
  <c r="V189" i="2" s="1"/>
  <c r="U181" i="2"/>
  <c r="U173" i="2"/>
  <c r="U165" i="2"/>
  <c r="U157" i="2"/>
  <c r="U149" i="2"/>
  <c r="V149" i="2" s="1"/>
  <c r="U141" i="2"/>
  <c r="U133" i="2"/>
  <c r="U125" i="2"/>
  <c r="U117" i="2"/>
  <c r="V117" i="2" s="1"/>
  <c r="U109" i="2"/>
  <c r="U101" i="2"/>
  <c r="U93" i="2"/>
  <c r="U85" i="2"/>
  <c r="V85" i="2" s="1"/>
  <c r="U77" i="2"/>
  <c r="U69" i="2"/>
  <c r="U61" i="2"/>
  <c r="U53" i="2"/>
  <c r="U45" i="2"/>
  <c r="U37" i="2"/>
  <c r="U29" i="2"/>
  <c r="U21" i="2"/>
  <c r="V21" i="2" s="1"/>
  <c r="U13" i="2"/>
  <c r="U5" i="2"/>
  <c r="AC199" i="2"/>
  <c r="AC195" i="2"/>
  <c r="AD195" i="2" s="1"/>
  <c r="AC191" i="2"/>
  <c r="AC183" i="2"/>
  <c r="AC179" i="2"/>
  <c r="AC175" i="2"/>
  <c r="AD175" i="2" s="1"/>
  <c r="AC171" i="2"/>
  <c r="AC163" i="2"/>
  <c r="AC159" i="2"/>
  <c r="AC155" i="2"/>
  <c r="AD155" i="2" s="1"/>
  <c r="AC151" i="2"/>
  <c r="AD151" i="2" s="1"/>
  <c r="AC139" i="2"/>
  <c r="AC135" i="2"/>
  <c r="AD135" i="2" s="1"/>
  <c r="AC131" i="2"/>
  <c r="AD131" i="2" s="1"/>
  <c r="AC127" i="2"/>
  <c r="AC119" i="2"/>
  <c r="AC115" i="2"/>
  <c r="AC111" i="2"/>
  <c r="AD111" i="2" s="1"/>
  <c r="AC107" i="2"/>
  <c r="AC103" i="2"/>
  <c r="AC99" i="2"/>
  <c r="AD99" i="2" s="1"/>
  <c r="AC91" i="2"/>
  <c r="AD91" i="2" s="1"/>
  <c r="AC87" i="2"/>
  <c r="AD87" i="2" s="1"/>
  <c r="AC83" i="2"/>
  <c r="AC79" i="2"/>
  <c r="AD79" i="2" s="1"/>
  <c r="AC75" i="2"/>
  <c r="AD75" i="2" s="1"/>
  <c r="AC67" i="2"/>
  <c r="AC63" i="2"/>
  <c r="AC59" i="2"/>
  <c r="AD59" i="2" s="1"/>
  <c r="AC55" i="2"/>
  <c r="AD55" i="2" s="1"/>
  <c r="AC51" i="2"/>
  <c r="AD51" i="2" s="1"/>
  <c r="AC47" i="2"/>
  <c r="AC43" i="2"/>
  <c r="AC35" i="2"/>
  <c r="AD35" i="2" s="1"/>
  <c r="AC31" i="2"/>
  <c r="AC27" i="2"/>
  <c r="AC23" i="2"/>
  <c r="AD23" i="2" s="1"/>
  <c r="AC19" i="2"/>
  <c r="AD19" i="2" s="1"/>
  <c r="AC15" i="2"/>
  <c r="AC7" i="2"/>
  <c r="U116" i="7"/>
  <c r="V116" i="7" s="1"/>
  <c r="M9" i="2"/>
  <c r="N9" i="2" s="1"/>
  <c r="M3" i="2"/>
  <c r="N3" i="2" s="1"/>
  <c r="AC3" i="2"/>
  <c r="M200" i="2"/>
  <c r="N200" i="2" s="1"/>
  <c r="M192" i="2"/>
  <c r="N192" i="2" s="1"/>
  <c r="M188" i="2"/>
  <c r="N188" i="2" s="1"/>
  <c r="M180" i="2"/>
  <c r="N180" i="2" s="1"/>
  <c r="M168" i="2"/>
  <c r="N168" i="2" s="1"/>
  <c r="M160" i="2"/>
  <c r="N160" i="2" s="1"/>
  <c r="M156" i="2"/>
  <c r="N156" i="2" s="1"/>
  <c r="M148" i="2"/>
  <c r="N148" i="2" s="1"/>
  <c r="M136" i="2"/>
  <c r="N136" i="2" s="1"/>
  <c r="M128" i="2"/>
  <c r="N128" i="2" s="1"/>
  <c r="M124" i="2"/>
  <c r="N124" i="2" s="1"/>
  <c r="M116" i="2"/>
  <c r="N116" i="2" s="1"/>
  <c r="M104" i="2"/>
  <c r="N104" i="2" s="1"/>
  <c r="M96" i="2"/>
  <c r="N96" i="2" s="1"/>
  <c r="M92" i="2"/>
  <c r="N92" i="2" s="1"/>
  <c r="M84" i="2"/>
  <c r="N84" i="2" s="1"/>
  <c r="M72" i="2"/>
  <c r="N72" i="2" s="1"/>
  <c r="M64" i="2"/>
  <c r="N64" i="2" s="1"/>
  <c r="M60" i="2"/>
  <c r="N60" i="2" s="1"/>
  <c r="M52" i="2"/>
  <c r="N52" i="2" s="1"/>
  <c r="M40" i="2"/>
  <c r="N40" i="2" s="1"/>
  <c r="M32" i="2"/>
  <c r="N32" i="2" s="1"/>
  <c r="M28" i="2"/>
  <c r="N28" i="2" s="1"/>
  <c r="M20" i="2"/>
  <c r="N20" i="2" s="1"/>
  <c r="M8" i="2"/>
  <c r="N8" i="2" s="1"/>
  <c r="AC182" i="2"/>
  <c r="AD182" i="2" s="1"/>
  <c r="AC174" i="2"/>
  <c r="AC150" i="2"/>
  <c r="AC142" i="2"/>
  <c r="AD142" i="2" s="1"/>
  <c r="AC106" i="2"/>
  <c r="AD106" i="2" s="1"/>
  <c r="AC74" i="2"/>
  <c r="AC50" i="2"/>
  <c r="AC34" i="2"/>
  <c r="AD34" i="2" s="1"/>
  <c r="A146" i="5"/>
  <c r="A70" i="5"/>
  <c r="L187" i="7"/>
  <c r="M187" i="7" s="1"/>
  <c r="L163" i="7"/>
  <c r="M163" i="7" s="1"/>
  <c r="L127" i="7"/>
  <c r="M127" i="7" s="1"/>
  <c r="U75" i="7"/>
  <c r="M13" i="2"/>
  <c r="N13" i="2" s="1"/>
  <c r="AC161" i="2"/>
  <c r="AD161" i="2" s="1"/>
  <c r="AC157" i="2"/>
  <c r="AC153" i="2"/>
  <c r="AC149" i="2"/>
  <c r="AC145" i="2"/>
  <c r="AD145" i="2" s="1"/>
  <c r="AC141" i="2"/>
  <c r="AC137" i="2"/>
  <c r="AD137" i="2" s="1"/>
  <c r="AC133" i="2"/>
  <c r="AD133" i="2" s="1"/>
  <c r="AC129" i="2"/>
  <c r="AD129" i="2" s="1"/>
  <c r="AC125" i="2"/>
  <c r="AC121" i="2"/>
  <c r="AC117" i="2"/>
  <c r="AD117" i="2" s="1"/>
  <c r="AC113" i="2"/>
  <c r="AD113" i="2" s="1"/>
  <c r="AC109" i="2"/>
  <c r="AC105" i="2"/>
  <c r="AC101" i="2"/>
  <c r="AC97" i="2"/>
  <c r="AD97" i="2" s="1"/>
  <c r="AC93" i="2"/>
  <c r="AC89" i="2"/>
  <c r="AC85" i="2"/>
  <c r="AC81" i="2"/>
  <c r="AD81" i="2" s="1"/>
  <c r="AC77" i="2"/>
  <c r="AC73" i="2"/>
  <c r="AC69" i="2"/>
  <c r="AD69" i="2" s="1"/>
  <c r="AC65" i="2"/>
  <c r="AD65" i="2" s="1"/>
  <c r="AC61" i="2"/>
  <c r="AC57" i="2"/>
  <c r="AC53" i="2"/>
  <c r="AD53" i="2" s="1"/>
  <c r="AC49" i="2"/>
  <c r="AD49" i="2" s="1"/>
  <c r="AC45" i="2"/>
  <c r="AC41" i="2"/>
  <c r="AC37" i="2"/>
  <c r="AC33" i="2"/>
  <c r="AD33" i="2" s="1"/>
  <c r="AC29" i="2"/>
  <c r="AC25" i="2"/>
  <c r="AD25" i="2" s="1"/>
  <c r="AC21" i="2"/>
  <c r="AC17" i="2"/>
  <c r="AD17" i="2" s="1"/>
  <c r="AC13" i="2"/>
  <c r="AC9" i="2"/>
  <c r="AD9" i="2" s="1"/>
  <c r="AC5" i="2"/>
  <c r="A136" i="5"/>
  <c r="A34" i="5"/>
  <c r="L176" i="7"/>
  <c r="M176" i="7" s="1"/>
  <c r="L151" i="7"/>
  <c r="M151" i="7" s="1"/>
  <c r="L123" i="7"/>
  <c r="M123" i="7" s="1"/>
  <c r="A161" i="5"/>
  <c r="U161" i="7"/>
  <c r="V161" i="7" s="1"/>
  <c r="U185" i="2"/>
  <c r="U177" i="2"/>
  <c r="U145" i="2"/>
  <c r="U137" i="2"/>
  <c r="U113" i="2"/>
  <c r="U97" i="2"/>
  <c r="U73" i="2"/>
  <c r="V73" i="2" s="1"/>
  <c r="U65" i="2"/>
  <c r="U49" i="2"/>
  <c r="U9" i="2"/>
  <c r="A93" i="5"/>
  <c r="A81" i="5"/>
  <c r="A61" i="5"/>
  <c r="A33" i="5"/>
  <c r="A29" i="5"/>
  <c r="A17" i="5"/>
  <c r="U153" i="7"/>
  <c r="V153" i="7" s="1"/>
  <c r="U201" i="2"/>
  <c r="U193" i="2"/>
  <c r="U169" i="2"/>
  <c r="U161" i="2"/>
  <c r="U153" i="2"/>
  <c r="U129" i="2"/>
  <c r="U121" i="2"/>
  <c r="V121" i="2" s="1"/>
  <c r="U105" i="2"/>
  <c r="U89" i="2"/>
  <c r="U81" i="2"/>
  <c r="U57" i="2"/>
  <c r="U41" i="2"/>
  <c r="U33" i="2"/>
  <c r="U25" i="2"/>
  <c r="U17" i="2"/>
  <c r="V17" i="2" s="1"/>
  <c r="M4" i="2"/>
  <c r="N4" i="2" s="1"/>
  <c r="A97" i="5"/>
  <c r="A49" i="5"/>
  <c r="L77" i="7"/>
  <c r="M77" i="7" s="1"/>
  <c r="L13" i="7"/>
  <c r="M13" i="7" s="1"/>
  <c r="U193" i="7"/>
  <c r="V193" i="7" s="1"/>
  <c r="U185" i="7"/>
  <c r="V185" i="7" s="1"/>
  <c r="U177" i="7"/>
  <c r="V177" i="7" s="1"/>
  <c r="U145" i="7"/>
  <c r="V145" i="7" s="1"/>
  <c r="U3" i="2"/>
  <c r="V3" i="2" s="1"/>
  <c r="M78" i="2"/>
  <c r="N78" i="2" s="1"/>
  <c r="M74" i="2"/>
  <c r="N74" i="2" s="1"/>
  <c r="M70" i="2"/>
  <c r="N70" i="2" s="1"/>
  <c r="M66" i="2"/>
  <c r="N66" i="2" s="1"/>
  <c r="M62" i="2"/>
  <c r="N62" i="2" s="1"/>
  <c r="M58" i="2"/>
  <c r="N58" i="2" s="1"/>
  <c r="M54" i="2"/>
  <c r="N54" i="2" s="1"/>
  <c r="M50" i="2"/>
  <c r="N50" i="2" s="1"/>
  <c r="M46" i="2"/>
  <c r="N46" i="2" s="1"/>
  <c r="M42" i="2"/>
  <c r="N42" i="2" s="1"/>
  <c r="M38" i="2"/>
  <c r="N38" i="2" s="1"/>
  <c r="M34" i="2"/>
  <c r="N34" i="2" s="1"/>
  <c r="M30" i="2"/>
  <c r="N30" i="2" s="1"/>
  <c r="M26" i="2"/>
  <c r="N26" i="2" s="1"/>
  <c r="M22" i="2"/>
  <c r="N22" i="2" s="1"/>
  <c r="M18" i="2"/>
  <c r="N18" i="2" s="1"/>
  <c r="M14" i="2"/>
  <c r="N14" i="2" s="1"/>
  <c r="M10" i="2"/>
  <c r="N10" i="2" s="1"/>
  <c r="M6" i="2"/>
  <c r="N6" i="2" s="1"/>
  <c r="U200" i="2"/>
  <c r="U196" i="2"/>
  <c r="U192" i="2"/>
  <c r="U188" i="2"/>
  <c r="U184" i="2"/>
  <c r="V184" i="2" s="1"/>
  <c r="U180" i="2"/>
  <c r="U176" i="2"/>
  <c r="U172" i="2"/>
  <c r="U168" i="2"/>
  <c r="U164" i="2"/>
  <c r="U160" i="2"/>
  <c r="V160" i="2" s="1"/>
  <c r="U156" i="2"/>
  <c r="U152" i="2"/>
  <c r="V152" i="2" s="1"/>
  <c r="U148" i="2"/>
  <c r="U144" i="2"/>
  <c r="U140" i="2"/>
  <c r="U136" i="2"/>
  <c r="U132" i="2"/>
  <c r="U128" i="2"/>
  <c r="U124" i="2"/>
  <c r="U120" i="2"/>
  <c r="V120" i="2" s="1"/>
  <c r="U116" i="2"/>
  <c r="U112" i="2"/>
  <c r="U108" i="2"/>
  <c r="U104" i="2"/>
  <c r="V104" i="2" s="1"/>
  <c r="U100" i="2"/>
  <c r="U96" i="2"/>
  <c r="U92" i="2"/>
  <c r="U88" i="2"/>
  <c r="V88" i="2" s="1"/>
  <c r="U84" i="2"/>
  <c r="U80" i="2"/>
  <c r="U76" i="2"/>
  <c r="U72" i="2"/>
  <c r="V72" i="2" s="1"/>
  <c r="U68" i="2"/>
  <c r="U64" i="2"/>
  <c r="U60" i="2"/>
  <c r="U56" i="2"/>
  <c r="V56" i="2" s="1"/>
  <c r="U52" i="2"/>
  <c r="U48" i="2"/>
  <c r="U44" i="2"/>
  <c r="V44" i="2" s="1"/>
  <c r="U40" i="2"/>
  <c r="V40" i="2" s="1"/>
  <c r="U36" i="2"/>
  <c r="U32" i="2"/>
  <c r="U28" i="2"/>
  <c r="V28" i="2" s="1"/>
  <c r="U24" i="2"/>
  <c r="V24" i="2" s="1"/>
  <c r="U20" i="2"/>
  <c r="U16" i="2"/>
  <c r="U12" i="2"/>
  <c r="U8" i="2"/>
  <c r="V8" i="2" s="1"/>
  <c r="U4" i="2"/>
  <c r="AC202" i="2"/>
  <c r="AC194" i="2"/>
  <c r="AC186" i="2"/>
  <c r="AD186" i="2" s="1"/>
  <c r="AC178" i="2"/>
  <c r="AD178" i="2" s="1"/>
  <c r="AC170" i="2"/>
  <c r="AC162" i="2"/>
  <c r="AC154" i="2"/>
  <c r="AC146" i="2"/>
  <c r="AC138" i="2"/>
  <c r="AC130" i="2"/>
  <c r="AC122" i="2"/>
  <c r="AD122" i="2" s="1"/>
  <c r="AC118" i="2"/>
  <c r="AC110" i="2"/>
  <c r="AC102" i="2"/>
  <c r="AC94" i="2"/>
  <c r="AC90" i="2"/>
  <c r="AC86" i="2"/>
  <c r="AC78" i="2"/>
  <c r="AC70" i="2"/>
  <c r="AD70" i="2" s="1"/>
  <c r="AC62" i="2"/>
  <c r="AC58" i="2"/>
  <c r="AC54" i="2"/>
  <c r="AC46" i="2"/>
  <c r="AD46" i="2" s="1"/>
  <c r="AC38" i="2"/>
  <c r="AD38" i="2" s="1"/>
  <c r="AC30" i="2"/>
  <c r="AC26" i="2"/>
  <c r="AC22" i="2"/>
  <c r="AD22" i="2" s="1"/>
  <c r="AC14" i="2"/>
  <c r="AC6" i="2"/>
  <c r="A3" i="5"/>
  <c r="A194" i="5"/>
  <c r="A66" i="5"/>
  <c r="A198" i="5"/>
  <c r="A190" i="5"/>
  <c r="A178" i="5"/>
  <c r="A166" i="5"/>
  <c r="A162" i="5"/>
  <c r="A158" i="5"/>
  <c r="A150" i="5"/>
  <c r="A142" i="5"/>
  <c r="A134" i="5"/>
  <c r="A130" i="5"/>
  <c r="A126" i="5"/>
  <c r="A118" i="5"/>
  <c r="A114" i="5"/>
  <c r="A110" i="5"/>
  <c r="A94" i="5"/>
  <c r="A86" i="5"/>
  <c r="A82" i="5"/>
  <c r="A78" i="5"/>
  <c r="A54" i="5"/>
  <c r="A50" i="5"/>
  <c r="A46" i="5"/>
  <c r="A30" i="5"/>
  <c r="A22" i="5"/>
  <c r="A18" i="5"/>
  <c r="A14" i="5"/>
  <c r="A10" i="5"/>
  <c r="L182" i="7"/>
  <c r="M182" i="7" s="1"/>
  <c r="L178" i="7"/>
  <c r="M178" i="7" s="1"/>
  <c r="L118" i="7"/>
  <c r="M118" i="7" s="1"/>
  <c r="L114" i="7"/>
  <c r="M114" i="7" s="1"/>
  <c r="L98" i="7"/>
  <c r="M98" i="7" s="1"/>
  <c r="L82" i="7"/>
  <c r="M82" i="7" s="1"/>
  <c r="L66" i="7"/>
  <c r="M66" i="7" s="1"/>
  <c r="L54" i="7"/>
  <c r="M54" i="7" s="1"/>
  <c r="L50" i="7"/>
  <c r="M50" i="7" s="1"/>
  <c r="L34" i="7"/>
  <c r="M34" i="7" s="1"/>
  <c r="L18" i="7"/>
  <c r="M18" i="7" s="1"/>
  <c r="U202" i="7"/>
  <c r="V202" i="7" s="1"/>
  <c r="U198" i="7"/>
  <c r="V198" i="7" s="1"/>
  <c r="U182" i="7"/>
  <c r="V182" i="7" s="1"/>
  <c r="U166" i="7"/>
  <c r="V166" i="7" s="1"/>
  <c r="U154" i="7"/>
  <c r="V154" i="7" s="1"/>
  <c r="U150" i="7"/>
  <c r="V150" i="7" s="1"/>
  <c r="U138" i="7"/>
  <c r="V138" i="7" s="1"/>
  <c r="U134" i="7"/>
  <c r="V134" i="7" s="1"/>
  <c r="U122" i="7"/>
  <c r="V122" i="7" s="1"/>
  <c r="U118" i="7"/>
  <c r="V118" i="7" s="1"/>
  <c r="U106" i="7"/>
  <c r="V106" i="7" s="1"/>
  <c r="U102" i="7"/>
  <c r="V102" i="7" s="1"/>
  <c r="U90" i="7"/>
  <c r="V90" i="7" s="1"/>
  <c r="U86" i="7"/>
  <c r="V86" i="7" s="1"/>
  <c r="U74" i="7"/>
  <c r="V74" i="7" s="1"/>
  <c r="U70" i="7"/>
  <c r="V70" i="7" s="1"/>
  <c r="U58" i="7"/>
  <c r="V58" i="7" s="1"/>
  <c r="U54" i="7"/>
  <c r="V54" i="7" s="1"/>
  <c r="U42" i="7"/>
  <c r="V42" i="7" s="1"/>
  <c r="U38" i="7"/>
  <c r="V38" i="7" s="1"/>
  <c r="U26" i="7"/>
  <c r="V26" i="7" s="1"/>
  <c r="U22" i="7"/>
  <c r="V22" i="7" s="1"/>
  <c r="U10" i="7"/>
  <c r="V10" i="7" s="1"/>
  <c r="U6" i="7"/>
  <c r="V6" i="7" s="1"/>
  <c r="A182" i="5"/>
  <c r="A102" i="5"/>
  <c r="A38" i="5"/>
  <c r="U129" i="7"/>
  <c r="V129" i="7" s="1"/>
  <c r="U113" i="7"/>
  <c r="V113" i="7" s="1"/>
  <c r="U81" i="7"/>
  <c r="V81" i="7" s="1"/>
  <c r="U65" i="7"/>
  <c r="V65" i="7" s="1"/>
  <c r="U49" i="7"/>
  <c r="V49" i="7" s="1"/>
  <c r="U17" i="7"/>
  <c r="V17" i="7" s="1"/>
  <c r="U121" i="7"/>
  <c r="V121" i="7" s="1"/>
  <c r="AC192" i="2"/>
  <c r="AD192" i="2" s="1"/>
  <c r="AC188" i="2"/>
  <c r="AD188" i="2" s="1"/>
  <c r="AC184" i="2"/>
  <c r="AC180" i="2"/>
  <c r="AC176" i="2"/>
  <c r="AC172" i="2"/>
  <c r="AC168" i="2"/>
  <c r="AC164" i="2"/>
  <c r="AC160" i="2"/>
  <c r="AC156" i="2"/>
  <c r="AD156" i="2" s="1"/>
  <c r="AC152" i="2"/>
  <c r="AC148" i="2"/>
  <c r="AC144" i="2"/>
  <c r="AC140" i="2"/>
  <c r="AD140" i="2" s="1"/>
  <c r="AC136" i="2"/>
  <c r="AC132" i="2"/>
  <c r="AC128" i="2"/>
  <c r="AC124" i="2"/>
  <c r="AC120" i="2"/>
  <c r="AD120" i="2" s="1"/>
  <c r="AC116" i="2"/>
  <c r="AC112" i="2"/>
  <c r="AC108" i="2"/>
  <c r="AD108" i="2" s="1"/>
  <c r="AC104" i="2"/>
  <c r="AC100" i="2"/>
  <c r="AC96" i="2"/>
  <c r="AC92" i="2"/>
  <c r="AD92" i="2" s="1"/>
  <c r="AC88" i="2"/>
  <c r="AD88" i="2" s="1"/>
  <c r="AC84" i="2"/>
  <c r="AC80" i="2"/>
  <c r="AC76" i="2"/>
  <c r="AD76" i="2" s="1"/>
  <c r="AC72" i="2"/>
  <c r="AD72" i="2" s="1"/>
  <c r="AC68" i="2"/>
  <c r="AD68" i="2" s="1"/>
  <c r="AC64" i="2"/>
  <c r="AC60" i="2"/>
  <c r="AD60" i="2" s="1"/>
  <c r="AC56" i="2"/>
  <c r="AD56" i="2" s="1"/>
  <c r="AC52" i="2"/>
  <c r="AC48" i="2"/>
  <c r="AC44" i="2"/>
  <c r="AD44" i="2" s="1"/>
  <c r="AC40" i="2"/>
  <c r="AC36" i="2"/>
  <c r="AC32" i="2"/>
  <c r="AC28" i="2"/>
  <c r="AD28" i="2" s="1"/>
  <c r="AC24" i="2"/>
  <c r="AC20" i="2"/>
  <c r="AC16" i="2"/>
  <c r="AC12" i="2"/>
  <c r="AD12" i="2" s="1"/>
  <c r="AC8" i="2"/>
  <c r="AD8" i="2" s="1"/>
  <c r="AC4" i="2"/>
  <c r="L200" i="7"/>
  <c r="M200" i="7" s="1"/>
  <c r="L136" i="7"/>
  <c r="M136" i="7" s="1"/>
  <c r="A156" i="5"/>
  <c r="L183" i="7"/>
  <c r="M183" i="7" s="1"/>
  <c r="L159" i="7"/>
  <c r="M159" i="7" s="1"/>
  <c r="L144" i="7"/>
  <c r="M144" i="7" s="1"/>
  <c r="L135" i="7"/>
  <c r="M135" i="7" s="1"/>
  <c r="L119" i="7"/>
  <c r="M119" i="7" s="1"/>
  <c r="A168" i="5"/>
  <c r="A104" i="5"/>
  <c r="A92" i="5"/>
  <c r="A72" i="5"/>
  <c r="A60" i="5"/>
  <c r="A40" i="5"/>
  <c r="A28" i="5"/>
  <c r="A8" i="5"/>
  <c r="L195" i="7"/>
  <c r="M195" i="7" s="1"/>
  <c r="L179" i="7"/>
  <c r="M179" i="7" s="1"/>
  <c r="L168" i="7"/>
  <c r="M168" i="7" s="1"/>
  <c r="L155" i="7"/>
  <c r="M155" i="7" s="1"/>
  <c r="L143" i="7"/>
  <c r="M143" i="7" s="1"/>
  <c r="L131" i="7"/>
  <c r="M131" i="7" s="1"/>
  <c r="U148" i="7"/>
  <c r="V148" i="7" s="1"/>
  <c r="E199" i="2"/>
  <c r="F199" i="2" s="1"/>
  <c r="E195" i="2"/>
  <c r="F195" i="2" s="1"/>
  <c r="E191" i="2"/>
  <c r="F191" i="2" s="1"/>
  <c r="E187" i="2"/>
  <c r="F187" i="2" s="1"/>
  <c r="E183" i="2"/>
  <c r="F183" i="2" s="1"/>
  <c r="E179" i="2"/>
  <c r="F179" i="2" s="1"/>
  <c r="E171" i="2"/>
  <c r="F171" i="2" s="1"/>
  <c r="E167" i="2"/>
  <c r="F167" i="2" s="1"/>
  <c r="E159" i="2"/>
  <c r="F159" i="2" s="1"/>
  <c r="E155" i="2"/>
  <c r="F155" i="2" s="1"/>
  <c r="E151" i="2"/>
  <c r="F151" i="2" s="1"/>
  <c r="E143" i="2"/>
  <c r="F143" i="2" s="1"/>
  <c r="E139" i="2"/>
  <c r="F139" i="2" s="1"/>
  <c r="E135" i="2"/>
  <c r="F135" i="2" s="1"/>
  <c r="E127" i="2"/>
  <c r="F127" i="2" s="1"/>
  <c r="E123" i="2"/>
  <c r="F123" i="2" s="1"/>
  <c r="E119" i="2"/>
  <c r="F119" i="2" s="1"/>
  <c r="E111" i="2"/>
  <c r="F111" i="2" s="1"/>
  <c r="E107" i="2"/>
  <c r="F107" i="2" s="1"/>
  <c r="E103" i="2"/>
  <c r="F103" i="2" s="1"/>
  <c r="E95" i="2"/>
  <c r="F95" i="2" s="1"/>
  <c r="E91" i="2"/>
  <c r="F91" i="2" s="1"/>
  <c r="E87" i="2"/>
  <c r="F87" i="2" s="1"/>
  <c r="E79" i="2"/>
  <c r="F79" i="2" s="1"/>
  <c r="E75" i="2"/>
  <c r="F75" i="2" s="1"/>
  <c r="E71" i="2"/>
  <c r="F71" i="2" s="1"/>
  <c r="E63" i="2"/>
  <c r="F63" i="2" s="1"/>
  <c r="E59" i="2"/>
  <c r="F59" i="2" s="1"/>
  <c r="E55" i="2"/>
  <c r="F55" i="2" s="1"/>
  <c r="E47" i="2"/>
  <c r="F47" i="2" s="1"/>
  <c r="E43" i="2"/>
  <c r="F43" i="2" s="1"/>
  <c r="E39" i="2"/>
  <c r="F39" i="2" s="1"/>
  <c r="E31" i="2"/>
  <c r="F31" i="2" s="1"/>
  <c r="E27" i="2"/>
  <c r="F27" i="2" s="1"/>
  <c r="E23" i="2"/>
  <c r="F23" i="2" s="1"/>
  <c r="E15" i="2"/>
  <c r="F15" i="2" s="1"/>
  <c r="E11" i="2"/>
  <c r="F11" i="2" s="1"/>
  <c r="E7" i="2"/>
  <c r="F7" i="2" s="1"/>
  <c r="U199" i="2"/>
  <c r="U195" i="2"/>
  <c r="U191" i="2"/>
  <c r="U187" i="2"/>
  <c r="U183" i="2"/>
  <c r="U179" i="2"/>
  <c r="U175" i="2"/>
  <c r="U171" i="2"/>
  <c r="U167" i="2"/>
  <c r="U163" i="2"/>
  <c r="U159" i="2"/>
  <c r="U155" i="2"/>
  <c r="U151" i="2"/>
  <c r="U147" i="2"/>
  <c r="U143" i="2"/>
  <c r="U139" i="2"/>
  <c r="U135" i="2"/>
  <c r="U131" i="2"/>
  <c r="U127" i="2"/>
  <c r="U123" i="2"/>
  <c r="U119" i="2"/>
  <c r="U115" i="2"/>
  <c r="U111" i="2"/>
  <c r="U107" i="2"/>
  <c r="U103" i="2"/>
  <c r="U99" i="2"/>
  <c r="U95" i="2"/>
  <c r="U91" i="2"/>
  <c r="U87" i="2"/>
  <c r="U83" i="2"/>
  <c r="U79" i="2"/>
  <c r="U75" i="2"/>
  <c r="U71" i="2"/>
  <c r="U67" i="2"/>
  <c r="U63" i="2"/>
  <c r="U59" i="2"/>
  <c r="U55" i="2"/>
  <c r="U51" i="2"/>
  <c r="U47" i="2"/>
  <c r="U43" i="2"/>
  <c r="U39" i="2"/>
  <c r="U35" i="2"/>
  <c r="U31" i="2"/>
  <c r="U27" i="2"/>
  <c r="U23" i="2"/>
  <c r="U19" i="2"/>
  <c r="U15" i="2"/>
  <c r="U11" i="2"/>
  <c r="U7" i="2"/>
  <c r="A201" i="5"/>
  <c r="A197" i="5"/>
  <c r="A185" i="5"/>
  <c r="A181" i="5"/>
  <c r="A173" i="5"/>
  <c r="A169" i="5"/>
  <c r="A165" i="5"/>
  <c r="A153" i="5"/>
  <c r="A149" i="5"/>
  <c r="A141" i="5"/>
  <c r="A137" i="5"/>
  <c r="A133" i="5"/>
  <c r="A121" i="5"/>
  <c r="A117" i="5"/>
  <c r="A109" i="5"/>
  <c r="A105" i="5"/>
  <c r="A101" i="5"/>
  <c r="A89" i="5"/>
  <c r="A85" i="5"/>
  <c r="A77" i="5"/>
  <c r="A73" i="5"/>
  <c r="A69" i="5"/>
  <c r="A57" i="5"/>
  <c r="A53" i="5"/>
  <c r="A45" i="5"/>
  <c r="A41" i="5"/>
  <c r="A37" i="5"/>
  <c r="A25" i="5"/>
  <c r="A21" i="5"/>
  <c r="A13" i="5"/>
  <c r="A9" i="5"/>
  <c r="A5" i="5"/>
  <c r="L201" i="7"/>
  <c r="M201" i="7" s="1"/>
  <c r="L197" i="7"/>
  <c r="M197" i="7" s="1"/>
  <c r="L193" i="7"/>
  <c r="M193" i="7" s="1"/>
  <c r="L189" i="7"/>
  <c r="M189" i="7" s="1"/>
  <c r="L185" i="7"/>
  <c r="M185" i="7" s="1"/>
  <c r="L181" i="7"/>
  <c r="M181" i="7" s="1"/>
  <c r="L177" i="7"/>
  <c r="M177" i="7" s="1"/>
  <c r="L173" i="7"/>
  <c r="M173" i="7" s="1"/>
  <c r="L169" i="7"/>
  <c r="M169" i="7" s="1"/>
  <c r="L165" i="7"/>
  <c r="M165" i="7" s="1"/>
  <c r="L161" i="7"/>
  <c r="M161" i="7" s="1"/>
  <c r="L157" i="7"/>
  <c r="M157" i="7" s="1"/>
  <c r="L153" i="7"/>
  <c r="M153" i="7" s="1"/>
  <c r="L149" i="7"/>
  <c r="M149" i="7" s="1"/>
  <c r="L145" i="7"/>
  <c r="M145" i="7" s="1"/>
  <c r="L141" i="7"/>
  <c r="M141" i="7" s="1"/>
  <c r="L137" i="7"/>
  <c r="M137" i="7" s="1"/>
  <c r="L133" i="7"/>
  <c r="M133" i="7" s="1"/>
  <c r="L129" i="7"/>
  <c r="M129" i="7" s="1"/>
  <c r="L125" i="7"/>
  <c r="M125" i="7" s="1"/>
  <c r="L121" i="7"/>
  <c r="M121" i="7" s="1"/>
  <c r="L117" i="7"/>
  <c r="M117" i="7" s="1"/>
  <c r="L113" i="7"/>
  <c r="M113" i="7" s="1"/>
  <c r="L105" i="7"/>
  <c r="M105" i="7" s="1"/>
  <c r="L101" i="7"/>
  <c r="M101" i="7" s="1"/>
  <c r="L97" i="7"/>
  <c r="M97" i="7" s="1"/>
  <c r="L93" i="7"/>
  <c r="M93" i="7" s="1"/>
  <c r="L89" i="7"/>
  <c r="M89" i="7" s="1"/>
  <c r="L85" i="7"/>
  <c r="M85" i="7" s="1"/>
  <c r="L81" i="7"/>
  <c r="M81" i="7" s="1"/>
  <c r="L73" i="7"/>
  <c r="M73" i="7" s="1"/>
  <c r="L69" i="7"/>
  <c r="M69" i="7" s="1"/>
  <c r="L65" i="7"/>
  <c r="M65" i="7" s="1"/>
  <c r="L61" i="7"/>
  <c r="M61" i="7" s="1"/>
  <c r="L57" i="7"/>
  <c r="M57" i="7" s="1"/>
  <c r="L53" i="7"/>
  <c r="M53" i="7" s="1"/>
  <c r="L49" i="7"/>
  <c r="M49" i="7" s="1"/>
  <c r="L41" i="7"/>
  <c r="M41" i="7" s="1"/>
  <c r="L37" i="7"/>
  <c r="M37" i="7" s="1"/>
  <c r="L33" i="7"/>
  <c r="M33" i="7" s="1"/>
  <c r="L29" i="7"/>
  <c r="M29" i="7" s="1"/>
  <c r="L25" i="7"/>
  <c r="M25" i="7" s="1"/>
  <c r="L21" i="7"/>
  <c r="M21" i="7" s="1"/>
  <c r="L17" i="7"/>
  <c r="M17" i="7" s="1"/>
  <c r="L9" i="7"/>
  <c r="M9" i="7" s="1"/>
  <c r="L5" i="7"/>
  <c r="M5" i="7" s="1"/>
  <c r="L109" i="7"/>
  <c r="M109" i="7" s="1"/>
  <c r="A196" i="5"/>
  <c r="A192" i="5"/>
  <c r="A184" i="5"/>
  <c r="A180" i="5"/>
  <c r="A189" i="5"/>
  <c r="A157" i="5"/>
  <c r="A145" i="5"/>
  <c r="A125" i="5"/>
  <c r="A200" i="5"/>
  <c r="A188" i="5"/>
  <c r="L45" i="7"/>
  <c r="M45" i="7" s="1"/>
  <c r="A176" i="5"/>
  <c r="A164" i="5"/>
  <c r="A160" i="5"/>
  <c r="A148" i="5"/>
  <c r="A144" i="5"/>
  <c r="A132" i="5"/>
  <c r="A128" i="5"/>
  <c r="A116" i="5"/>
  <c r="A112" i="5"/>
  <c r="A100" i="5"/>
  <c r="A96" i="5"/>
  <c r="A84" i="5"/>
  <c r="A80" i="5"/>
  <c r="A68" i="5"/>
  <c r="A64" i="5"/>
  <c r="A52" i="5"/>
  <c r="A48" i="5"/>
  <c r="A36" i="5"/>
  <c r="A32" i="5"/>
  <c r="A20" i="5"/>
  <c r="A16" i="5"/>
  <c r="A4" i="5"/>
  <c r="L196" i="7"/>
  <c r="M196" i="7" s="1"/>
  <c r="L188" i="7"/>
  <c r="M188" i="7" s="1"/>
  <c r="L180" i="7"/>
  <c r="M180" i="7" s="1"/>
  <c r="L172" i="7"/>
  <c r="M172" i="7" s="1"/>
  <c r="L164" i="7"/>
  <c r="M164" i="7" s="1"/>
  <c r="L156" i="7"/>
  <c r="M156" i="7" s="1"/>
  <c r="L148" i="7"/>
  <c r="M148" i="7" s="1"/>
  <c r="L140" i="7"/>
  <c r="M140" i="7" s="1"/>
  <c r="L132" i="7"/>
  <c r="M132" i="7" s="1"/>
  <c r="L124" i="7"/>
  <c r="M124" i="7" s="1"/>
  <c r="L116" i="7"/>
  <c r="M116" i="7" s="1"/>
  <c r="L112" i="7"/>
  <c r="M112" i="7" s="1"/>
  <c r="L108" i="7"/>
  <c r="M108" i="7" s="1"/>
  <c r="L104" i="7"/>
  <c r="M104" i="7" s="1"/>
  <c r="L100" i="7"/>
  <c r="M100" i="7" s="1"/>
  <c r="L96" i="7"/>
  <c r="M96" i="7" s="1"/>
  <c r="L92" i="7"/>
  <c r="M92" i="7" s="1"/>
  <c r="L88" i="7"/>
  <c r="M88" i="7" s="1"/>
  <c r="L84" i="7"/>
  <c r="M84" i="7" s="1"/>
  <c r="L80" i="7"/>
  <c r="M80" i="7" s="1"/>
  <c r="L76" i="7"/>
  <c r="M76" i="7" s="1"/>
  <c r="L72" i="7"/>
  <c r="M72" i="7" s="1"/>
  <c r="L68" i="7"/>
  <c r="M68" i="7" s="1"/>
  <c r="L64" i="7"/>
  <c r="M64" i="7" s="1"/>
  <c r="L60" i="7"/>
  <c r="M60" i="7" s="1"/>
  <c r="L56" i="7"/>
  <c r="M56" i="7" s="1"/>
  <c r="L52" i="7"/>
  <c r="M52" i="7" s="1"/>
  <c r="L48" i="7"/>
  <c r="M48" i="7" s="1"/>
  <c r="L44" i="7"/>
  <c r="M44" i="7" s="1"/>
  <c r="L40" i="7"/>
  <c r="M40" i="7" s="1"/>
  <c r="L36" i="7"/>
  <c r="M36" i="7" s="1"/>
  <c r="L32" i="7"/>
  <c r="M32" i="7" s="1"/>
  <c r="L28" i="7"/>
  <c r="M28" i="7" s="1"/>
  <c r="L24" i="7"/>
  <c r="M24" i="7" s="1"/>
  <c r="L20" i="7"/>
  <c r="M20" i="7" s="1"/>
  <c r="L16" i="7"/>
  <c r="M16" i="7" s="1"/>
  <c r="L12" i="7"/>
  <c r="M12" i="7" s="1"/>
  <c r="L8" i="7"/>
  <c r="M8" i="7" s="1"/>
  <c r="L4" i="7"/>
  <c r="M4" i="7" s="1"/>
  <c r="U200" i="7"/>
  <c r="V200" i="7" s="1"/>
  <c r="U192" i="7"/>
  <c r="V192" i="7" s="1"/>
  <c r="U188" i="7"/>
  <c r="V188" i="7" s="1"/>
  <c r="U184" i="7"/>
  <c r="V184" i="7" s="1"/>
  <c r="U176" i="7"/>
  <c r="V176" i="7" s="1"/>
  <c r="U172" i="7"/>
  <c r="V172" i="7" s="1"/>
  <c r="U168" i="7"/>
  <c r="V168" i="7" s="1"/>
  <c r="U160" i="7"/>
  <c r="V160" i="7" s="1"/>
  <c r="U156" i="7"/>
  <c r="V156" i="7" s="1"/>
  <c r="U152" i="7"/>
  <c r="V152" i="7" s="1"/>
  <c r="U144" i="7"/>
  <c r="V144" i="7" s="1"/>
  <c r="U140" i="7"/>
  <c r="V140" i="7" s="1"/>
  <c r="U136" i="7"/>
  <c r="V136" i="7" s="1"/>
  <c r="U128" i="7"/>
  <c r="V128" i="7" s="1"/>
  <c r="U124" i="7"/>
  <c r="V124" i="7" s="1"/>
  <c r="U120" i="7"/>
  <c r="V120" i="7" s="1"/>
  <c r="U112" i="7"/>
  <c r="V112" i="7" s="1"/>
  <c r="U108" i="7"/>
  <c r="V108" i="7" s="1"/>
  <c r="U104" i="7"/>
  <c r="V104" i="7" s="1"/>
  <c r="U96" i="7"/>
  <c r="V96" i="7" s="1"/>
  <c r="U92" i="7"/>
  <c r="V92" i="7" s="1"/>
  <c r="U88" i="7"/>
  <c r="V88" i="7" s="1"/>
  <c r="U84" i="7"/>
  <c r="V84" i="7" s="1"/>
  <c r="U80" i="7"/>
  <c r="V80" i="7" s="1"/>
  <c r="U76" i="7"/>
  <c r="V76" i="7" s="1"/>
  <c r="U72" i="7"/>
  <c r="V72" i="7" s="1"/>
  <c r="U68" i="7"/>
  <c r="V68" i="7" s="1"/>
  <c r="U64" i="7"/>
  <c r="V64" i="7" s="1"/>
  <c r="U60" i="7"/>
  <c r="V60" i="7" s="1"/>
  <c r="U56" i="7"/>
  <c r="V56" i="7" s="1"/>
  <c r="U52" i="7"/>
  <c r="V52" i="7" s="1"/>
  <c r="U48" i="7"/>
  <c r="V48" i="7" s="1"/>
  <c r="U44" i="7"/>
  <c r="V44" i="7" s="1"/>
  <c r="U40" i="7"/>
  <c r="V40" i="7" s="1"/>
  <c r="U36" i="7"/>
  <c r="V36" i="7" s="1"/>
  <c r="U32" i="7"/>
  <c r="V32" i="7" s="1"/>
  <c r="U28" i="7"/>
  <c r="V28" i="7" s="1"/>
  <c r="U24" i="7"/>
  <c r="V24" i="7" s="1"/>
  <c r="U20" i="7"/>
  <c r="V20" i="7" s="1"/>
  <c r="U16" i="7"/>
  <c r="V16" i="7" s="1"/>
  <c r="U12" i="7"/>
  <c r="V12" i="7" s="1"/>
  <c r="U8" i="7"/>
  <c r="V8" i="7" s="1"/>
  <c r="U4" i="7"/>
  <c r="V4" i="7" s="1"/>
  <c r="A172" i="5"/>
  <c r="A140" i="5"/>
  <c r="A108" i="5"/>
  <c r="A76" i="5"/>
  <c r="A44" i="5"/>
  <c r="A12" i="5"/>
  <c r="L192" i="7"/>
  <c r="M192" i="7" s="1"/>
  <c r="L160" i="7"/>
  <c r="M160" i="7" s="1"/>
  <c r="L128" i="7"/>
  <c r="M128" i="7" s="1"/>
  <c r="U196" i="7"/>
  <c r="V196" i="7" s="1"/>
  <c r="U164" i="7"/>
  <c r="V164" i="7" s="1"/>
  <c r="U132" i="7"/>
  <c r="V132" i="7" s="1"/>
  <c r="U100" i="7"/>
  <c r="V100" i="7" s="1"/>
  <c r="U37" i="7"/>
  <c r="V37" i="7" s="1"/>
  <c r="U189" i="7"/>
  <c r="V189" i="7" s="1"/>
  <c r="U173" i="7"/>
  <c r="V173" i="7" s="1"/>
  <c r="U157" i="7"/>
  <c r="V157" i="7" s="1"/>
  <c r="U141" i="7"/>
  <c r="V141" i="7" s="1"/>
  <c r="U125" i="7"/>
  <c r="V125" i="7" s="1"/>
  <c r="U109" i="7"/>
  <c r="V109" i="7" s="1"/>
  <c r="U93" i="7"/>
  <c r="V93" i="7" s="1"/>
  <c r="U89" i="7"/>
  <c r="V89" i="7" s="1"/>
  <c r="U77" i="7"/>
  <c r="V77" i="7" s="1"/>
  <c r="U73" i="7"/>
  <c r="V73" i="7" s="1"/>
  <c r="U61" i="7"/>
  <c r="V61" i="7" s="1"/>
  <c r="U57" i="7"/>
  <c r="V57" i="7" s="1"/>
  <c r="U45" i="7"/>
  <c r="V45" i="7" s="1"/>
  <c r="U41" i="7"/>
  <c r="V41" i="7" s="1"/>
  <c r="U29" i="7"/>
  <c r="V29" i="7" s="1"/>
  <c r="U25" i="7"/>
  <c r="V25" i="7" s="1"/>
  <c r="U13" i="7"/>
  <c r="V13" i="7" s="1"/>
  <c r="U9" i="7"/>
  <c r="V9" i="7" s="1"/>
  <c r="U1" i="7"/>
  <c r="A152" i="5"/>
  <c r="A120" i="5"/>
  <c r="A88" i="5"/>
  <c r="A56" i="5"/>
  <c r="A24" i="5"/>
  <c r="L184" i="7"/>
  <c r="M184" i="7" s="1"/>
  <c r="L152" i="7"/>
  <c r="M152" i="7" s="1"/>
  <c r="L120" i="7"/>
  <c r="M120" i="7" s="1"/>
  <c r="U201" i="7"/>
  <c r="V201" i="7" s="1"/>
  <c r="U169" i="7"/>
  <c r="V169" i="7" s="1"/>
  <c r="U137" i="7"/>
  <c r="V137" i="7" s="1"/>
  <c r="U105" i="7"/>
  <c r="V105" i="7" s="1"/>
  <c r="A202" i="5"/>
  <c r="A186" i="5"/>
  <c r="A170" i="5"/>
  <c r="A154" i="5"/>
  <c r="A138" i="5"/>
  <c r="A122" i="5"/>
  <c r="A106" i="5"/>
  <c r="A90" i="5"/>
  <c r="A74" i="5"/>
  <c r="A58" i="5"/>
  <c r="A42" i="5"/>
  <c r="A26" i="5"/>
  <c r="L106" i="7"/>
  <c r="M106" i="7" s="1"/>
  <c r="L90" i="7"/>
  <c r="M90" i="7" s="1"/>
  <c r="L74" i="7"/>
  <c r="M74" i="7" s="1"/>
  <c r="L58" i="7"/>
  <c r="M58" i="7" s="1"/>
  <c r="L42" i="7"/>
  <c r="M42" i="7" s="1"/>
  <c r="L26" i="7"/>
  <c r="M26" i="7" s="1"/>
  <c r="L10" i="7"/>
  <c r="M10" i="7" s="1"/>
  <c r="L202" i="7"/>
  <c r="M202" i="7" s="1"/>
  <c r="L198" i="7"/>
  <c r="M198" i="7" s="1"/>
  <c r="L194" i="7"/>
  <c r="M194" i="7" s="1"/>
  <c r="L190" i="7"/>
  <c r="M190" i="7" s="1"/>
  <c r="L186" i="7"/>
  <c r="M186" i="7" s="1"/>
  <c r="L174" i="7"/>
  <c r="M174" i="7" s="1"/>
  <c r="L170" i="7"/>
  <c r="M170" i="7" s="1"/>
  <c r="L166" i="7"/>
  <c r="M166" i="7" s="1"/>
  <c r="L162" i="7"/>
  <c r="M162" i="7" s="1"/>
  <c r="L158" i="7"/>
  <c r="M158" i="7" s="1"/>
  <c r="L154" i="7"/>
  <c r="M154" i="7" s="1"/>
  <c r="L142" i="7"/>
  <c r="M142" i="7" s="1"/>
  <c r="L138" i="7"/>
  <c r="M138" i="7" s="1"/>
  <c r="L134" i="7"/>
  <c r="M134" i="7" s="1"/>
  <c r="L130" i="7"/>
  <c r="M130" i="7" s="1"/>
  <c r="L126" i="7"/>
  <c r="M126" i="7" s="1"/>
  <c r="L122" i="7"/>
  <c r="M122" i="7" s="1"/>
  <c r="L110" i="7"/>
  <c r="M110" i="7" s="1"/>
  <c r="L102" i="7"/>
  <c r="M102" i="7" s="1"/>
  <c r="L94" i="7"/>
  <c r="M94" i="7" s="1"/>
  <c r="L78" i="7"/>
  <c r="M78" i="7" s="1"/>
  <c r="L70" i="7"/>
  <c r="M70" i="7" s="1"/>
  <c r="L62" i="7"/>
  <c r="M62" i="7" s="1"/>
  <c r="L46" i="7"/>
  <c r="M46" i="7" s="1"/>
  <c r="L38" i="7"/>
  <c r="M38" i="7" s="1"/>
  <c r="L30" i="7"/>
  <c r="M30" i="7" s="1"/>
  <c r="L14" i="7"/>
  <c r="M14" i="7" s="1"/>
  <c r="L6" i="7"/>
  <c r="M6" i="7" s="1"/>
  <c r="L1" i="7"/>
  <c r="L115" i="7"/>
  <c r="M115" i="7" s="1"/>
  <c r="L111" i="7"/>
  <c r="M111" i="7" s="1"/>
  <c r="L99" i="7"/>
  <c r="M99" i="7" s="1"/>
  <c r="L95" i="7"/>
  <c r="M95" i="7" s="1"/>
  <c r="L83" i="7"/>
  <c r="M83" i="7" s="1"/>
  <c r="L79" i="7"/>
  <c r="M79" i="7" s="1"/>
  <c r="L67" i="7"/>
  <c r="M67" i="7" s="1"/>
  <c r="L63" i="7"/>
  <c r="M63" i="7" s="1"/>
  <c r="L51" i="7"/>
  <c r="M51" i="7" s="1"/>
  <c r="L47" i="7"/>
  <c r="M47" i="7" s="1"/>
  <c r="L35" i="7"/>
  <c r="M35" i="7" s="1"/>
  <c r="L31" i="7"/>
  <c r="M31" i="7" s="1"/>
  <c r="L19" i="7"/>
  <c r="M19" i="7" s="1"/>
  <c r="L15" i="7"/>
  <c r="M15" i="7" s="1"/>
  <c r="A199" i="5"/>
  <c r="A195" i="5"/>
  <c r="A191" i="5"/>
  <c r="A187" i="5"/>
  <c r="A183" i="5"/>
  <c r="A179" i="5"/>
  <c r="A175" i="5"/>
  <c r="A171" i="5"/>
  <c r="A167" i="5"/>
  <c r="A163" i="5"/>
  <c r="A159" i="5"/>
  <c r="A155" i="5"/>
  <c r="A151" i="5"/>
  <c r="A147" i="5"/>
  <c r="A143" i="5"/>
  <c r="A139" i="5"/>
  <c r="A135" i="5"/>
  <c r="A131" i="5"/>
  <c r="A127" i="5"/>
  <c r="A123" i="5"/>
  <c r="A119" i="5"/>
  <c r="A115" i="5"/>
  <c r="A111" i="5"/>
  <c r="A107" i="5"/>
  <c r="A103" i="5"/>
  <c r="A99" i="5"/>
  <c r="A95" i="5"/>
  <c r="A91" i="5"/>
  <c r="A87" i="5"/>
  <c r="A83" i="5"/>
  <c r="A79" i="5"/>
  <c r="A75" i="5"/>
  <c r="A71" i="5"/>
  <c r="A67" i="5"/>
  <c r="A63" i="5"/>
  <c r="A59" i="5"/>
  <c r="A55" i="5"/>
  <c r="A51" i="5"/>
  <c r="A47" i="5"/>
  <c r="A43" i="5"/>
  <c r="A39" i="5"/>
  <c r="A35" i="5"/>
  <c r="A31" i="5"/>
  <c r="A27" i="5"/>
  <c r="A23" i="5"/>
  <c r="A19" i="5"/>
  <c r="A15" i="5"/>
  <c r="A11" i="5"/>
  <c r="BB149" i="5"/>
  <c r="BB160" i="5"/>
  <c r="BA196" i="5"/>
  <c r="BD196" i="5" s="1"/>
  <c r="BB120" i="5"/>
  <c r="BB101" i="5"/>
  <c r="BA128" i="5"/>
  <c r="BD128" i="5" s="1"/>
  <c r="BA136" i="5"/>
  <c r="BD136" i="5" s="1"/>
  <c r="BB148" i="5"/>
  <c r="BB99" i="5"/>
  <c r="BB117" i="5"/>
  <c r="BB107" i="5"/>
  <c r="BA148" i="5"/>
  <c r="BD148" i="5" s="1"/>
  <c r="BA50" i="5"/>
  <c r="BD50" i="5" s="1"/>
  <c r="BB91" i="5"/>
  <c r="BA134" i="5"/>
  <c r="BD134" i="5" s="1"/>
  <c r="BB42" i="5"/>
  <c r="BA54" i="5"/>
  <c r="BD54" i="5" s="1"/>
  <c r="BB96" i="5"/>
  <c r="BB118" i="5"/>
  <c r="BA124" i="5"/>
  <c r="BD124" i="5" s="1"/>
  <c r="BA172" i="5"/>
  <c r="BD172" i="5" s="1"/>
  <c r="BA114" i="5"/>
  <c r="BD114" i="5" s="1"/>
  <c r="BB38" i="5"/>
  <c r="BB130" i="5"/>
  <c r="BA176" i="5"/>
  <c r="BD176" i="5" s="1"/>
  <c r="BA49" i="5"/>
  <c r="BD49" i="5" s="1"/>
  <c r="BA56" i="5"/>
  <c r="BD56" i="5" s="1"/>
  <c r="BA64" i="5"/>
  <c r="BD64" i="5" s="1"/>
  <c r="BA76" i="5"/>
  <c r="BD76" i="5" s="1"/>
  <c r="BA84" i="5"/>
  <c r="BD84" i="5" s="1"/>
  <c r="BB87" i="5"/>
  <c r="BA23" i="5"/>
  <c r="BD23" i="5" s="1"/>
  <c r="BA4" i="5"/>
  <c r="BD4" i="5" s="1"/>
  <c r="BA8" i="5"/>
  <c r="BD8" i="5" s="1"/>
  <c r="BA12" i="5"/>
  <c r="BD12" i="5" s="1"/>
  <c r="BA20" i="5"/>
  <c r="BD20" i="5" s="1"/>
  <c r="BA24" i="5"/>
  <c r="BD24" i="5" s="1"/>
  <c r="BA32" i="5"/>
  <c r="BD32" i="5" s="1"/>
  <c r="BB73" i="5"/>
  <c r="BB81" i="5"/>
  <c r="BA7" i="5"/>
  <c r="BD7" i="5" s="1"/>
  <c r="BA52" i="5"/>
  <c r="BD52" i="5" s="1"/>
  <c r="BA60" i="5"/>
  <c r="BD60" i="5" s="1"/>
  <c r="BA11" i="5"/>
  <c r="BD11" i="5" s="1"/>
  <c r="BA17" i="5"/>
  <c r="BD17" i="5" s="1"/>
  <c r="BA65" i="5"/>
  <c r="BD65" i="5" s="1"/>
  <c r="BA85" i="5"/>
  <c r="BD85" i="5" s="1"/>
  <c r="BA59" i="5"/>
  <c r="BD59" i="5" s="1"/>
  <c r="BA152" i="5"/>
  <c r="BD152" i="5" s="1"/>
  <c r="BA91" i="5"/>
  <c r="BD91" i="5" s="1"/>
  <c r="BA97" i="5"/>
  <c r="BD97" i="5" s="1"/>
  <c r="BA111" i="5"/>
  <c r="BD111" i="5" s="1"/>
  <c r="BA116" i="5"/>
  <c r="BD116" i="5" s="1"/>
  <c r="BA127" i="5"/>
  <c r="BD127" i="5" s="1"/>
  <c r="BA131" i="5"/>
  <c r="BD131" i="5" s="1"/>
  <c r="BA135" i="5"/>
  <c r="BD135" i="5" s="1"/>
  <c r="BA121" i="5"/>
  <c r="BD121" i="5" s="1"/>
  <c r="BB121" i="5"/>
  <c r="BB125" i="5"/>
  <c r="BB127" i="5"/>
  <c r="BB131" i="5"/>
  <c r="BB135" i="5"/>
  <c r="BB143" i="5"/>
  <c r="BB145" i="5"/>
  <c r="BA103" i="5"/>
  <c r="BD103" i="5" s="1"/>
  <c r="BA106" i="5"/>
  <c r="BD106" i="5" s="1"/>
  <c r="BB115" i="5"/>
  <c r="BA159" i="5"/>
  <c r="BD159" i="5" s="1"/>
  <c r="BB169" i="5"/>
  <c r="BA169" i="5"/>
  <c r="BD169" i="5" s="1"/>
  <c r="BB179" i="5"/>
  <c r="BB184" i="5"/>
  <c r="BA184" i="5"/>
  <c r="BD184" i="5" s="1"/>
  <c r="BB192" i="5"/>
  <c r="BA192" i="5"/>
  <c r="BD192" i="5" s="1"/>
  <c r="BA99" i="5"/>
  <c r="BD99" i="5" s="1"/>
  <c r="BA115" i="5"/>
  <c r="BD115" i="5" s="1"/>
  <c r="BA149" i="5"/>
  <c r="BD149" i="5" s="1"/>
  <c r="BA167" i="5"/>
  <c r="BD167" i="5" s="1"/>
  <c r="BB172" i="5"/>
  <c r="BA175" i="5"/>
  <c r="BD175" i="5" s="1"/>
  <c r="BA143" i="5"/>
  <c r="BD143" i="5" s="1"/>
  <c r="BA164" i="5"/>
  <c r="BD164" i="5" s="1"/>
  <c r="BB183" i="5"/>
  <c r="BB191" i="5"/>
  <c r="BA163" i="5"/>
  <c r="BD163" i="5" s="1"/>
  <c r="BA168" i="5"/>
  <c r="BD168" i="5" s="1"/>
  <c r="BA179" i="5"/>
  <c r="BD179" i="5" s="1"/>
  <c r="BA183" i="5"/>
  <c r="BD183" i="5" s="1"/>
  <c r="BA191" i="5"/>
  <c r="BD191" i="5" s="1"/>
  <c r="BA195" i="5"/>
  <c r="BD195" i="5" s="1"/>
  <c r="BA199" i="5"/>
  <c r="BD199" i="5" s="1"/>
  <c r="BA198" i="5"/>
  <c r="BD198" i="5" s="1"/>
  <c r="BB200" i="5"/>
  <c r="BA200" i="5"/>
  <c r="BD200" i="5" s="1"/>
  <c r="E3" i="2"/>
  <c r="F3" i="2" s="1"/>
  <c r="X10" i="5" l="1"/>
  <c r="W26" i="5"/>
  <c r="Z26" i="5" s="1"/>
  <c r="X26" i="5"/>
  <c r="W187" i="5"/>
  <c r="Z187" i="5" s="1"/>
  <c r="X42" i="5"/>
  <c r="W42" i="5"/>
  <c r="Z42" i="5" s="1"/>
  <c r="X90" i="5"/>
  <c r="X74" i="5"/>
  <c r="BB45" i="5"/>
  <c r="BB53" i="5"/>
  <c r="BA15" i="5"/>
  <c r="BD15" i="5" s="1"/>
  <c r="BA93" i="5"/>
  <c r="BD93" i="5" s="1"/>
  <c r="W176" i="5"/>
  <c r="Z176" i="5" s="1"/>
  <c r="W123" i="5"/>
  <c r="Z123" i="5" s="1"/>
  <c r="X176" i="5"/>
  <c r="X123" i="5"/>
  <c r="X192" i="5"/>
  <c r="BB77" i="5"/>
  <c r="X155" i="5"/>
  <c r="W155" i="5"/>
  <c r="Z155" i="5" s="1"/>
  <c r="X128" i="5"/>
  <c r="BA45" i="5"/>
  <c r="BD45" i="5" s="1"/>
  <c r="W128" i="5"/>
  <c r="Z128" i="5" s="1"/>
  <c r="W139" i="5"/>
  <c r="Z139" i="5" s="1"/>
  <c r="X139" i="5"/>
  <c r="W144" i="5"/>
  <c r="Z144" i="5" s="1"/>
  <c r="X144" i="5"/>
  <c r="X187" i="5"/>
  <c r="BB49" i="5"/>
  <c r="X109" i="5"/>
  <c r="BA202" i="5"/>
  <c r="BD202" i="5" s="1"/>
  <c r="BA145" i="5"/>
  <c r="BD145" i="5" s="1"/>
  <c r="BA79" i="5"/>
  <c r="BD79" i="5" s="1"/>
  <c r="BB65" i="5"/>
  <c r="BA81" i="5"/>
  <c r="BD81" i="5" s="1"/>
  <c r="BB78" i="5"/>
  <c r="BA117" i="5"/>
  <c r="BA77" i="5"/>
  <c r="BD77" i="5" s="1"/>
  <c r="BA13" i="5"/>
  <c r="BD13" i="5" s="1"/>
  <c r="BB17" i="5"/>
  <c r="BB181" i="5"/>
  <c r="BA109" i="5"/>
  <c r="BD109" i="5" s="1"/>
  <c r="BA186" i="5"/>
  <c r="BD186" i="5" s="1"/>
  <c r="W10" i="5"/>
  <c r="Z10" i="5" s="1"/>
  <c r="BA86" i="5"/>
  <c r="BD86" i="5" s="1"/>
  <c r="BB70" i="5"/>
  <c r="BA43" i="5"/>
  <c r="BD43" i="5" s="1"/>
  <c r="AF169" i="7"/>
  <c r="AG169" i="7" s="1"/>
  <c r="AI169" i="7" s="1"/>
  <c r="AF128" i="7"/>
  <c r="AG128" i="7" s="1"/>
  <c r="AI128" i="7" s="1"/>
  <c r="AF118" i="7"/>
  <c r="AG118" i="7" s="1"/>
  <c r="AF150" i="7"/>
  <c r="AG150" i="7" s="1"/>
  <c r="AI150" i="7" s="1"/>
  <c r="AF8" i="7"/>
  <c r="AG8" i="7" s="1"/>
  <c r="AH8" i="7" s="1"/>
  <c r="AF24" i="7"/>
  <c r="AG24" i="7" s="1"/>
  <c r="AH24" i="7" s="1"/>
  <c r="AF40" i="7"/>
  <c r="AG40" i="7" s="1"/>
  <c r="AF56" i="7"/>
  <c r="AG56" i="7" s="1"/>
  <c r="AI56" i="7" s="1"/>
  <c r="AF88" i="7"/>
  <c r="AG88" i="7" s="1"/>
  <c r="AH88" i="7" s="1"/>
  <c r="AF148" i="7"/>
  <c r="AG148" i="7" s="1"/>
  <c r="AH148" i="7" s="1"/>
  <c r="AF45" i="7"/>
  <c r="AG45" i="7" s="1"/>
  <c r="AI45" i="7" s="1"/>
  <c r="AF125" i="7"/>
  <c r="AG125" i="7" s="1"/>
  <c r="AH125" i="7" s="1"/>
  <c r="AF189" i="7"/>
  <c r="AG189" i="7" s="1"/>
  <c r="AI189" i="7" s="1"/>
  <c r="AF164" i="7"/>
  <c r="AG164" i="7" s="1"/>
  <c r="AI164" i="7" s="1"/>
  <c r="AF13" i="7"/>
  <c r="AG13" i="7" s="1"/>
  <c r="AF77" i="7"/>
  <c r="AG77" i="7" s="1"/>
  <c r="AI77" i="7" s="1"/>
  <c r="AF182" i="7"/>
  <c r="AG182" i="7" s="1"/>
  <c r="AH182" i="7" s="1"/>
  <c r="AF72" i="7"/>
  <c r="AG72" i="7" s="1"/>
  <c r="AH72" i="7" s="1"/>
  <c r="AF22" i="7"/>
  <c r="AG22" i="7" s="1"/>
  <c r="AF86" i="7"/>
  <c r="AG86" i="7" s="1"/>
  <c r="AH86" i="7" s="1"/>
  <c r="AF141" i="7"/>
  <c r="AG141" i="7" s="1"/>
  <c r="AI141" i="7" s="1"/>
  <c r="AF108" i="7"/>
  <c r="AG108" i="7" s="1"/>
  <c r="AH108" i="7" s="1"/>
  <c r="AF172" i="7"/>
  <c r="AG172" i="7" s="1"/>
  <c r="AF17" i="7"/>
  <c r="AG17" i="7" s="1"/>
  <c r="AH17" i="7" s="1"/>
  <c r="AF113" i="7"/>
  <c r="AG113" i="7" s="1"/>
  <c r="AI113" i="7" s="1"/>
  <c r="AF145" i="7"/>
  <c r="AG145" i="7" s="1"/>
  <c r="AH145" i="7" s="1"/>
  <c r="AF97" i="7"/>
  <c r="AG97" i="7" s="1"/>
  <c r="AI97" i="7" s="1"/>
  <c r="AF114" i="7"/>
  <c r="AG114" i="7" s="1"/>
  <c r="AI114" i="7" s="1"/>
  <c r="AF130" i="7"/>
  <c r="AG130" i="7" s="1"/>
  <c r="AH130" i="7" s="1"/>
  <c r="AF146" i="7"/>
  <c r="AG146" i="7" s="1"/>
  <c r="AI146" i="7" s="1"/>
  <c r="AF162" i="7"/>
  <c r="AG162" i="7" s="1"/>
  <c r="AI162" i="7" s="1"/>
  <c r="AF178" i="7"/>
  <c r="AG178" i="7" s="1"/>
  <c r="AH178" i="7" s="1"/>
  <c r="AF29" i="7"/>
  <c r="AG29" i="7" s="1"/>
  <c r="AH29" i="7" s="1"/>
  <c r="AF93" i="7"/>
  <c r="AG93" i="7" s="1"/>
  <c r="AI93" i="7" s="1"/>
  <c r="AF61" i="7"/>
  <c r="AG61" i="7" s="1"/>
  <c r="AF157" i="7"/>
  <c r="AG157" i="7" s="1"/>
  <c r="AH157" i="7" s="1"/>
  <c r="AF109" i="7"/>
  <c r="AG109" i="7" s="1"/>
  <c r="AI109" i="7" s="1"/>
  <c r="AF173" i="7"/>
  <c r="AG173" i="7" s="1"/>
  <c r="AI173" i="7" s="1"/>
  <c r="AF131" i="7"/>
  <c r="AG131" i="7" s="1"/>
  <c r="AH131" i="7" s="1"/>
  <c r="AF147" i="7"/>
  <c r="AG147" i="7" s="1"/>
  <c r="AH147" i="7" s="1"/>
  <c r="AF179" i="7"/>
  <c r="AG179" i="7" s="1"/>
  <c r="AH179" i="7" s="1"/>
  <c r="AF195" i="7"/>
  <c r="AG195" i="7" s="1"/>
  <c r="AI195" i="7" s="1"/>
  <c r="AF201" i="7"/>
  <c r="AG201" i="7" s="1"/>
  <c r="AI201" i="7" s="1"/>
  <c r="AF25" i="7"/>
  <c r="AG25" i="7" s="1"/>
  <c r="AH25" i="7" s="1"/>
  <c r="AF57" i="7"/>
  <c r="AG57" i="7" s="1"/>
  <c r="AI57" i="7" s="1"/>
  <c r="AF89" i="7"/>
  <c r="AG89" i="7" s="1"/>
  <c r="AI89" i="7" s="1"/>
  <c r="AF123" i="7"/>
  <c r="AG123" i="7" s="1"/>
  <c r="AI123" i="7" s="1"/>
  <c r="AF111" i="7"/>
  <c r="AG111" i="7" s="1"/>
  <c r="AI111" i="7" s="1"/>
  <c r="AF143" i="7"/>
  <c r="AG143" i="7" s="1"/>
  <c r="AI143" i="7" s="1"/>
  <c r="AF175" i="7"/>
  <c r="AG175" i="7" s="1"/>
  <c r="AI175" i="7" s="1"/>
  <c r="AF100" i="7"/>
  <c r="AG100" i="7" s="1"/>
  <c r="AF155" i="7"/>
  <c r="AG155" i="7" s="1"/>
  <c r="AI155" i="7" s="1"/>
  <c r="AF187" i="7"/>
  <c r="AG187" i="7" s="1"/>
  <c r="AH187" i="7" s="1"/>
  <c r="AF105" i="7"/>
  <c r="AG105" i="7" s="1"/>
  <c r="AI105" i="7" s="1"/>
  <c r="AF137" i="7"/>
  <c r="AG137" i="7" s="1"/>
  <c r="AI137" i="7" s="1"/>
  <c r="AF9" i="7"/>
  <c r="AG9" i="7" s="1"/>
  <c r="AH9" i="7" s="1"/>
  <c r="AF41" i="7"/>
  <c r="AG41" i="7" s="1"/>
  <c r="AI41" i="7" s="1"/>
  <c r="AF73" i="7"/>
  <c r="AG73" i="7" s="1"/>
  <c r="AI73" i="7" s="1"/>
  <c r="AF4" i="7"/>
  <c r="AG4" i="7" s="1"/>
  <c r="AH4" i="7" s="1"/>
  <c r="AF20" i="7"/>
  <c r="AG20" i="7" s="1"/>
  <c r="AI20" i="7" s="1"/>
  <c r="AF36" i="7"/>
  <c r="AG36" i="7" s="1"/>
  <c r="AI36" i="7" s="1"/>
  <c r="AF52" i="7"/>
  <c r="AG52" i="7" s="1"/>
  <c r="AH52" i="7" s="1"/>
  <c r="AF68" i="7"/>
  <c r="AG68" i="7" s="1"/>
  <c r="AF84" i="7"/>
  <c r="AG84" i="7" s="1"/>
  <c r="AH84" i="7" s="1"/>
  <c r="AF16" i="7"/>
  <c r="AG16" i="7" s="1"/>
  <c r="AH16" i="7" s="1"/>
  <c r="AF32" i="7"/>
  <c r="AG32" i="7" s="1"/>
  <c r="AI32" i="7" s="1"/>
  <c r="AF48" i="7"/>
  <c r="AG48" i="7" s="1"/>
  <c r="AF64" i="7"/>
  <c r="AG64" i="7" s="1"/>
  <c r="AI64" i="7" s="1"/>
  <c r="AF80" i="7"/>
  <c r="AG80" i="7" s="1"/>
  <c r="AH80" i="7" s="1"/>
  <c r="AF96" i="7"/>
  <c r="AG96" i="7" s="1"/>
  <c r="AH96" i="7" s="1"/>
  <c r="AF5" i="7"/>
  <c r="AG5" i="7" s="1"/>
  <c r="AH5" i="7" s="1"/>
  <c r="AF21" i="7"/>
  <c r="AG21" i="7" s="1"/>
  <c r="AI21" i="7" s="1"/>
  <c r="AF53" i="7"/>
  <c r="AG53" i="7" s="1"/>
  <c r="AI53" i="7" s="1"/>
  <c r="AF69" i="7"/>
  <c r="AG69" i="7" s="1"/>
  <c r="AH69" i="7" s="1"/>
  <c r="AF85" i="7"/>
  <c r="AG85" i="7" s="1"/>
  <c r="AH85" i="7" s="1"/>
  <c r="AF101" i="7"/>
  <c r="AG101" i="7" s="1"/>
  <c r="AH101" i="7" s="1"/>
  <c r="AF117" i="7"/>
  <c r="AG117" i="7" s="1"/>
  <c r="AH117" i="7" s="1"/>
  <c r="AF133" i="7"/>
  <c r="AG133" i="7" s="1"/>
  <c r="AH133" i="7" s="1"/>
  <c r="AF149" i="7"/>
  <c r="AG149" i="7" s="1"/>
  <c r="AI149" i="7" s="1"/>
  <c r="AF165" i="7"/>
  <c r="AG165" i="7" s="1"/>
  <c r="AI165" i="7" s="1"/>
  <c r="AF181" i="7"/>
  <c r="AG181" i="7" s="1"/>
  <c r="AH181" i="7" s="1"/>
  <c r="AF197" i="7"/>
  <c r="AG197" i="7" s="1"/>
  <c r="AH197" i="7" s="1"/>
  <c r="AF30" i="7"/>
  <c r="AG30" i="7" s="1"/>
  <c r="AI30" i="7" s="1"/>
  <c r="AF62" i="7"/>
  <c r="AG62" i="7" s="1"/>
  <c r="AI62" i="7" s="1"/>
  <c r="AF94" i="7"/>
  <c r="AG94" i="7" s="1"/>
  <c r="AI94" i="7" s="1"/>
  <c r="AF99" i="7"/>
  <c r="AG99" i="7" s="1"/>
  <c r="AI99" i="7" s="1"/>
  <c r="AF50" i="7"/>
  <c r="AG50" i="7" s="1"/>
  <c r="AH50" i="7" s="1"/>
  <c r="AF66" i="7"/>
  <c r="AG66" i="7" s="1"/>
  <c r="AH66" i="7" s="1"/>
  <c r="AF98" i="7"/>
  <c r="AG98" i="7" s="1"/>
  <c r="AI98" i="7" s="1"/>
  <c r="AF190" i="7"/>
  <c r="AG190" i="7" s="1"/>
  <c r="AI190" i="7" s="1"/>
  <c r="AF194" i="7"/>
  <c r="AG194" i="7" s="1"/>
  <c r="AI194" i="7" s="1"/>
  <c r="AF126" i="7"/>
  <c r="AG126" i="7" s="1"/>
  <c r="AI126" i="7" s="1"/>
  <c r="AF158" i="7"/>
  <c r="AG158" i="7" s="1"/>
  <c r="AH158" i="7" s="1"/>
  <c r="AF112" i="7"/>
  <c r="AG112" i="7" s="1"/>
  <c r="AH112" i="7" s="1"/>
  <c r="AF176" i="7"/>
  <c r="AG176" i="7" s="1"/>
  <c r="AH176" i="7" s="1"/>
  <c r="AF144" i="7"/>
  <c r="AG144" i="7" s="1"/>
  <c r="AI144" i="7" s="1"/>
  <c r="AF35" i="7"/>
  <c r="AG35" i="7" s="1"/>
  <c r="AI35" i="7" s="1"/>
  <c r="AF136" i="7"/>
  <c r="AG136" i="7" s="1"/>
  <c r="AH136" i="7" s="1"/>
  <c r="AF200" i="7"/>
  <c r="AG200" i="7" s="1"/>
  <c r="AI200" i="7" s="1"/>
  <c r="AF23" i="7"/>
  <c r="AG23" i="7" s="1"/>
  <c r="AI23" i="7" s="1"/>
  <c r="AF55" i="7"/>
  <c r="AG55" i="7" s="1"/>
  <c r="AI55" i="7" s="1"/>
  <c r="AF87" i="7"/>
  <c r="AG87" i="7" s="1"/>
  <c r="AH87" i="7" s="1"/>
  <c r="AF119" i="7"/>
  <c r="AG119" i="7" s="1"/>
  <c r="AH119" i="7" s="1"/>
  <c r="AF151" i="7"/>
  <c r="AG151" i="7" s="1"/>
  <c r="AI151" i="7" s="1"/>
  <c r="AF183" i="7"/>
  <c r="AG183" i="7" s="1"/>
  <c r="AH183" i="7" s="1"/>
  <c r="AF11" i="7"/>
  <c r="AG11" i="7" s="1"/>
  <c r="AH11" i="7" s="1"/>
  <c r="AF27" i="7"/>
  <c r="AG27" i="7" s="1"/>
  <c r="AI27" i="7" s="1"/>
  <c r="AF43" i="7"/>
  <c r="AG43" i="7" s="1"/>
  <c r="AH43" i="7" s="1"/>
  <c r="AF59" i="7"/>
  <c r="AG59" i="7" s="1"/>
  <c r="AI59" i="7" s="1"/>
  <c r="AF91" i="7"/>
  <c r="AG91" i="7" s="1"/>
  <c r="AI91" i="7" s="1"/>
  <c r="AF19" i="7"/>
  <c r="AG19" i="7" s="1"/>
  <c r="AH19" i="7" s="1"/>
  <c r="AF104" i="7"/>
  <c r="AG104" i="7" s="1"/>
  <c r="AH104" i="7" s="1"/>
  <c r="AF15" i="7"/>
  <c r="AG15" i="7" s="1"/>
  <c r="AI15" i="7" s="1"/>
  <c r="AF47" i="7"/>
  <c r="AG47" i="7" s="1"/>
  <c r="AI47" i="7" s="1"/>
  <c r="AF79" i="7"/>
  <c r="AG79" i="7" s="1"/>
  <c r="AI79" i="7" s="1"/>
  <c r="AF37" i="7"/>
  <c r="AG37" i="7" s="1"/>
  <c r="AH37" i="7" s="1"/>
  <c r="AF156" i="7"/>
  <c r="AG156" i="7" s="1"/>
  <c r="AI156" i="7" s="1"/>
  <c r="AF140" i="7"/>
  <c r="AG140" i="7" s="1"/>
  <c r="AH140" i="7" s="1"/>
  <c r="AF124" i="7"/>
  <c r="AG124" i="7" s="1"/>
  <c r="AI124" i="7" s="1"/>
  <c r="AF188" i="7"/>
  <c r="AG188" i="7" s="1"/>
  <c r="AI188" i="7" s="1"/>
  <c r="AF120" i="7"/>
  <c r="AG120" i="7" s="1"/>
  <c r="AH120" i="7" s="1"/>
  <c r="AF160" i="7"/>
  <c r="AG160" i="7" s="1"/>
  <c r="AI160" i="7" s="1"/>
  <c r="AF184" i="7"/>
  <c r="AG184" i="7" s="1"/>
  <c r="AH184" i="7" s="1"/>
  <c r="AF65" i="7"/>
  <c r="AG65" i="7" s="1"/>
  <c r="AH65" i="7" s="1"/>
  <c r="AF10" i="7"/>
  <c r="AG10" i="7" s="1"/>
  <c r="AI10" i="7" s="1"/>
  <c r="AF42" i="7"/>
  <c r="AG42" i="7" s="1"/>
  <c r="AH42" i="7" s="1"/>
  <c r="AF74" i="7"/>
  <c r="AG74" i="7" s="1"/>
  <c r="AI74" i="7" s="1"/>
  <c r="AF106" i="7"/>
  <c r="AG106" i="7" s="1"/>
  <c r="AI106" i="7" s="1"/>
  <c r="AF138" i="7"/>
  <c r="AG138" i="7" s="1"/>
  <c r="AH138" i="7" s="1"/>
  <c r="AF185" i="7"/>
  <c r="AG185" i="7" s="1"/>
  <c r="AI185" i="7" s="1"/>
  <c r="AF180" i="7"/>
  <c r="AG180" i="7" s="1"/>
  <c r="AI180" i="7" s="1"/>
  <c r="AF33" i="7"/>
  <c r="AG33" i="7" s="1"/>
  <c r="AH33" i="7" s="1"/>
  <c r="AF132" i="7"/>
  <c r="AG132" i="7" s="1"/>
  <c r="AH132" i="7" s="1"/>
  <c r="AF168" i="7"/>
  <c r="AG168" i="7" s="1"/>
  <c r="AI168" i="7" s="1"/>
  <c r="AF121" i="7"/>
  <c r="AG121" i="7" s="1"/>
  <c r="AI121" i="7" s="1"/>
  <c r="AF81" i="7"/>
  <c r="AG81" i="7" s="1"/>
  <c r="AI81" i="7" s="1"/>
  <c r="AF54" i="7"/>
  <c r="AG54" i="7" s="1"/>
  <c r="AH54" i="7" s="1"/>
  <c r="AF198" i="7"/>
  <c r="AG198" i="7" s="1"/>
  <c r="AH198" i="7" s="1"/>
  <c r="AF193" i="7"/>
  <c r="AG193" i="7" s="1"/>
  <c r="AI193" i="7" s="1"/>
  <c r="AF116" i="7"/>
  <c r="AG116" i="7" s="1"/>
  <c r="AH116" i="7" s="1"/>
  <c r="AF152" i="7"/>
  <c r="AG152" i="7" s="1"/>
  <c r="AI152" i="7" s="1"/>
  <c r="AF192" i="7"/>
  <c r="AG192" i="7" s="1"/>
  <c r="AI192" i="7" s="1"/>
  <c r="AF26" i="7"/>
  <c r="AG26" i="7" s="1"/>
  <c r="AH26" i="7" s="1"/>
  <c r="AF58" i="7"/>
  <c r="AG58" i="7" s="1"/>
  <c r="AH58" i="7" s="1"/>
  <c r="AF90" i="7"/>
  <c r="AG90" i="7" s="1"/>
  <c r="AH90" i="7" s="1"/>
  <c r="AF122" i="7"/>
  <c r="AG122" i="7" s="1"/>
  <c r="AH122" i="7" s="1"/>
  <c r="AF154" i="7"/>
  <c r="AG154" i="7" s="1"/>
  <c r="AH154" i="7" s="1"/>
  <c r="AF202" i="7"/>
  <c r="AG202" i="7" s="1"/>
  <c r="AH202" i="7" s="1"/>
  <c r="AF153" i="7"/>
  <c r="AG153" i="7" s="1"/>
  <c r="AI153" i="7" s="1"/>
  <c r="AF103" i="7"/>
  <c r="AG103" i="7" s="1"/>
  <c r="AI103" i="7" s="1"/>
  <c r="AF186" i="7"/>
  <c r="AG186" i="7" s="1"/>
  <c r="AH186" i="7" s="1"/>
  <c r="AF196" i="7"/>
  <c r="AG196" i="7" s="1"/>
  <c r="AH196" i="7" s="1"/>
  <c r="AF12" i="7"/>
  <c r="AG12" i="7" s="1"/>
  <c r="AH12" i="7" s="1"/>
  <c r="AF28" i="7"/>
  <c r="AG28" i="7" s="1"/>
  <c r="AH28" i="7" s="1"/>
  <c r="AF44" i="7"/>
  <c r="AG44" i="7" s="1"/>
  <c r="AH44" i="7" s="1"/>
  <c r="AF60" i="7"/>
  <c r="AG60" i="7" s="1"/>
  <c r="AH60" i="7" s="1"/>
  <c r="AF76" i="7"/>
  <c r="AG76" i="7" s="1"/>
  <c r="AH76" i="7" s="1"/>
  <c r="AF92" i="7"/>
  <c r="AG92" i="7" s="1"/>
  <c r="AI92" i="7" s="1"/>
  <c r="AF49" i="7"/>
  <c r="AG49" i="7" s="1"/>
  <c r="AI49" i="7" s="1"/>
  <c r="AF129" i="7"/>
  <c r="AG129" i="7" s="1"/>
  <c r="AI129" i="7" s="1"/>
  <c r="AF6" i="7"/>
  <c r="AG6" i="7" s="1"/>
  <c r="AI6" i="7" s="1"/>
  <c r="AF38" i="7"/>
  <c r="AG38" i="7" s="1"/>
  <c r="AH38" i="7" s="1"/>
  <c r="AF70" i="7"/>
  <c r="AG70" i="7" s="1"/>
  <c r="AH70" i="7" s="1"/>
  <c r="AF102" i="7"/>
  <c r="AG102" i="7" s="1"/>
  <c r="AI102" i="7" s="1"/>
  <c r="AF134" i="7"/>
  <c r="AG134" i="7" s="1"/>
  <c r="AI134" i="7" s="1"/>
  <c r="AF166" i="7"/>
  <c r="AG166" i="7" s="1"/>
  <c r="AI166" i="7" s="1"/>
  <c r="AF177" i="7"/>
  <c r="AG177" i="7" s="1"/>
  <c r="AI177" i="7" s="1"/>
  <c r="AF161" i="7"/>
  <c r="AG161" i="7" s="1"/>
  <c r="AI161" i="7" s="1"/>
  <c r="W186" i="7"/>
  <c r="Z186" i="7" s="1"/>
  <c r="W103" i="7"/>
  <c r="Z103" i="7" s="1"/>
  <c r="AH137" i="7"/>
  <c r="W163" i="7"/>
  <c r="Z163" i="7" s="1"/>
  <c r="AF163" i="7"/>
  <c r="AG163" i="7" s="1"/>
  <c r="W78" i="7"/>
  <c r="Z78" i="7" s="1"/>
  <c r="AF78" i="7"/>
  <c r="AG78" i="7" s="1"/>
  <c r="W51" i="7"/>
  <c r="Z51" i="7" s="1"/>
  <c r="AF51" i="7"/>
  <c r="AG51" i="7" s="1"/>
  <c r="AH40" i="7"/>
  <c r="AI40" i="7"/>
  <c r="W31" i="7"/>
  <c r="Z31" i="7" s="1"/>
  <c r="AF31" i="7"/>
  <c r="AG31" i="7" s="1"/>
  <c r="W159" i="7"/>
  <c r="Z159" i="7" s="1"/>
  <c r="AF159" i="7"/>
  <c r="AG159" i="7" s="1"/>
  <c r="W115" i="7"/>
  <c r="Z115" i="7" s="1"/>
  <c r="AF115" i="7"/>
  <c r="AG115" i="7" s="1"/>
  <c r="W107" i="7"/>
  <c r="Z107" i="7" s="1"/>
  <c r="AF107" i="7"/>
  <c r="AG107" i="7" s="1"/>
  <c r="W110" i="7"/>
  <c r="Z110" i="7" s="1"/>
  <c r="AF110" i="7"/>
  <c r="AG110" i="7" s="1"/>
  <c r="W39" i="7"/>
  <c r="Z39" i="7" s="1"/>
  <c r="AF39" i="7"/>
  <c r="AG39" i="7" s="1"/>
  <c r="W167" i="7"/>
  <c r="Z167" i="7" s="1"/>
  <c r="AF167" i="7"/>
  <c r="AG167" i="7" s="1"/>
  <c r="W139" i="7"/>
  <c r="Z139" i="7" s="1"/>
  <c r="AF139" i="7"/>
  <c r="AG139" i="7" s="1"/>
  <c r="AI22" i="7"/>
  <c r="AH22" i="7"/>
  <c r="AI118" i="7"/>
  <c r="AH118" i="7"/>
  <c r="W127" i="7"/>
  <c r="Z127" i="7" s="1"/>
  <c r="AF127" i="7"/>
  <c r="AG127" i="7" s="1"/>
  <c r="W83" i="7"/>
  <c r="Z83" i="7" s="1"/>
  <c r="AF83" i="7"/>
  <c r="AG83" i="7" s="1"/>
  <c r="W135" i="7"/>
  <c r="Z135" i="7" s="1"/>
  <c r="AF135" i="7"/>
  <c r="AG135" i="7" s="1"/>
  <c r="AH200" i="7"/>
  <c r="W63" i="7"/>
  <c r="Z63" i="7" s="1"/>
  <c r="AF63" i="7"/>
  <c r="AG63" i="7" s="1"/>
  <c r="W191" i="7"/>
  <c r="Z191" i="7" s="1"/>
  <c r="AF191" i="7"/>
  <c r="AG191" i="7" s="1"/>
  <c r="W3" i="7"/>
  <c r="Z3" i="7" s="1"/>
  <c r="AF3" i="7"/>
  <c r="AG3" i="7" s="1"/>
  <c r="W171" i="7"/>
  <c r="Z171" i="7" s="1"/>
  <c r="AF171" i="7"/>
  <c r="AG171" i="7" s="1"/>
  <c r="W14" i="7"/>
  <c r="Z14" i="7" s="1"/>
  <c r="AF14" i="7"/>
  <c r="AG14" i="7" s="1"/>
  <c r="W142" i="7"/>
  <c r="Z142" i="7" s="1"/>
  <c r="AF142" i="7"/>
  <c r="AG142" i="7" s="1"/>
  <c r="W71" i="7"/>
  <c r="Z71" i="7" s="1"/>
  <c r="AF71" i="7"/>
  <c r="AG71" i="7" s="1"/>
  <c r="W199" i="7"/>
  <c r="Z199" i="7" s="1"/>
  <c r="AF199" i="7"/>
  <c r="AG199" i="7" s="1"/>
  <c r="W18" i="7"/>
  <c r="Z18" i="7" s="1"/>
  <c r="AF18" i="7"/>
  <c r="AG18" i="7" s="1"/>
  <c r="AH68" i="7"/>
  <c r="AI68" i="7"/>
  <c r="W34" i="7"/>
  <c r="Z34" i="7" s="1"/>
  <c r="AF34" i="7"/>
  <c r="AG34" i="7" s="1"/>
  <c r="W7" i="7"/>
  <c r="Z7" i="7" s="1"/>
  <c r="AF7" i="7"/>
  <c r="AG7" i="7" s="1"/>
  <c r="AI13" i="7"/>
  <c r="AH13" i="7"/>
  <c r="AI172" i="7"/>
  <c r="AH172" i="7"/>
  <c r="AI61" i="7"/>
  <c r="AH61" i="7"/>
  <c r="AH100" i="7"/>
  <c r="AI100" i="7"/>
  <c r="AH48" i="7"/>
  <c r="AI48" i="7"/>
  <c r="W95" i="7"/>
  <c r="Z95" i="7" s="1"/>
  <c r="AF95" i="7"/>
  <c r="AG95" i="7" s="1"/>
  <c r="W170" i="7"/>
  <c r="Z170" i="7" s="1"/>
  <c r="AF170" i="7"/>
  <c r="AG170" i="7" s="1"/>
  <c r="W82" i="7"/>
  <c r="Z82" i="7" s="1"/>
  <c r="AF82" i="7"/>
  <c r="AG82" i="7" s="1"/>
  <c r="W67" i="7"/>
  <c r="Z67" i="7" s="1"/>
  <c r="AF67" i="7"/>
  <c r="AG67" i="7" s="1"/>
  <c r="W46" i="7"/>
  <c r="Z46" i="7" s="1"/>
  <c r="AF46" i="7"/>
  <c r="AG46" i="7" s="1"/>
  <c r="W174" i="7"/>
  <c r="Z174" i="7" s="1"/>
  <c r="AF174" i="7"/>
  <c r="AG174" i="7" s="1"/>
  <c r="F3" i="7"/>
  <c r="E3" i="7"/>
  <c r="Y83" i="7"/>
  <c r="N59" i="7"/>
  <c r="Q59" i="7" s="1"/>
  <c r="P150" i="7"/>
  <c r="P75" i="7"/>
  <c r="P43" i="7"/>
  <c r="P11" i="7"/>
  <c r="O39" i="7"/>
  <c r="BB97" i="5"/>
  <c r="BB13" i="5"/>
  <c r="BA107" i="5"/>
  <c r="BD107" i="5" s="1"/>
  <c r="BB187" i="5"/>
  <c r="BB133" i="5"/>
  <c r="BA46" i="5"/>
  <c r="BD46" i="5" s="1"/>
  <c r="W3" i="5"/>
  <c r="Z3" i="5" s="1"/>
  <c r="BA188" i="5"/>
  <c r="BD188" i="5" s="1"/>
  <c r="BA113" i="5"/>
  <c r="BD113" i="5" s="1"/>
  <c r="BB152" i="5"/>
  <c r="BB5" i="5"/>
  <c r="BA100" i="5"/>
  <c r="BD100" i="5" s="1"/>
  <c r="W192" i="5"/>
  <c r="Z192" i="5" s="1"/>
  <c r="W106" i="5"/>
  <c r="Z106" i="5" s="1"/>
  <c r="W119" i="5"/>
  <c r="Z119" i="5" s="1"/>
  <c r="W183" i="5"/>
  <c r="Z183" i="5" s="1"/>
  <c r="BB188" i="5"/>
  <c r="BA156" i="5"/>
  <c r="BD156" i="5" s="1"/>
  <c r="BA133" i="5"/>
  <c r="BD133" i="5" s="1"/>
  <c r="BA125" i="5"/>
  <c r="BD125" i="5" s="1"/>
  <c r="BB113" i="5"/>
  <c r="BB85" i="5"/>
  <c r="BA73" i="5"/>
  <c r="BD73" i="5" s="1"/>
  <c r="BA48" i="5"/>
  <c r="BD48" i="5" s="1"/>
  <c r="BB58" i="5"/>
  <c r="BA74" i="5"/>
  <c r="BD74" i="5" s="1"/>
  <c r="BB156" i="5"/>
  <c r="BA177" i="5"/>
  <c r="BD177" i="5" s="1"/>
  <c r="W152" i="5"/>
  <c r="Z152" i="5" s="1"/>
  <c r="W184" i="5"/>
  <c r="Z184" i="5" s="1"/>
  <c r="X45" i="5"/>
  <c r="X106" i="5"/>
  <c r="X135" i="5"/>
  <c r="W58" i="5"/>
  <c r="Z58" i="5" s="1"/>
  <c r="X167" i="5"/>
  <c r="BA194" i="5"/>
  <c r="BD194" i="5" s="1"/>
  <c r="BA187" i="5"/>
  <c r="BD187" i="5" s="1"/>
  <c r="BB139" i="5"/>
  <c r="BB123" i="5"/>
  <c r="BA139" i="5"/>
  <c r="BD139" i="5" s="1"/>
  <c r="BA123" i="5"/>
  <c r="BD123" i="5" s="1"/>
  <c r="BA68" i="5"/>
  <c r="BD68" i="5" s="1"/>
  <c r="BA40" i="5"/>
  <c r="BD40" i="5" s="1"/>
  <c r="BA82" i="5"/>
  <c r="BB109" i="5"/>
  <c r="BA180" i="5"/>
  <c r="BD180" i="5" s="1"/>
  <c r="BB157" i="5"/>
  <c r="X152" i="5"/>
  <c r="X184" i="5"/>
  <c r="W74" i="5"/>
  <c r="Z74" i="5" s="1"/>
  <c r="X151" i="5"/>
  <c r="W135" i="5"/>
  <c r="Z135" i="5" s="1"/>
  <c r="X58" i="5"/>
  <c r="W167" i="5"/>
  <c r="Z167" i="5" s="1"/>
  <c r="P19" i="7"/>
  <c r="N51" i="7"/>
  <c r="Q51" i="7" s="1"/>
  <c r="P83" i="7"/>
  <c r="P30" i="7"/>
  <c r="P70" i="7"/>
  <c r="P134" i="7"/>
  <c r="P158" i="7"/>
  <c r="P174" i="7"/>
  <c r="N198" i="7"/>
  <c r="Q198" i="7" s="1"/>
  <c r="P42" i="7"/>
  <c r="P106" i="7"/>
  <c r="N16" i="7"/>
  <c r="Q16" i="7" s="1"/>
  <c r="P48" i="7"/>
  <c r="P80" i="7"/>
  <c r="P112" i="7"/>
  <c r="N172" i="7"/>
  <c r="Q172" i="7" s="1"/>
  <c r="P45" i="7"/>
  <c r="P37" i="7"/>
  <c r="P73" i="7"/>
  <c r="N113" i="7"/>
  <c r="N145" i="7"/>
  <c r="Q145" i="7" s="1"/>
  <c r="P177" i="7"/>
  <c r="P18" i="7"/>
  <c r="N66" i="7"/>
  <c r="P118" i="7"/>
  <c r="P77" i="7"/>
  <c r="P151" i="7"/>
  <c r="N151" i="7"/>
  <c r="N163" i="7"/>
  <c r="Q163" i="7" s="1"/>
  <c r="N191" i="7"/>
  <c r="P32" i="7"/>
  <c r="N64" i="7"/>
  <c r="N96" i="7"/>
  <c r="Q96" i="7" s="1"/>
  <c r="P140" i="7"/>
  <c r="P21" i="7"/>
  <c r="N57" i="7"/>
  <c r="N93" i="7"/>
  <c r="P129" i="7"/>
  <c r="P161" i="7"/>
  <c r="N193" i="7"/>
  <c r="N131" i="7"/>
  <c r="Q131" i="7" s="1"/>
  <c r="N179" i="7"/>
  <c r="Q179" i="7" s="1"/>
  <c r="P144" i="7"/>
  <c r="N115" i="7"/>
  <c r="Q115" i="7" s="1"/>
  <c r="N35" i="7"/>
  <c r="P99" i="7"/>
  <c r="P6" i="7"/>
  <c r="P46" i="7"/>
  <c r="P94" i="7"/>
  <c r="P142" i="7"/>
  <c r="P166" i="7"/>
  <c r="P190" i="7"/>
  <c r="O10" i="7"/>
  <c r="P74" i="7"/>
  <c r="P152" i="7"/>
  <c r="P160" i="7"/>
  <c r="O8" i="7"/>
  <c r="P24" i="7"/>
  <c r="P40" i="7"/>
  <c r="P56" i="7"/>
  <c r="P88" i="7"/>
  <c r="P104" i="7"/>
  <c r="P124" i="7"/>
  <c r="O156" i="7"/>
  <c r="P188" i="7"/>
  <c r="P109" i="7"/>
  <c r="P9" i="7"/>
  <c r="P49" i="7"/>
  <c r="P65" i="7"/>
  <c r="P85" i="7"/>
  <c r="P121" i="7"/>
  <c r="P137" i="7"/>
  <c r="P153" i="7"/>
  <c r="P185" i="7"/>
  <c r="P201" i="7"/>
  <c r="P155" i="7"/>
  <c r="O119" i="7"/>
  <c r="N183" i="7"/>
  <c r="N50" i="7"/>
  <c r="Q50" i="7" s="1"/>
  <c r="P98" i="7"/>
  <c r="Q22" i="7"/>
  <c r="V75" i="7"/>
  <c r="Q7" i="7"/>
  <c r="P3" i="7"/>
  <c r="AP5" i="5"/>
  <c r="AS5" i="5" s="1"/>
  <c r="AP9" i="5"/>
  <c r="AS9" i="5" s="1"/>
  <c r="AP13" i="5"/>
  <c r="AQ13" i="5" s="1"/>
  <c r="AP17" i="5"/>
  <c r="AS17" i="5" s="1"/>
  <c r="AP21" i="5"/>
  <c r="AS21" i="5" s="1"/>
  <c r="AP25" i="5"/>
  <c r="AS25" i="5" s="1"/>
  <c r="AP29" i="5"/>
  <c r="AQ29" i="5" s="1"/>
  <c r="AT29" i="5" s="1"/>
  <c r="AP33" i="5"/>
  <c r="AS33" i="5" s="1"/>
  <c r="AP37" i="5"/>
  <c r="AS37" i="5" s="1"/>
  <c r="AP41" i="5"/>
  <c r="AR41" i="5" s="1"/>
  <c r="AP45" i="5"/>
  <c r="AR45" i="5" s="1"/>
  <c r="AP49" i="5"/>
  <c r="AS49" i="5" s="1"/>
  <c r="AP53" i="5"/>
  <c r="AS53" i="5" s="1"/>
  <c r="AP57" i="5"/>
  <c r="AS57" i="5" s="1"/>
  <c r="AP61" i="5"/>
  <c r="AR61" i="5" s="1"/>
  <c r="AP65" i="5"/>
  <c r="AS65" i="5" s="1"/>
  <c r="AP109" i="5"/>
  <c r="AS109" i="5" s="1"/>
  <c r="AP113" i="5"/>
  <c r="AS113" i="5" s="1"/>
  <c r="AP133" i="5"/>
  <c r="AQ133" i="5" s="1"/>
  <c r="AP137" i="5"/>
  <c r="AQ137" i="5" s="1"/>
  <c r="AT137" i="5" s="1"/>
  <c r="AP157" i="5"/>
  <c r="AS157" i="5" s="1"/>
  <c r="AP193" i="5"/>
  <c r="AQ193" i="5" s="1"/>
  <c r="AP18" i="5"/>
  <c r="AR18" i="5" s="1"/>
  <c r="AP30" i="5"/>
  <c r="AS30" i="5" s="1"/>
  <c r="AP34" i="5"/>
  <c r="AQ34" i="5" s="1"/>
  <c r="AT34" i="5" s="1"/>
  <c r="AP58" i="5"/>
  <c r="AS58" i="5" s="1"/>
  <c r="AP62" i="5"/>
  <c r="AQ62" i="5" s="1"/>
  <c r="AP78" i="5"/>
  <c r="AS78" i="5" s="1"/>
  <c r="AP82" i="5"/>
  <c r="AR82" i="5" s="1"/>
  <c r="AP90" i="5"/>
  <c r="AS90" i="5" s="1"/>
  <c r="AP110" i="5"/>
  <c r="AQ110" i="5" s="1"/>
  <c r="AP114" i="5"/>
  <c r="AS114" i="5" s="1"/>
  <c r="AP118" i="5"/>
  <c r="AQ118" i="5" s="1"/>
  <c r="AP150" i="5"/>
  <c r="AR150" i="5" s="1"/>
  <c r="AP162" i="5"/>
  <c r="AR162" i="5" s="1"/>
  <c r="AP166" i="5"/>
  <c r="AR166" i="5" s="1"/>
  <c r="AP170" i="5"/>
  <c r="AR170" i="5" s="1"/>
  <c r="AP190" i="5"/>
  <c r="AR190" i="5" s="1"/>
  <c r="AP194" i="5"/>
  <c r="AR194" i="5" s="1"/>
  <c r="AP11" i="5"/>
  <c r="AR11" i="5" s="1"/>
  <c r="AP27" i="5"/>
  <c r="AS27" i="5" s="1"/>
  <c r="AP43" i="5"/>
  <c r="AP59" i="5"/>
  <c r="AR59" i="5" s="1"/>
  <c r="AP75" i="5"/>
  <c r="AR75" i="5" s="1"/>
  <c r="AP91" i="5"/>
  <c r="AR91" i="5" s="1"/>
  <c r="AP107" i="5"/>
  <c r="AP123" i="5"/>
  <c r="AR123" i="5" s="1"/>
  <c r="AP139" i="5"/>
  <c r="AS139" i="5" s="1"/>
  <c r="AP155" i="5"/>
  <c r="AQ155" i="5" s="1"/>
  <c r="AT155" i="5" s="1"/>
  <c r="AP171" i="5"/>
  <c r="AQ171" i="5" s="1"/>
  <c r="AT171" i="5" s="1"/>
  <c r="AP187" i="5"/>
  <c r="AS187" i="5" s="1"/>
  <c r="AP12" i="5"/>
  <c r="AP36" i="5"/>
  <c r="AQ36" i="5" s="1"/>
  <c r="AP44" i="5"/>
  <c r="AR44" i="5" s="1"/>
  <c r="AP68" i="5"/>
  <c r="AQ68" i="5" s="1"/>
  <c r="AP76" i="5"/>
  <c r="AP100" i="5"/>
  <c r="AQ100" i="5" s="1"/>
  <c r="AP104" i="5"/>
  <c r="AQ104" i="5" s="1"/>
  <c r="AT104" i="5" s="1"/>
  <c r="AP144" i="5"/>
  <c r="AS144" i="5" s="1"/>
  <c r="AP152" i="5"/>
  <c r="AP156" i="5"/>
  <c r="AS156" i="5" s="1"/>
  <c r="AP180" i="5"/>
  <c r="AQ180" i="5" s="1"/>
  <c r="AP188" i="5"/>
  <c r="AS188" i="5" s="1"/>
  <c r="P7" i="7"/>
  <c r="N23" i="7"/>
  <c r="Q23" i="7" s="1"/>
  <c r="N27" i="7"/>
  <c r="Q27" i="7" s="1"/>
  <c r="P39" i="7"/>
  <c r="N55" i="7"/>
  <c r="Q55" i="7" s="1"/>
  <c r="P71" i="7"/>
  <c r="N87" i="7"/>
  <c r="Q87" i="7" s="1"/>
  <c r="N91" i="7"/>
  <c r="Q91" i="7" s="1"/>
  <c r="P103" i="7"/>
  <c r="N171" i="7"/>
  <c r="Q171" i="7" s="1"/>
  <c r="N199" i="7"/>
  <c r="Q199" i="7" s="1"/>
  <c r="P22" i="7"/>
  <c r="N146" i="7"/>
  <c r="Q146" i="7" s="1"/>
  <c r="P47" i="7"/>
  <c r="O79" i="7"/>
  <c r="N111" i="7"/>
  <c r="Q111" i="7" s="1"/>
  <c r="P62" i="7"/>
  <c r="N102" i="7"/>
  <c r="Q102" i="7" s="1"/>
  <c r="N130" i="7"/>
  <c r="P154" i="7"/>
  <c r="P170" i="7"/>
  <c r="P194" i="7"/>
  <c r="P26" i="7"/>
  <c r="N90" i="7"/>
  <c r="P184" i="7"/>
  <c r="N192" i="7"/>
  <c r="Q192" i="7" s="1"/>
  <c r="N12" i="7"/>
  <c r="P28" i="7"/>
  <c r="P60" i="7"/>
  <c r="N92" i="7"/>
  <c r="Q92" i="7" s="1"/>
  <c r="P108" i="7"/>
  <c r="P132" i="7"/>
  <c r="N196" i="7"/>
  <c r="P17" i="7"/>
  <c r="P33" i="7"/>
  <c r="N69" i="7"/>
  <c r="P89" i="7"/>
  <c r="P105" i="7"/>
  <c r="N141" i="7"/>
  <c r="P157" i="7"/>
  <c r="P173" i="7"/>
  <c r="N168" i="7"/>
  <c r="N135" i="7"/>
  <c r="P114" i="7"/>
  <c r="N13" i="7"/>
  <c r="P123" i="7"/>
  <c r="P127" i="7"/>
  <c r="N139" i="7"/>
  <c r="Q139" i="7" s="1"/>
  <c r="AP69" i="5"/>
  <c r="AS69" i="5" s="1"/>
  <c r="AP73" i="5"/>
  <c r="AS73" i="5" s="1"/>
  <c r="AP77" i="5"/>
  <c r="AS77" i="5" s="1"/>
  <c r="AP81" i="5"/>
  <c r="AQ81" i="5" s="1"/>
  <c r="AP85" i="5"/>
  <c r="AR85" i="5" s="1"/>
  <c r="AP89" i="5"/>
  <c r="AR89" i="5" s="1"/>
  <c r="AP93" i="5"/>
  <c r="AR93" i="5" s="1"/>
  <c r="AP97" i="5"/>
  <c r="AR97" i="5" s="1"/>
  <c r="AP101" i="5"/>
  <c r="AS101" i="5" s="1"/>
  <c r="AP105" i="5"/>
  <c r="AS105" i="5" s="1"/>
  <c r="AP125" i="5"/>
  <c r="AS125" i="5" s="1"/>
  <c r="AP149" i="5"/>
  <c r="AQ149" i="5" s="1"/>
  <c r="AP153" i="5"/>
  <c r="AQ153" i="5" s="1"/>
  <c r="AP161" i="5"/>
  <c r="AR161" i="5" s="1"/>
  <c r="AP173" i="5"/>
  <c r="AS173" i="5" s="1"/>
  <c r="AP177" i="5"/>
  <c r="AQ177" i="5" s="1"/>
  <c r="AT177" i="5" s="1"/>
  <c r="AP197" i="5"/>
  <c r="AQ197" i="5" s="1"/>
  <c r="AP201" i="5"/>
  <c r="AQ201" i="5" s="1"/>
  <c r="AP38" i="5"/>
  <c r="AS38" i="5" s="1"/>
  <c r="AP66" i="5"/>
  <c r="AQ66" i="5" s="1"/>
  <c r="AP86" i="5"/>
  <c r="AR86" i="5" s="1"/>
  <c r="AP98" i="5"/>
  <c r="AR98" i="5" s="1"/>
  <c r="AP122" i="5"/>
  <c r="AS122" i="5" s="1"/>
  <c r="AP126" i="5"/>
  <c r="AQ126" i="5" s="1"/>
  <c r="AT126" i="5" s="1"/>
  <c r="AP130" i="5"/>
  <c r="AS130" i="5" s="1"/>
  <c r="AP134" i="5"/>
  <c r="AS134" i="5" s="1"/>
  <c r="AP138" i="5"/>
  <c r="AS138" i="5" s="1"/>
  <c r="AP158" i="5"/>
  <c r="AR158" i="5" s="1"/>
  <c r="AP174" i="5"/>
  <c r="AR174" i="5" s="1"/>
  <c r="AP198" i="5"/>
  <c r="AQ198" i="5" s="1"/>
  <c r="AT198" i="5" s="1"/>
  <c r="AP202" i="5"/>
  <c r="AQ202" i="5" s="1"/>
  <c r="AT202" i="5" s="1"/>
  <c r="AP15" i="5"/>
  <c r="AQ15" i="5" s="1"/>
  <c r="AT15" i="5" s="1"/>
  <c r="AP31" i="5"/>
  <c r="AS31" i="5" s="1"/>
  <c r="AP47" i="5"/>
  <c r="AQ47" i="5" s="1"/>
  <c r="AT47" i="5" s="1"/>
  <c r="AP63" i="5"/>
  <c r="AR63" i="5" s="1"/>
  <c r="AP79" i="5"/>
  <c r="AR79" i="5" s="1"/>
  <c r="AP95" i="5"/>
  <c r="AR95" i="5" s="1"/>
  <c r="AP111" i="5"/>
  <c r="AR111" i="5" s="1"/>
  <c r="AP127" i="5"/>
  <c r="AR127" i="5" s="1"/>
  <c r="AP143" i="5"/>
  <c r="AS143" i="5" s="1"/>
  <c r="AP159" i="5"/>
  <c r="AR159" i="5" s="1"/>
  <c r="AP175" i="5"/>
  <c r="AQ175" i="5" s="1"/>
  <c r="AT175" i="5" s="1"/>
  <c r="AP191" i="5"/>
  <c r="AS191" i="5" s="1"/>
  <c r="AP8" i="5"/>
  <c r="AS8" i="5" s="1"/>
  <c r="AP20" i="5"/>
  <c r="AS20" i="5" s="1"/>
  <c r="AP32" i="5"/>
  <c r="AQ32" i="5" s="1"/>
  <c r="AT32" i="5" s="1"/>
  <c r="AP40" i="5"/>
  <c r="AS40" i="5" s="1"/>
  <c r="AP52" i="5"/>
  <c r="AS52" i="5" s="1"/>
  <c r="AP64" i="5"/>
  <c r="AR64" i="5" s="1"/>
  <c r="AP72" i="5"/>
  <c r="AQ72" i="5" s="1"/>
  <c r="AT72" i="5" s="1"/>
  <c r="AP96" i="5"/>
  <c r="AR96" i="5" s="1"/>
  <c r="AP116" i="5"/>
  <c r="AS116" i="5" s="1"/>
  <c r="AP124" i="5"/>
  <c r="AS124" i="5" s="1"/>
  <c r="AP148" i="5"/>
  <c r="AR148" i="5" s="1"/>
  <c r="AP176" i="5"/>
  <c r="AR176" i="5" s="1"/>
  <c r="AP184" i="5"/>
  <c r="AS184" i="5" s="1"/>
  <c r="AP196" i="5"/>
  <c r="AS196" i="5" s="1"/>
  <c r="N107" i="7"/>
  <c r="Q107" i="7" s="1"/>
  <c r="AP117" i="5"/>
  <c r="AS117" i="5" s="1"/>
  <c r="AP121" i="5"/>
  <c r="AQ121" i="5" s="1"/>
  <c r="AP129" i="5"/>
  <c r="AQ129" i="5" s="1"/>
  <c r="AP165" i="5"/>
  <c r="AQ165" i="5" s="1"/>
  <c r="AT165" i="5" s="1"/>
  <c r="AP169" i="5"/>
  <c r="AS169" i="5" s="1"/>
  <c r="AP6" i="5"/>
  <c r="AQ6" i="5" s="1"/>
  <c r="AT6" i="5" s="1"/>
  <c r="AP42" i="5"/>
  <c r="AR42" i="5" s="1"/>
  <c r="AP70" i="5"/>
  <c r="AR70" i="5" s="1"/>
  <c r="AP94" i="5"/>
  <c r="AS94" i="5" s="1"/>
  <c r="AP102" i="5"/>
  <c r="AR102" i="5" s="1"/>
  <c r="AP142" i="5"/>
  <c r="AS142" i="5" s="1"/>
  <c r="AP146" i="5"/>
  <c r="AS146" i="5" s="1"/>
  <c r="AP178" i="5"/>
  <c r="AS178" i="5" s="1"/>
  <c r="AP182" i="5"/>
  <c r="AR182" i="5" s="1"/>
  <c r="AP19" i="5"/>
  <c r="AQ19" i="5" s="1"/>
  <c r="AT19" i="5" s="1"/>
  <c r="AP35" i="5"/>
  <c r="AR35" i="5" s="1"/>
  <c r="AP51" i="5"/>
  <c r="AS51" i="5" s="1"/>
  <c r="AP67" i="5"/>
  <c r="AR67" i="5" s="1"/>
  <c r="AP83" i="5"/>
  <c r="AR83" i="5" s="1"/>
  <c r="AP99" i="5"/>
  <c r="AR99" i="5" s="1"/>
  <c r="AP115" i="5"/>
  <c r="AR115" i="5" s="1"/>
  <c r="AP131" i="5"/>
  <c r="AR131" i="5" s="1"/>
  <c r="AP147" i="5"/>
  <c r="AS147" i="5" s="1"/>
  <c r="AP163" i="5"/>
  <c r="AS163" i="5" s="1"/>
  <c r="AP179" i="5"/>
  <c r="AS179" i="5" s="1"/>
  <c r="AP195" i="5"/>
  <c r="AQ195" i="5" s="1"/>
  <c r="AP60" i="5"/>
  <c r="AS60" i="5" s="1"/>
  <c r="AP80" i="5"/>
  <c r="AS80" i="5" s="1"/>
  <c r="AP84" i="5"/>
  <c r="AS84" i="5" s="1"/>
  <c r="AP88" i="5"/>
  <c r="AR88" i="5" s="1"/>
  <c r="AP92" i="5"/>
  <c r="AS92" i="5" s="1"/>
  <c r="AP112" i="5"/>
  <c r="AS112" i="5" s="1"/>
  <c r="AP120" i="5"/>
  <c r="AS120" i="5" s="1"/>
  <c r="AP140" i="5"/>
  <c r="AQ140" i="5" s="1"/>
  <c r="AP172" i="5"/>
  <c r="AS172" i="5" s="1"/>
  <c r="AP192" i="5"/>
  <c r="AR192" i="5" s="1"/>
  <c r="AP200" i="5"/>
  <c r="AS200" i="5" s="1"/>
  <c r="N86" i="7"/>
  <c r="Q86" i="7" s="1"/>
  <c r="N63" i="7"/>
  <c r="N95" i="7"/>
  <c r="Q95" i="7" s="1"/>
  <c r="P38" i="7"/>
  <c r="N122" i="7"/>
  <c r="Q122" i="7" s="1"/>
  <c r="P138" i="7"/>
  <c r="N162" i="7"/>
  <c r="Q162" i="7" s="1"/>
  <c r="P186" i="7"/>
  <c r="N202" i="7"/>
  <c r="P58" i="7"/>
  <c r="P120" i="7"/>
  <c r="P128" i="7"/>
  <c r="N4" i="7"/>
  <c r="Q4" i="7" s="1"/>
  <c r="N20" i="7"/>
  <c r="Q20" i="7" s="1"/>
  <c r="P36" i="7"/>
  <c r="N68" i="7"/>
  <c r="N84" i="7"/>
  <c r="P100" i="7"/>
  <c r="N148" i="7"/>
  <c r="Q148" i="7" s="1"/>
  <c r="P180" i="7"/>
  <c r="P5" i="7"/>
  <c r="N41" i="7"/>
  <c r="P81" i="7"/>
  <c r="N117" i="7"/>
  <c r="Q117" i="7" s="1"/>
  <c r="P133" i="7"/>
  <c r="P149" i="7"/>
  <c r="N181" i="7"/>
  <c r="P197" i="7"/>
  <c r="P143" i="7"/>
  <c r="P195" i="7"/>
  <c r="N159" i="7"/>
  <c r="N200" i="7"/>
  <c r="Q200" i="7" s="1"/>
  <c r="N34" i="7"/>
  <c r="Q34" i="7" s="1"/>
  <c r="P82" i="7"/>
  <c r="N178" i="7"/>
  <c r="Q178" i="7" s="1"/>
  <c r="N176" i="7"/>
  <c r="Q176" i="7" s="1"/>
  <c r="P187" i="7"/>
  <c r="P175" i="7"/>
  <c r="P147" i="7"/>
  <c r="AP141" i="5"/>
  <c r="AR141" i="5" s="1"/>
  <c r="AP145" i="5"/>
  <c r="AQ145" i="5" s="1"/>
  <c r="AT145" i="5" s="1"/>
  <c r="AP181" i="5"/>
  <c r="AS181" i="5" s="1"/>
  <c r="AP185" i="5"/>
  <c r="AQ185" i="5" s="1"/>
  <c r="AP189" i="5"/>
  <c r="AS189" i="5" s="1"/>
  <c r="AP10" i="5"/>
  <c r="AQ10" i="5" s="1"/>
  <c r="AT10" i="5" s="1"/>
  <c r="AP14" i="5"/>
  <c r="AS14" i="5" s="1"/>
  <c r="AP22" i="5"/>
  <c r="AS22" i="5" s="1"/>
  <c r="AP26" i="5"/>
  <c r="AQ26" i="5" s="1"/>
  <c r="AT26" i="5" s="1"/>
  <c r="AP46" i="5"/>
  <c r="AS46" i="5" s="1"/>
  <c r="AP50" i="5"/>
  <c r="AR50" i="5" s="1"/>
  <c r="AP54" i="5"/>
  <c r="AR54" i="5" s="1"/>
  <c r="AP74" i="5"/>
  <c r="AR74" i="5" s="1"/>
  <c r="AP106" i="5"/>
  <c r="AS106" i="5" s="1"/>
  <c r="AP154" i="5"/>
  <c r="AR154" i="5" s="1"/>
  <c r="AP186" i="5"/>
  <c r="AS186" i="5" s="1"/>
  <c r="AP7" i="5"/>
  <c r="AQ7" i="5" s="1"/>
  <c r="AP23" i="5"/>
  <c r="AQ23" i="5" s="1"/>
  <c r="AP39" i="5"/>
  <c r="AQ39" i="5" s="1"/>
  <c r="AP55" i="5"/>
  <c r="AS55" i="5" s="1"/>
  <c r="AP71" i="5"/>
  <c r="AQ71" i="5" s="1"/>
  <c r="AP87" i="5"/>
  <c r="AR87" i="5" s="1"/>
  <c r="AP103" i="5"/>
  <c r="AQ103" i="5" s="1"/>
  <c r="AP119" i="5"/>
  <c r="AR119" i="5" s="1"/>
  <c r="AP135" i="5"/>
  <c r="AQ135" i="5" s="1"/>
  <c r="AT135" i="5" s="1"/>
  <c r="AP151" i="5"/>
  <c r="AQ151" i="5" s="1"/>
  <c r="AP167" i="5"/>
  <c r="AS167" i="5" s="1"/>
  <c r="AP183" i="5"/>
  <c r="AS183" i="5" s="1"/>
  <c r="AP199" i="5"/>
  <c r="AQ199" i="5" s="1"/>
  <c r="AP4" i="5"/>
  <c r="AS4" i="5" s="1"/>
  <c r="AP16" i="5"/>
  <c r="AS16" i="5" s="1"/>
  <c r="AP24" i="5"/>
  <c r="AS24" i="5" s="1"/>
  <c r="AP28" i="5"/>
  <c r="AQ28" i="5" s="1"/>
  <c r="AP48" i="5"/>
  <c r="AQ48" i="5" s="1"/>
  <c r="AP56" i="5"/>
  <c r="AS56" i="5" s="1"/>
  <c r="AP108" i="5"/>
  <c r="AR108" i="5" s="1"/>
  <c r="AP128" i="5"/>
  <c r="AQ128" i="5" s="1"/>
  <c r="AP132" i="5"/>
  <c r="AQ132" i="5" s="1"/>
  <c r="AP136" i="5"/>
  <c r="AR136" i="5" s="1"/>
  <c r="AP160" i="5"/>
  <c r="AS160" i="5" s="1"/>
  <c r="AP164" i="5"/>
  <c r="AS164" i="5" s="1"/>
  <c r="AP168" i="5"/>
  <c r="AQ168" i="5" s="1"/>
  <c r="Y201" i="7"/>
  <c r="W201" i="7"/>
  <c r="Z201" i="7" s="1"/>
  <c r="Y89" i="7"/>
  <c r="W89" i="7"/>
  <c r="Z89" i="7" s="1"/>
  <c r="Y196" i="7"/>
  <c r="W196" i="7"/>
  <c r="Z196" i="7" s="1"/>
  <c r="Y49" i="7"/>
  <c r="W49" i="7"/>
  <c r="Z49" i="7" s="1"/>
  <c r="Y70" i="7"/>
  <c r="W70" i="7"/>
  <c r="Z70" i="7" s="1"/>
  <c r="Y166" i="7"/>
  <c r="W166" i="7"/>
  <c r="Z166" i="7" s="1"/>
  <c r="Y13" i="7"/>
  <c r="W13" i="7"/>
  <c r="Z13" i="7" s="1"/>
  <c r="Y77" i="7"/>
  <c r="W77" i="7"/>
  <c r="Z77" i="7" s="1"/>
  <c r="Y24" i="7"/>
  <c r="W24" i="7"/>
  <c r="Z24" i="7" s="1"/>
  <c r="Y40" i="7"/>
  <c r="W40" i="7"/>
  <c r="Z40" i="7" s="1"/>
  <c r="Y56" i="7"/>
  <c r="W56" i="7"/>
  <c r="Z56" i="7" s="1"/>
  <c r="Y88" i="7"/>
  <c r="W88" i="7"/>
  <c r="Z88" i="7" s="1"/>
  <c r="Y108" i="7"/>
  <c r="W108" i="7"/>
  <c r="Z108" i="7" s="1"/>
  <c r="Y152" i="7"/>
  <c r="W152" i="7"/>
  <c r="Z152" i="7" s="1"/>
  <c r="Y172" i="7"/>
  <c r="W172" i="7"/>
  <c r="Z172" i="7" s="1"/>
  <c r="Y148" i="7"/>
  <c r="W148" i="7"/>
  <c r="Z148" i="7" s="1"/>
  <c r="Y17" i="7"/>
  <c r="W17" i="7"/>
  <c r="Z17" i="7" s="1"/>
  <c r="Y113" i="7"/>
  <c r="W113" i="7"/>
  <c r="Z113" i="7" s="1"/>
  <c r="Y197" i="7"/>
  <c r="W197" i="7"/>
  <c r="Z197" i="7" s="1"/>
  <c r="Y133" i="7"/>
  <c r="W133" i="7"/>
  <c r="Z133" i="7" s="1"/>
  <c r="Y69" i="7"/>
  <c r="W69" i="7"/>
  <c r="Z69" i="7" s="1"/>
  <c r="Y25" i="7"/>
  <c r="W25" i="7"/>
  <c r="Z25" i="7" s="1"/>
  <c r="Y141" i="7"/>
  <c r="W141" i="7"/>
  <c r="Z141" i="7" s="1"/>
  <c r="Y60" i="7"/>
  <c r="W60" i="7"/>
  <c r="Z60" i="7" s="1"/>
  <c r="Y6" i="7"/>
  <c r="W6" i="7"/>
  <c r="Z6" i="7" s="1"/>
  <c r="Y102" i="7"/>
  <c r="W102" i="7"/>
  <c r="Z102" i="7" s="1"/>
  <c r="Y177" i="7"/>
  <c r="W177" i="7"/>
  <c r="Z177" i="7" s="1"/>
  <c r="Y61" i="7"/>
  <c r="W61" i="7"/>
  <c r="Z61" i="7" s="1"/>
  <c r="Y16" i="7"/>
  <c r="W16" i="7"/>
  <c r="Z16" i="7" s="1"/>
  <c r="Y32" i="7"/>
  <c r="W32" i="7"/>
  <c r="Z32" i="7" s="1"/>
  <c r="Y48" i="7"/>
  <c r="W48" i="7"/>
  <c r="Z48" i="7" s="1"/>
  <c r="Y80" i="7"/>
  <c r="W80" i="7"/>
  <c r="Z80" i="7" s="1"/>
  <c r="Y96" i="7"/>
  <c r="W96" i="7"/>
  <c r="Z96" i="7" s="1"/>
  <c r="Y120" i="7"/>
  <c r="W120" i="7"/>
  <c r="Z120" i="7" s="1"/>
  <c r="Y160" i="7"/>
  <c r="W160" i="7"/>
  <c r="Z160" i="7" s="1"/>
  <c r="Y184" i="7"/>
  <c r="W184" i="7"/>
  <c r="Z184" i="7" s="1"/>
  <c r="Y42" i="7"/>
  <c r="W42" i="7"/>
  <c r="Z42" i="7" s="1"/>
  <c r="Y106" i="7"/>
  <c r="W106" i="7"/>
  <c r="Z106" i="7" s="1"/>
  <c r="Y57" i="7"/>
  <c r="W57" i="7"/>
  <c r="Z57" i="7" s="1"/>
  <c r="Y37" i="7"/>
  <c r="W37" i="7"/>
  <c r="Z37" i="7" s="1"/>
  <c r="Y112" i="7"/>
  <c r="W112" i="7"/>
  <c r="Z112" i="7" s="1"/>
  <c r="Y38" i="7"/>
  <c r="W38" i="7"/>
  <c r="Z38" i="7" s="1"/>
  <c r="Y134" i="7"/>
  <c r="W134" i="7"/>
  <c r="Z134" i="7" s="1"/>
  <c r="Y161" i="7"/>
  <c r="W161" i="7"/>
  <c r="Z161" i="7" s="1"/>
  <c r="Y9" i="7"/>
  <c r="W9" i="7"/>
  <c r="Z9" i="7" s="1"/>
  <c r="Y73" i="7"/>
  <c r="W73" i="7"/>
  <c r="Z73" i="7" s="1"/>
  <c r="Y109" i="7"/>
  <c r="W109" i="7"/>
  <c r="Z109" i="7" s="1"/>
  <c r="Y173" i="7"/>
  <c r="W173" i="7"/>
  <c r="Z173" i="7" s="1"/>
  <c r="Y20" i="7"/>
  <c r="W20" i="7"/>
  <c r="Z20" i="7" s="1"/>
  <c r="Y84" i="7"/>
  <c r="W84" i="7"/>
  <c r="Z84" i="7" s="1"/>
  <c r="Y121" i="7"/>
  <c r="W121" i="7"/>
  <c r="Z121" i="7" s="1"/>
  <c r="Y54" i="7"/>
  <c r="W54" i="7"/>
  <c r="Z54" i="7" s="1"/>
  <c r="Y118" i="7"/>
  <c r="W118" i="7"/>
  <c r="Z118" i="7" s="1"/>
  <c r="Y198" i="7"/>
  <c r="W198" i="7"/>
  <c r="Z198" i="7" s="1"/>
  <c r="Y97" i="7"/>
  <c r="W97" i="7"/>
  <c r="Z97" i="7" s="1"/>
  <c r="Y149" i="7"/>
  <c r="W149" i="7"/>
  <c r="Z149" i="7" s="1"/>
  <c r="Y85" i="7"/>
  <c r="W85" i="7"/>
  <c r="Z85" i="7" s="1"/>
  <c r="Y5" i="7"/>
  <c r="W5" i="7"/>
  <c r="Z5" i="7" s="1"/>
  <c r="Y33" i="7"/>
  <c r="W33" i="7"/>
  <c r="Z33" i="7" s="1"/>
  <c r="BB9" i="5"/>
  <c r="BB57" i="5"/>
  <c r="B5" i="8"/>
  <c r="C5" i="8" s="1"/>
  <c r="K5" i="8"/>
  <c r="L5" i="8" s="1"/>
  <c r="AG5" i="5"/>
  <c r="AJ5" i="5" s="1"/>
  <c r="B9" i="8"/>
  <c r="C9" i="8" s="1"/>
  <c r="K9" i="8"/>
  <c r="L9" i="8" s="1"/>
  <c r="AG9" i="5"/>
  <c r="B13" i="8"/>
  <c r="C13" i="8" s="1"/>
  <c r="AC13" i="8"/>
  <c r="AD13" i="8" s="1"/>
  <c r="B17" i="8"/>
  <c r="C17" i="8" s="1"/>
  <c r="AG17" i="5"/>
  <c r="B21" i="8"/>
  <c r="C21" i="8" s="1"/>
  <c r="K21" i="8"/>
  <c r="L21" i="8" s="1"/>
  <c r="C25" i="8"/>
  <c r="D25" i="8"/>
  <c r="E25" i="8"/>
  <c r="K25" i="8"/>
  <c r="L25" i="8" s="1"/>
  <c r="AG25" i="5"/>
  <c r="AJ25" i="5" s="1"/>
  <c r="C29" i="8"/>
  <c r="E29" i="8"/>
  <c r="D29" i="8"/>
  <c r="AC29" i="8"/>
  <c r="AG29" i="5"/>
  <c r="B33" i="8"/>
  <c r="U33" i="8"/>
  <c r="C37" i="8"/>
  <c r="E37" i="8"/>
  <c r="D37" i="8"/>
  <c r="K37" i="8"/>
  <c r="L37" i="8" s="1"/>
  <c r="AG37" i="5"/>
  <c r="AJ37" i="5" s="1"/>
  <c r="C41" i="8"/>
  <c r="D41" i="8"/>
  <c r="E41" i="8"/>
  <c r="K41" i="8"/>
  <c r="AG41" i="5"/>
  <c r="AJ41" i="5" s="1"/>
  <c r="B45" i="8"/>
  <c r="AC45" i="8"/>
  <c r="AD45" i="8" s="1"/>
  <c r="B49" i="8"/>
  <c r="C49" i="8" s="1"/>
  <c r="K49" i="8"/>
  <c r="B53" i="8"/>
  <c r="C53" i="8" s="1"/>
  <c r="BI53" i="5"/>
  <c r="B57" i="8"/>
  <c r="C57" i="8" s="1"/>
  <c r="BI57" i="5"/>
  <c r="BJ57" i="5" s="1"/>
  <c r="B61" i="8"/>
  <c r="U61" i="8"/>
  <c r="B65" i="8"/>
  <c r="C65" i="8" s="1"/>
  <c r="K65" i="8"/>
  <c r="L65" i="8" s="1"/>
  <c r="BT69" i="5"/>
  <c r="BU69" i="5" s="1"/>
  <c r="AL73" i="8"/>
  <c r="AC73" i="8"/>
  <c r="AD73" i="8" s="1"/>
  <c r="BT73" i="5"/>
  <c r="K77" i="8"/>
  <c r="M77" i="8" s="1"/>
  <c r="BT77" i="5"/>
  <c r="AG81" i="5"/>
  <c r="AJ81" i="5" s="1"/>
  <c r="O81" i="5"/>
  <c r="N81" i="5"/>
  <c r="BT81" i="5"/>
  <c r="BU81" i="5" s="1"/>
  <c r="BT85" i="5"/>
  <c r="BU85" i="5" s="1"/>
  <c r="AL89" i="8"/>
  <c r="AC89" i="8"/>
  <c r="AD89" i="8" s="1"/>
  <c r="BT89" i="5"/>
  <c r="K93" i="8"/>
  <c r="L93" i="8" s="1"/>
  <c r="BT93" i="5"/>
  <c r="K97" i="8"/>
  <c r="L97" i="8" s="1"/>
  <c r="O97" i="5"/>
  <c r="N97" i="5"/>
  <c r="BT97" i="5"/>
  <c r="BU97" i="5" s="1"/>
  <c r="K101" i="8"/>
  <c r="AG101" i="5"/>
  <c r="AJ101" i="5" s="1"/>
  <c r="BT101" i="5"/>
  <c r="AL105" i="8"/>
  <c r="AM105" i="8" s="1"/>
  <c r="BT105" i="5"/>
  <c r="K109" i="8"/>
  <c r="M109" i="8" s="1"/>
  <c r="BT109" i="5"/>
  <c r="K113" i="8"/>
  <c r="L113" i="8" s="1"/>
  <c r="O113" i="5"/>
  <c r="N113" i="5"/>
  <c r="BT113" i="5"/>
  <c r="BU113" i="5" s="1"/>
  <c r="AL117" i="8"/>
  <c r="N121" i="5"/>
  <c r="O121" i="5"/>
  <c r="AC121" i="8"/>
  <c r="N125" i="5"/>
  <c r="O125" i="5"/>
  <c r="AL125" i="8"/>
  <c r="BI125" i="5"/>
  <c r="BJ125" i="5" s="1"/>
  <c r="AC129" i="8"/>
  <c r="B133" i="8"/>
  <c r="C133" i="8" s="1"/>
  <c r="U133" i="8"/>
  <c r="BI133" i="5"/>
  <c r="BJ133" i="5" s="1"/>
  <c r="B137" i="8"/>
  <c r="C137" i="8" s="1"/>
  <c r="K137" i="8"/>
  <c r="M137" i="8" s="1"/>
  <c r="BI137" i="5"/>
  <c r="BJ137" i="5" s="1"/>
  <c r="B141" i="8"/>
  <c r="C141" i="8" s="1"/>
  <c r="U141" i="8"/>
  <c r="B145" i="8"/>
  <c r="C145" i="8" s="1"/>
  <c r="U145" i="8"/>
  <c r="AR145" i="5"/>
  <c r="K149" i="8"/>
  <c r="L149" i="8" s="1"/>
  <c r="AG149" i="5"/>
  <c r="AJ149" i="5" s="1"/>
  <c r="BT149" i="5"/>
  <c r="BU149" i="5" s="1"/>
  <c r="AL153" i="8"/>
  <c r="AM153" i="8" s="1"/>
  <c r="BT153" i="5"/>
  <c r="BU153" i="5" s="1"/>
  <c r="K157" i="8"/>
  <c r="M157" i="8" s="1"/>
  <c r="BT157" i="5"/>
  <c r="BU157" i="5" s="1"/>
  <c r="AG161" i="5"/>
  <c r="AJ161" i="5" s="1"/>
  <c r="AL161" i="8"/>
  <c r="AM161" i="8" s="1"/>
  <c r="BI161" i="5"/>
  <c r="BJ161" i="5" s="1"/>
  <c r="AL165" i="8"/>
  <c r="AM165" i="8" s="1"/>
  <c r="N169" i="5"/>
  <c r="O169" i="5"/>
  <c r="AC169" i="8"/>
  <c r="AD169" i="8" s="1"/>
  <c r="O173" i="5"/>
  <c r="N173" i="5"/>
  <c r="AL173" i="8"/>
  <c r="AM173" i="8" s="1"/>
  <c r="BI173" i="5"/>
  <c r="BJ173" i="5" s="1"/>
  <c r="AG177" i="5"/>
  <c r="AJ177" i="5" s="1"/>
  <c r="AL177" i="8"/>
  <c r="AM177" i="8" s="1"/>
  <c r="BI177" i="5"/>
  <c r="BJ177" i="5" s="1"/>
  <c r="O181" i="5"/>
  <c r="N181" i="5"/>
  <c r="AC181" i="8"/>
  <c r="AD181" i="8" s="1"/>
  <c r="AG185" i="5"/>
  <c r="AJ185" i="5" s="1"/>
  <c r="U185" i="8"/>
  <c r="AG189" i="5"/>
  <c r="AJ189" i="5" s="1"/>
  <c r="AC189" i="8"/>
  <c r="AD189" i="8" s="1"/>
  <c r="B193" i="8"/>
  <c r="C193" i="8" s="1"/>
  <c r="U193" i="8"/>
  <c r="BT193" i="5"/>
  <c r="BU193" i="5" s="1"/>
  <c r="K197" i="8"/>
  <c r="L197" i="8" s="1"/>
  <c r="AG197" i="5"/>
  <c r="AJ197" i="5" s="1"/>
  <c r="BT197" i="5"/>
  <c r="BU197" i="5" s="1"/>
  <c r="AL201" i="8"/>
  <c r="AM201" i="8" s="1"/>
  <c r="BT201" i="5"/>
  <c r="BU201" i="5" s="1"/>
  <c r="AL6" i="8"/>
  <c r="AM6" i="8" s="1"/>
  <c r="AC6" i="8"/>
  <c r="AD6" i="8" s="1"/>
  <c r="B10" i="8"/>
  <c r="K10" i="8"/>
  <c r="L10" i="8" s="1"/>
  <c r="AS10" i="5"/>
  <c r="AR10" i="5"/>
  <c r="B14" i="8"/>
  <c r="C14" i="8" s="1"/>
  <c r="AC14" i="8"/>
  <c r="AD14" i="8" s="1"/>
  <c r="B18" i="8"/>
  <c r="C18" i="8" s="1"/>
  <c r="N18" i="5"/>
  <c r="O18" i="5"/>
  <c r="AG18" i="5"/>
  <c r="AJ18" i="5" s="1"/>
  <c r="B22" i="8"/>
  <c r="C22" i="8" s="1"/>
  <c r="U22" i="8"/>
  <c r="C26" i="8"/>
  <c r="D26" i="8"/>
  <c r="E26" i="8"/>
  <c r="AS26" i="5"/>
  <c r="AR26" i="5"/>
  <c r="U30" i="8"/>
  <c r="BI30" i="5"/>
  <c r="BJ30" i="5" s="1"/>
  <c r="AC34" i="8"/>
  <c r="BT34" i="5"/>
  <c r="BU34" i="5" s="1"/>
  <c r="AC38" i="8"/>
  <c r="N42" i="5"/>
  <c r="O42" i="5"/>
  <c r="K42" i="8"/>
  <c r="BT42" i="5"/>
  <c r="BU42" i="5" s="1"/>
  <c r="B46" i="8"/>
  <c r="AC46" i="8"/>
  <c r="AD46" i="8" s="1"/>
  <c r="B50" i="8"/>
  <c r="AC50" i="8"/>
  <c r="AD50" i="8" s="1"/>
  <c r="B54" i="8"/>
  <c r="U54" i="8"/>
  <c r="B58" i="8"/>
  <c r="AG58" i="5"/>
  <c r="AJ58" i="5" s="1"/>
  <c r="BT58" i="5"/>
  <c r="U62" i="8"/>
  <c r="BI62" i="5"/>
  <c r="BJ62" i="5" s="1"/>
  <c r="K66" i="8"/>
  <c r="AL66" i="8"/>
  <c r="AM66" i="8" s="1"/>
  <c r="BI66" i="5"/>
  <c r="AL70" i="8"/>
  <c r="AM70" i="8" s="1"/>
  <c r="AC70" i="8"/>
  <c r="BT70" i="5"/>
  <c r="BU70" i="5" s="1"/>
  <c r="C74" i="8"/>
  <c r="D74" i="8"/>
  <c r="E74" i="8"/>
  <c r="K74" i="8"/>
  <c r="L74" i="8" s="1"/>
  <c r="K78" i="8"/>
  <c r="L78" i="8" s="1"/>
  <c r="BI78" i="5"/>
  <c r="BJ78" i="5" s="1"/>
  <c r="U82" i="8"/>
  <c r="BT82" i="5"/>
  <c r="BU82" i="5" s="1"/>
  <c r="K86" i="8"/>
  <c r="L86" i="8" s="1"/>
  <c r="O86" i="5"/>
  <c r="N86" i="5"/>
  <c r="BI86" i="5"/>
  <c r="BJ86" i="5" s="1"/>
  <c r="AG90" i="5"/>
  <c r="AJ90" i="5" s="1"/>
  <c r="BI90" i="5"/>
  <c r="BJ90" i="5" s="1"/>
  <c r="N94" i="5"/>
  <c r="O94" i="5"/>
  <c r="AL94" i="8"/>
  <c r="AM94" i="8" s="1"/>
  <c r="K98" i="8"/>
  <c r="L98" i="8" s="1"/>
  <c r="N98" i="5"/>
  <c r="O98" i="5"/>
  <c r="BI98" i="5"/>
  <c r="BJ98" i="5" s="1"/>
  <c r="AL102" i="8"/>
  <c r="AM102" i="8" s="1"/>
  <c r="C106" i="8"/>
  <c r="D106" i="8"/>
  <c r="E106" i="8"/>
  <c r="U106" i="8"/>
  <c r="K110" i="8"/>
  <c r="BI110" i="5"/>
  <c r="BJ110" i="5" s="1"/>
  <c r="BT114" i="5"/>
  <c r="BU114" i="5" s="1"/>
  <c r="O118" i="5"/>
  <c r="N118" i="5"/>
  <c r="BI118" i="5"/>
  <c r="K122" i="8"/>
  <c r="L122" i="8" s="1"/>
  <c r="BI122" i="5"/>
  <c r="BJ122" i="5" s="1"/>
  <c r="N126" i="5"/>
  <c r="O126" i="5"/>
  <c r="AL126" i="8"/>
  <c r="AM126" i="8" s="1"/>
  <c r="BT126" i="5"/>
  <c r="K130" i="8"/>
  <c r="L130" i="8" s="1"/>
  <c r="N130" i="5"/>
  <c r="O130" i="5"/>
  <c r="BI130" i="5"/>
  <c r="BJ130" i="5" s="1"/>
  <c r="K134" i="8"/>
  <c r="AG134" i="5"/>
  <c r="AJ134" i="5" s="1"/>
  <c r="BT134" i="5"/>
  <c r="AL138" i="8"/>
  <c r="AM138" i="8" s="1"/>
  <c r="BT138" i="5"/>
  <c r="AG142" i="5"/>
  <c r="AJ142" i="5" s="1"/>
  <c r="AC142" i="8"/>
  <c r="AG146" i="5"/>
  <c r="AJ146" i="5" s="1"/>
  <c r="AL146" i="8"/>
  <c r="B150" i="8"/>
  <c r="C150" i="8" s="1"/>
  <c r="AC150" i="8"/>
  <c r="BT150" i="5"/>
  <c r="BU150" i="5" s="1"/>
  <c r="B154" i="8"/>
  <c r="U154" i="8"/>
  <c r="K158" i="8"/>
  <c r="BI158" i="5"/>
  <c r="BJ158" i="5" s="1"/>
  <c r="BT162" i="5"/>
  <c r="BU162" i="5" s="1"/>
  <c r="N166" i="5"/>
  <c r="O166" i="5"/>
  <c r="BI166" i="5"/>
  <c r="K170" i="8"/>
  <c r="L170" i="8" s="1"/>
  <c r="BI170" i="5"/>
  <c r="BJ170" i="5" s="1"/>
  <c r="N174" i="5"/>
  <c r="O174" i="5"/>
  <c r="AL174" i="8"/>
  <c r="AM174" i="8" s="1"/>
  <c r="BT174" i="5"/>
  <c r="AG178" i="5"/>
  <c r="AJ178" i="5" s="1"/>
  <c r="AL178" i="8"/>
  <c r="AL182" i="8"/>
  <c r="AM182" i="8" s="1"/>
  <c r="B186" i="8"/>
  <c r="U186" i="8"/>
  <c r="K190" i="8"/>
  <c r="BT190" i="5"/>
  <c r="BU190" i="5" s="1"/>
  <c r="BT194" i="5"/>
  <c r="BU194" i="5" s="1"/>
  <c r="K198" i="8"/>
  <c r="AG198" i="5"/>
  <c r="BI198" i="5"/>
  <c r="AL202" i="8"/>
  <c r="AM202" i="8" s="1"/>
  <c r="BI202" i="5"/>
  <c r="B7" i="8"/>
  <c r="C7" i="8" s="1"/>
  <c r="O7" i="5"/>
  <c r="N7" i="5"/>
  <c r="AC11" i="8"/>
  <c r="AD11" i="8" s="1"/>
  <c r="BT11" i="5"/>
  <c r="BU11" i="5" s="1"/>
  <c r="K15" i="8"/>
  <c r="K19" i="8"/>
  <c r="L19" i="8" s="1"/>
  <c r="AL19" i="8"/>
  <c r="B23" i="8"/>
  <c r="C23" i="8" s="1"/>
  <c r="O23" i="5"/>
  <c r="N23" i="5"/>
  <c r="AC27" i="8"/>
  <c r="AD27" i="8" s="1"/>
  <c r="BT27" i="5"/>
  <c r="BU27" i="5" s="1"/>
  <c r="K31" i="8"/>
  <c r="K35" i="8"/>
  <c r="L35" i="8" s="1"/>
  <c r="AL35" i="8"/>
  <c r="B39" i="8"/>
  <c r="C39" i="8" s="1"/>
  <c r="O39" i="5"/>
  <c r="N39" i="5"/>
  <c r="AC43" i="8"/>
  <c r="AD43" i="8" s="1"/>
  <c r="AG43" i="5"/>
  <c r="AJ43" i="5" s="1"/>
  <c r="K47" i="8"/>
  <c r="L47" i="8" s="1"/>
  <c r="BT47" i="5"/>
  <c r="BU47" i="5" s="1"/>
  <c r="K51" i="8"/>
  <c r="L51" i="8" s="1"/>
  <c r="AL51" i="8"/>
  <c r="AM51" i="8" s="1"/>
  <c r="B55" i="8"/>
  <c r="C55" i="8" s="1"/>
  <c r="O55" i="5"/>
  <c r="N55" i="5"/>
  <c r="AC59" i="8"/>
  <c r="AD59" i="8" s="1"/>
  <c r="AG59" i="5"/>
  <c r="AJ59" i="5" s="1"/>
  <c r="BT59" i="5"/>
  <c r="BU59" i="5" s="1"/>
  <c r="K63" i="8"/>
  <c r="L63" i="8" s="1"/>
  <c r="BT63" i="5"/>
  <c r="BU63" i="5" s="1"/>
  <c r="K67" i="8"/>
  <c r="L67" i="8" s="1"/>
  <c r="AL67" i="8"/>
  <c r="AM67" i="8" s="1"/>
  <c r="B71" i="8"/>
  <c r="C71" i="8" s="1"/>
  <c r="O71" i="5"/>
  <c r="N71" i="5"/>
  <c r="AC75" i="8"/>
  <c r="AD75" i="8" s="1"/>
  <c r="AG75" i="5"/>
  <c r="AJ75" i="5" s="1"/>
  <c r="BT75" i="5"/>
  <c r="BU75" i="5" s="1"/>
  <c r="K79" i="8"/>
  <c r="L79" i="8" s="1"/>
  <c r="BI79" i="5"/>
  <c r="BJ79" i="5" s="1"/>
  <c r="K83" i="8"/>
  <c r="M83" i="8" s="1"/>
  <c r="AL83" i="8"/>
  <c r="AM83" i="8" s="1"/>
  <c r="B87" i="8"/>
  <c r="C87" i="8" s="1"/>
  <c r="O87" i="5"/>
  <c r="N87" i="5"/>
  <c r="AC91" i="8"/>
  <c r="AD91" i="8" s="1"/>
  <c r="AG91" i="5"/>
  <c r="AJ91" i="5" s="1"/>
  <c r="K95" i="8"/>
  <c r="L95" i="8" s="1"/>
  <c r="K99" i="8"/>
  <c r="L99" i="8" s="1"/>
  <c r="O99" i="5"/>
  <c r="N99" i="5"/>
  <c r="B103" i="8"/>
  <c r="C103" i="8" s="1"/>
  <c r="AL103" i="8"/>
  <c r="AM103" i="8" s="1"/>
  <c r="AC107" i="8"/>
  <c r="AD107" i="8" s="1"/>
  <c r="AG107" i="5"/>
  <c r="AJ107" i="5" s="1"/>
  <c r="BT107" i="5"/>
  <c r="BU107" i="5" s="1"/>
  <c r="K111" i="8"/>
  <c r="L111" i="8" s="1"/>
  <c r="BI111" i="5"/>
  <c r="BJ111" i="5" s="1"/>
  <c r="K115" i="8"/>
  <c r="L115" i="8" s="1"/>
  <c r="O115" i="5"/>
  <c r="N115" i="5"/>
  <c r="B119" i="8"/>
  <c r="C119" i="8" s="1"/>
  <c r="AL119" i="8"/>
  <c r="AM119" i="8" s="1"/>
  <c r="AC123" i="8"/>
  <c r="AD123" i="8" s="1"/>
  <c r="AG123" i="5"/>
  <c r="AJ123" i="5" s="1"/>
  <c r="BT123" i="5"/>
  <c r="BU123" i="5" s="1"/>
  <c r="K127" i="8"/>
  <c r="L127" i="8" s="1"/>
  <c r="BI127" i="5"/>
  <c r="BJ127" i="5" s="1"/>
  <c r="K131" i="8"/>
  <c r="M131" i="8" s="1"/>
  <c r="O131" i="5"/>
  <c r="N131" i="5"/>
  <c r="B135" i="8"/>
  <c r="C135" i="8" s="1"/>
  <c r="AL135" i="8"/>
  <c r="AC139" i="8"/>
  <c r="AD139" i="8" s="1"/>
  <c r="BT139" i="5"/>
  <c r="BU139" i="5" s="1"/>
  <c r="K143" i="8"/>
  <c r="BT143" i="5"/>
  <c r="BU143" i="5" s="1"/>
  <c r="K147" i="8"/>
  <c r="O147" i="5"/>
  <c r="N147" i="5"/>
  <c r="B151" i="8"/>
  <c r="AL151" i="8"/>
  <c r="AM151" i="8" s="1"/>
  <c r="AC155" i="8"/>
  <c r="AG155" i="5"/>
  <c r="AJ155" i="5" s="1"/>
  <c r="BT155" i="5"/>
  <c r="K159" i="8"/>
  <c r="M159" i="8" s="1"/>
  <c r="BI159" i="5"/>
  <c r="K163" i="8"/>
  <c r="M163" i="8" s="1"/>
  <c r="O163" i="5"/>
  <c r="N163" i="5"/>
  <c r="B167" i="8"/>
  <c r="AL167" i="8"/>
  <c r="AC171" i="8"/>
  <c r="AD171" i="8" s="1"/>
  <c r="BT171" i="5"/>
  <c r="BU171" i="5" s="1"/>
  <c r="K175" i="8"/>
  <c r="M175" i="8" s="1"/>
  <c r="BI175" i="5"/>
  <c r="BJ175" i="5" s="1"/>
  <c r="K179" i="8"/>
  <c r="M179" i="8" s="1"/>
  <c r="O179" i="5"/>
  <c r="N179" i="5"/>
  <c r="B183" i="8"/>
  <c r="AL183" i="8"/>
  <c r="AM183" i="8" s="1"/>
  <c r="AC187" i="8"/>
  <c r="AG187" i="5"/>
  <c r="AJ187" i="5" s="1"/>
  <c r="BT187" i="5"/>
  <c r="K191" i="8"/>
  <c r="M191" i="8" s="1"/>
  <c r="BI191" i="5"/>
  <c r="K195" i="8"/>
  <c r="M195" i="8" s="1"/>
  <c r="O195" i="5"/>
  <c r="N195" i="5"/>
  <c r="BC195" i="5"/>
  <c r="BB195" i="5"/>
  <c r="B199" i="8"/>
  <c r="AL199" i="8"/>
  <c r="AM199" i="8" s="1"/>
  <c r="AC3" i="8"/>
  <c r="AG3" i="5"/>
  <c r="BT3" i="5"/>
  <c r="K4" i="8"/>
  <c r="L4" i="8" s="1"/>
  <c r="K8" i="8"/>
  <c r="BI8" i="5"/>
  <c r="BJ8" i="5" s="1"/>
  <c r="B12" i="8"/>
  <c r="AL12" i="8"/>
  <c r="AM12" i="8" s="1"/>
  <c r="AC16" i="8"/>
  <c r="AD16" i="8" s="1"/>
  <c r="BI16" i="5"/>
  <c r="AC20" i="8"/>
  <c r="AD20" i="8" s="1"/>
  <c r="BI20" i="5"/>
  <c r="BT20" i="5"/>
  <c r="BU20" i="5" s="1"/>
  <c r="AC24" i="8"/>
  <c r="BC24" i="5"/>
  <c r="BB24" i="5"/>
  <c r="O28" i="5"/>
  <c r="N28" i="5"/>
  <c r="K32" i="8"/>
  <c r="BT32" i="5"/>
  <c r="BU32" i="5" s="1"/>
  <c r="K36" i="8"/>
  <c r="AG36" i="5"/>
  <c r="AJ36" i="5" s="1"/>
  <c r="K40" i="8"/>
  <c r="BT40" i="5"/>
  <c r="BU40" i="5" s="1"/>
  <c r="B44" i="8"/>
  <c r="AL44" i="8"/>
  <c r="AM44" i="8" s="1"/>
  <c r="AC48" i="8"/>
  <c r="AD48" i="8" s="1"/>
  <c r="BI48" i="5"/>
  <c r="AC52" i="8"/>
  <c r="AD52" i="8" s="1"/>
  <c r="BI52" i="5"/>
  <c r="BT52" i="5"/>
  <c r="BU52" i="5" s="1"/>
  <c r="AC56" i="8"/>
  <c r="U60" i="8"/>
  <c r="O60" i="5"/>
  <c r="N60" i="5"/>
  <c r="BI60" i="5"/>
  <c r="BJ60" i="5" s="1"/>
  <c r="K64" i="8"/>
  <c r="K68" i="8"/>
  <c r="L68" i="8" s="1"/>
  <c r="AL68" i="8"/>
  <c r="BT68" i="5"/>
  <c r="BU68" i="5" s="1"/>
  <c r="K72" i="8"/>
  <c r="AL72" i="8"/>
  <c r="AM72" i="8" s="1"/>
  <c r="BT72" i="5"/>
  <c r="B76" i="8"/>
  <c r="C76" i="8" s="1"/>
  <c r="AL76" i="8"/>
  <c r="AC80" i="8"/>
  <c r="AD80" i="8" s="1"/>
  <c r="N80" i="5"/>
  <c r="O80" i="5"/>
  <c r="BT80" i="5"/>
  <c r="BU80" i="5" s="1"/>
  <c r="AC84" i="8"/>
  <c r="N84" i="5"/>
  <c r="O84" i="5"/>
  <c r="AC88" i="8"/>
  <c r="N88" i="5"/>
  <c r="O88" i="5"/>
  <c r="BT88" i="5"/>
  <c r="U92" i="8"/>
  <c r="BI92" i="5"/>
  <c r="BJ92" i="5" s="1"/>
  <c r="K96" i="8"/>
  <c r="K100" i="8"/>
  <c r="L100" i="8" s="1"/>
  <c r="BI100" i="5"/>
  <c r="BJ100" i="5" s="1"/>
  <c r="K104" i="8"/>
  <c r="AG104" i="5"/>
  <c r="BT104" i="5"/>
  <c r="B108" i="8"/>
  <c r="C108" i="8" s="1"/>
  <c r="AL108" i="8"/>
  <c r="AC112" i="8"/>
  <c r="AD112" i="8" s="1"/>
  <c r="N112" i="5"/>
  <c r="O112" i="5"/>
  <c r="AC116" i="8"/>
  <c r="AD116" i="8" s="1"/>
  <c r="N116" i="5"/>
  <c r="O116" i="5"/>
  <c r="BT116" i="5"/>
  <c r="BU116" i="5" s="1"/>
  <c r="AC120" i="8"/>
  <c r="N120" i="5"/>
  <c r="O120" i="5"/>
  <c r="AG124" i="5"/>
  <c r="AJ124" i="5" s="1"/>
  <c r="BI124" i="5"/>
  <c r="U128" i="8"/>
  <c r="U132" i="8"/>
  <c r="K140" i="8"/>
  <c r="L140" i="8" s="1"/>
  <c r="B144" i="8"/>
  <c r="AL144" i="8"/>
  <c r="AM144" i="8" s="1"/>
  <c r="BI144" i="5"/>
  <c r="B148" i="8"/>
  <c r="C148" i="8" s="1"/>
  <c r="AL148" i="8"/>
  <c r="BI148" i="5"/>
  <c r="BJ148" i="5" s="1"/>
  <c r="B152" i="8"/>
  <c r="AL152" i="8"/>
  <c r="AM152" i="8" s="1"/>
  <c r="BI152" i="5"/>
  <c r="AC156" i="8"/>
  <c r="AD156" i="8" s="1"/>
  <c r="O156" i="5"/>
  <c r="N156" i="5"/>
  <c r="BT156" i="5"/>
  <c r="BU156" i="5" s="1"/>
  <c r="AG160" i="5"/>
  <c r="AJ160" i="5" s="1"/>
  <c r="U168" i="8"/>
  <c r="K172" i="8"/>
  <c r="B176" i="8"/>
  <c r="C176" i="8" s="1"/>
  <c r="AL176" i="8"/>
  <c r="BI176" i="5"/>
  <c r="BJ176" i="5" s="1"/>
  <c r="C180" i="8"/>
  <c r="D180" i="8"/>
  <c r="E180" i="8"/>
  <c r="AL180" i="8"/>
  <c r="AM180" i="8" s="1"/>
  <c r="BI180" i="5"/>
  <c r="BJ180" i="5" s="1"/>
  <c r="B184" i="8"/>
  <c r="C184" i="8" s="1"/>
  <c r="AL184" i="8"/>
  <c r="AM184" i="8" s="1"/>
  <c r="BT184" i="5"/>
  <c r="BU184" i="5" s="1"/>
  <c r="B188" i="8"/>
  <c r="C188" i="8" s="1"/>
  <c r="AL188" i="8"/>
  <c r="AM188" i="8" s="1"/>
  <c r="BT188" i="5"/>
  <c r="BU188" i="5" s="1"/>
  <c r="AC192" i="8"/>
  <c r="AD192" i="8" s="1"/>
  <c r="N192" i="5"/>
  <c r="O192" i="5"/>
  <c r="AC196" i="8"/>
  <c r="AD196" i="8" s="1"/>
  <c r="O196" i="5"/>
  <c r="N196" i="5"/>
  <c r="BT196" i="5"/>
  <c r="BU196" i="5" s="1"/>
  <c r="AC200" i="8"/>
  <c r="AD200" i="8" s="1"/>
  <c r="N200" i="5"/>
  <c r="O200" i="5"/>
  <c r="N5" i="5"/>
  <c r="O5" i="5"/>
  <c r="U5" i="8"/>
  <c r="O9" i="5"/>
  <c r="N9" i="5"/>
  <c r="U9" i="8"/>
  <c r="N13" i="5"/>
  <c r="O13" i="5"/>
  <c r="AL13" i="8"/>
  <c r="AM13" i="8" s="1"/>
  <c r="AL17" i="8"/>
  <c r="AM17" i="8" s="1"/>
  <c r="AC17" i="8"/>
  <c r="AD17" i="8" s="1"/>
  <c r="N21" i="5"/>
  <c r="O21" i="5"/>
  <c r="U21" i="8"/>
  <c r="O25" i="5"/>
  <c r="N25" i="5"/>
  <c r="U25" i="8"/>
  <c r="N29" i="5"/>
  <c r="O29" i="5"/>
  <c r="AL29" i="8"/>
  <c r="AM29" i="8" s="1"/>
  <c r="AL33" i="8"/>
  <c r="AM33" i="8" s="1"/>
  <c r="AC33" i="8"/>
  <c r="AD33" i="8" s="1"/>
  <c r="N37" i="5"/>
  <c r="O37" i="5"/>
  <c r="U37" i="8"/>
  <c r="N41" i="5"/>
  <c r="O41" i="5"/>
  <c r="U41" i="8"/>
  <c r="N45" i="5"/>
  <c r="O45" i="5"/>
  <c r="AL45" i="8"/>
  <c r="AM45" i="8" s="1"/>
  <c r="AL49" i="8"/>
  <c r="AM49" i="8" s="1"/>
  <c r="U49" i="8"/>
  <c r="N53" i="5"/>
  <c r="O53" i="5"/>
  <c r="K53" i="8"/>
  <c r="L53" i="8" s="1"/>
  <c r="N57" i="5"/>
  <c r="O57" i="5"/>
  <c r="K57" i="8"/>
  <c r="L57" i="8" s="1"/>
  <c r="AG61" i="5"/>
  <c r="AJ61" i="5" s="1"/>
  <c r="AC61" i="8"/>
  <c r="AD61" i="8" s="1"/>
  <c r="AL65" i="8"/>
  <c r="AM65" i="8" s="1"/>
  <c r="U65" i="8"/>
  <c r="B69" i="8"/>
  <c r="C69" i="8" s="1"/>
  <c r="K69" i="8"/>
  <c r="L69" i="8" s="1"/>
  <c r="BI69" i="5"/>
  <c r="BJ69" i="5" s="1"/>
  <c r="B73" i="8"/>
  <c r="C73" i="8" s="1"/>
  <c r="BI73" i="5"/>
  <c r="BJ73" i="5" s="1"/>
  <c r="N77" i="8"/>
  <c r="B77" i="8"/>
  <c r="U77" i="8"/>
  <c r="B81" i="8"/>
  <c r="C81" i="8" s="1"/>
  <c r="K81" i="8"/>
  <c r="M81" i="8" s="1"/>
  <c r="B85" i="8"/>
  <c r="C85" i="8" s="1"/>
  <c r="K85" i="8"/>
  <c r="L85" i="8" s="1"/>
  <c r="BI85" i="5"/>
  <c r="BJ85" i="5" s="1"/>
  <c r="B89" i="8"/>
  <c r="C89" i="8" s="1"/>
  <c r="BI89" i="5"/>
  <c r="BJ89" i="5" s="1"/>
  <c r="B93" i="8"/>
  <c r="C93" i="8" s="1"/>
  <c r="U93" i="8"/>
  <c r="B97" i="8"/>
  <c r="C97" i="8" s="1"/>
  <c r="U97" i="8"/>
  <c r="C101" i="8"/>
  <c r="D101" i="8"/>
  <c r="E101" i="8"/>
  <c r="U101" i="8"/>
  <c r="BI101" i="5"/>
  <c r="B105" i="8"/>
  <c r="K105" i="8"/>
  <c r="M105" i="8" s="1"/>
  <c r="BI105" i="5"/>
  <c r="BJ105" i="5" s="1"/>
  <c r="B109" i="8"/>
  <c r="C109" i="8" s="1"/>
  <c r="U109" i="8"/>
  <c r="B113" i="8"/>
  <c r="C113" i="8" s="1"/>
  <c r="U113" i="8"/>
  <c r="K117" i="8"/>
  <c r="L117" i="8" s="1"/>
  <c r="AG117" i="5"/>
  <c r="AJ117" i="5" s="1"/>
  <c r="BT117" i="5"/>
  <c r="BU117" i="5" s="1"/>
  <c r="AL121" i="8"/>
  <c r="AM121" i="8" s="1"/>
  <c r="BT121" i="5"/>
  <c r="BU121" i="5" s="1"/>
  <c r="K125" i="8"/>
  <c r="L125" i="8" s="1"/>
  <c r="BT125" i="5"/>
  <c r="BU125" i="5" s="1"/>
  <c r="AG129" i="5"/>
  <c r="AJ129" i="5" s="1"/>
  <c r="AL129" i="8"/>
  <c r="AM129" i="8" s="1"/>
  <c r="BI129" i="5"/>
  <c r="BJ129" i="5" s="1"/>
  <c r="N133" i="5"/>
  <c r="O133" i="5"/>
  <c r="AC133" i="8"/>
  <c r="AD133" i="8" s="1"/>
  <c r="AG137" i="5"/>
  <c r="AJ137" i="5" s="1"/>
  <c r="U137" i="8"/>
  <c r="AR137" i="5"/>
  <c r="AG141" i="5"/>
  <c r="AJ141" i="5" s="1"/>
  <c r="AC141" i="8"/>
  <c r="AD141" i="8" s="1"/>
  <c r="AC145" i="8"/>
  <c r="AD145" i="8" s="1"/>
  <c r="B149" i="8"/>
  <c r="C149" i="8" s="1"/>
  <c r="U149" i="8"/>
  <c r="BI149" i="5"/>
  <c r="BJ149" i="5" s="1"/>
  <c r="B153" i="8"/>
  <c r="K153" i="8"/>
  <c r="M153" i="8" s="1"/>
  <c r="BI153" i="5"/>
  <c r="B157" i="8"/>
  <c r="C157" i="8" s="1"/>
  <c r="U157" i="8"/>
  <c r="K161" i="8"/>
  <c r="M161" i="8" s="1"/>
  <c r="N161" i="5"/>
  <c r="O161" i="5"/>
  <c r="BT161" i="5"/>
  <c r="BU161" i="5" s="1"/>
  <c r="K165" i="8"/>
  <c r="L165" i="8" s="1"/>
  <c r="AG165" i="5"/>
  <c r="AJ165" i="5" s="1"/>
  <c r="BT165" i="5"/>
  <c r="BU165" i="5" s="1"/>
  <c r="AL169" i="8"/>
  <c r="AM169" i="8" s="1"/>
  <c r="BT169" i="5"/>
  <c r="BU169" i="5" s="1"/>
  <c r="K173" i="8"/>
  <c r="M173" i="8" s="1"/>
  <c r="BT173" i="5"/>
  <c r="BU173" i="5" s="1"/>
  <c r="K177" i="8"/>
  <c r="L177" i="8" s="1"/>
  <c r="N177" i="5"/>
  <c r="O177" i="5"/>
  <c r="BT177" i="5"/>
  <c r="BU177" i="5" s="1"/>
  <c r="AL181" i="8"/>
  <c r="AM181" i="8" s="1"/>
  <c r="N185" i="5"/>
  <c r="O185" i="5"/>
  <c r="AC185" i="8"/>
  <c r="AD185" i="8" s="1"/>
  <c r="N189" i="5"/>
  <c r="O189" i="5"/>
  <c r="AL189" i="8"/>
  <c r="AM189" i="8" s="1"/>
  <c r="AC193" i="8"/>
  <c r="AD193" i="8" s="1"/>
  <c r="B197" i="8"/>
  <c r="C197" i="8" s="1"/>
  <c r="U197" i="8"/>
  <c r="BI197" i="5"/>
  <c r="BJ197" i="5" s="1"/>
  <c r="B201" i="8"/>
  <c r="C201" i="8" s="1"/>
  <c r="K201" i="8"/>
  <c r="L201" i="8" s="1"/>
  <c r="BI201" i="5"/>
  <c r="BJ201" i="5" s="1"/>
  <c r="O6" i="5"/>
  <c r="N6" i="5"/>
  <c r="BI6" i="5"/>
  <c r="BJ6" i="5" s="1"/>
  <c r="N10" i="5"/>
  <c r="O10" i="5"/>
  <c r="U10" i="8"/>
  <c r="O14" i="5"/>
  <c r="N14" i="5"/>
  <c r="AL14" i="8"/>
  <c r="AM14" i="8" s="1"/>
  <c r="BT14" i="5"/>
  <c r="BU14" i="5" s="1"/>
  <c r="K18" i="8"/>
  <c r="L18" i="8" s="1"/>
  <c r="AL18" i="8"/>
  <c r="AM18" i="8" s="1"/>
  <c r="AL22" i="8"/>
  <c r="AM22" i="8" s="1"/>
  <c r="AC22" i="8"/>
  <c r="AD22" i="8" s="1"/>
  <c r="BT22" i="5"/>
  <c r="BU22" i="5" s="1"/>
  <c r="N26" i="5"/>
  <c r="O26" i="5"/>
  <c r="K26" i="8"/>
  <c r="L26" i="8" s="1"/>
  <c r="C30" i="8"/>
  <c r="D30" i="8"/>
  <c r="E30" i="8"/>
  <c r="AC30" i="8"/>
  <c r="C34" i="8"/>
  <c r="E34" i="8"/>
  <c r="D34" i="8"/>
  <c r="N34" i="5"/>
  <c r="O34" i="5"/>
  <c r="AS34" i="5"/>
  <c r="AR34" i="5"/>
  <c r="AG38" i="5"/>
  <c r="AJ38" i="5" s="1"/>
  <c r="O38" i="5"/>
  <c r="N38" i="5"/>
  <c r="BI38" i="5"/>
  <c r="BJ38" i="5" s="1"/>
  <c r="AG42" i="5"/>
  <c r="AJ42" i="5" s="1"/>
  <c r="U42" i="8"/>
  <c r="N46" i="5"/>
  <c r="O46" i="5"/>
  <c r="AL46" i="8"/>
  <c r="AM46" i="8" s="1"/>
  <c r="BT46" i="5"/>
  <c r="BU46" i="5" s="1"/>
  <c r="AG50" i="5"/>
  <c r="AJ50" i="5" s="1"/>
  <c r="N50" i="5"/>
  <c r="O50" i="5"/>
  <c r="AL54" i="8"/>
  <c r="AM54" i="8" s="1"/>
  <c r="AC54" i="8"/>
  <c r="AD54" i="8" s="1"/>
  <c r="BT54" i="5"/>
  <c r="BU54" i="5" s="1"/>
  <c r="N58" i="5"/>
  <c r="O58" i="5"/>
  <c r="K58" i="8"/>
  <c r="L58" i="8" s="1"/>
  <c r="B62" i="8"/>
  <c r="C62" i="8" s="1"/>
  <c r="AC62" i="8"/>
  <c r="AD62" i="8" s="1"/>
  <c r="U66" i="8"/>
  <c r="BT66" i="5"/>
  <c r="BU66" i="5" s="1"/>
  <c r="AG70" i="5"/>
  <c r="AJ70" i="5" s="1"/>
  <c r="N74" i="5"/>
  <c r="O74" i="5"/>
  <c r="U74" i="8"/>
  <c r="BT74" i="5"/>
  <c r="BU74" i="5" s="1"/>
  <c r="B78" i="8"/>
  <c r="C78" i="8" s="1"/>
  <c r="U78" i="8"/>
  <c r="B82" i="8"/>
  <c r="C82" i="8" s="1"/>
  <c r="AC82" i="8"/>
  <c r="AD82" i="8" s="1"/>
  <c r="B86" i="8"/>
  <c r="C86" i="8" s="1"/>
  <c r="U86" i="8"/>
  <c r="BT86" i="5"/>
  <c r="BU86" i="5" s="1"/>
  <c r="B90" i="8"/>
  <c r="C90" i="8" s="1"/>
  <c r="K90" i="8"/>
  <c r="L90" i="8" s="1"/>
  <c r="K94" i="8"/>
  <c r="L94" i="8" s="1"/>
  <c r="BI94" i="5"/>
  <c r="BJ94" i="5" s="1"/>
  <c r="U98" i="8"/>
  <c r="BT98" i="5"/>
  <c r="BU98" i="5" s="1"/>
  <c r="K102" i="8"/>
  <c r="L102" i="8" s="1"/>
  <c r="AG102" i="5"/>
  <c r="AJ102" i="5" s="1"/>
  <c r="BT102" i="5"/>
  <c r="BU102" i="5" s="1"/>
  <c r="N106" i="5"/>
  <c r="O106" i="5"/>
  <c r="AC106" i="8"/>
  <c r="AD106" i="8" s="1"/>
  <c r="C110" i="8"/>
  <c r="E110" i="8"/>
  <c r="D110" i="8"/>
  <c r="U110" i="8"/>
  <c r="B114" i="8"/>
  <c r="AC114" i="8"/>
  <c r="AD114" i="8" s="1"/>
  <c r="B118" i="8"/>
  <c r="AC118" i="8"/>
  <c r="AD118" i="8" s="1"/>
  <c r="B122" i="8"/>
  <c r="U122" i="8"/>
  <c r="BT122" i="5"/>
  <c r="K126" i="8"/>
  <c r="L126" i="8" s="1"/>
  <c r="BI126" i="5"/>
  <c r="U130" i="8"/>
  <c r="BT130" i="5"/>
  <c r="U134" i="8"/>
  <c r="O134" i="5"/>
  <c r="N134" i="5"/>
  <c r="BI134" i="5"/>
  <c r="BJ134" i="5" s="1"/>
  <c r="K138" i="8"/>
  <c r="AG138" i="5"/>
  <c r="AJ138" i="5" s="1"/>
  <c r="BI138" i="5"/>
  <c r="O142" i="5"/>
  <c r="N142" i="5"/>
  <c r="AL142" i="8"/>
  <c r="BT142" i="5"/>
  <c r="BU142" i="5" s="1"/>
  <c r="K146" i="8"/>
  <c r="N146" i="5"/>
  <c r="O146" i="5"/>
  <c r="BI146" i="5"/>
  <c r="AL150" i="8"/>
  <c r="AM150" i="8" s="1"/>
  <c r="N154" i="5"/>
  <c r="O154" i="5"/>
  <c r="AC154" i="8"/>
  <c r="AD154" i="8" s="1"/>
  <c r="B158" i="8"/>
  <c r="U158" i="8"/>
  <c r="BT158" i="5"/>
  <c r="B162" i="8"/>
  <c r="C162" i="8" s="1"/>
  <c r="AC162" i="8"/>
  <c r="B166" i="8"/>
  <c r="C166" i="8" s="1"/>
  <c r="AC166" i="8"/>
  <c r="B170" i="8"/>
  <c r="C170" i="8" s="1"/>
  <c r="K174" i="8"/>
  <c r="L174" i="8" s="1"/>
  <c r="BI174" i="5"/>
  <c r="K178" i="8"/>
  <c r="L178" i="8" s="1"/>
  <c r="N178" i="5"/>
  <c r="O178" i="5"/>
  <c r="BI178" i="5"/>
  <c r="BJ178" i="5" s="1"/>
  <c r="K182" i="8"/>
  <c r="AG182" i="5"/>
  <c r="AJ182" i="5" s="1"/>
  <c r="BI182" i="5"/>
  <c r="O186" i="5"/>
  <c r="N186" i="5"/>
  <c r="AC186" i="8"/>
  <c r="B190" i="8"/>
  <c r="C190" i="8" s="1"/>
  <c r="C194" i="8"/>
  <c r="E194" i="8"/>
  <c r="D194" i="8"/>
  <c r="AC194" i="8"/>
  <c r="AD194" i="8" s="1"/>
  <c r="U198" i="8"/>
  <c r="N198" i="5"/>
  <c r="O198" i="5"/>
  <c r="BT198" i="5"/>
  <c r="BU198" i="5" s="1"/>
  <c r="K202" i="8"/>
  <c r="L202" i="8" s="1"/>
  <c r="AG202" i="5"/>
  <c r="AJ202" i="5" s="1"/>
  <c r="BT202" i="5"/>
  <c r="BU202" i="5" s="1"/>
  <c r="K7" i="8"/>
  <c r="L7" i="8" s="1"/>
  <c r="AL7" i="8"/>
  <c r="AM7" i="8" s="1"/>
  <c r="B11" i="8"/>
  <c r="N11" i="5"/>
  <c r="O11" i="5"/>
  <c r="U15" i="8"/>
  <c r="AG15" i="5"/>
  <c r="AJ15" i="5" s="1"/>
  <c r="BT15" i="5"/>
  <c r="BU15" i="5" s="1"/>
  <c r="U19" i="8"/>
  <c r="BI19" i="5"/>
  <c r="BJ19" i="5" s="1"/>
  <c r="K23" i="8"/>
  <c r="L23" i="8" s="1"/>
  <c r="AL23" i="8"/>
  <c r="AM23" i="8" s="1"/>
  <c r="B27" i="8"/>
  <c r="C27" i="8" s="1"/>
  <c r="N27" i="5"/>
  <c r="O27" i="5"/>
  <c r="U31" i="8"/>
  <c r="AG31" i="5"/>
  <c r="AJ31" i="5" s="1"/>
  <c r="BT31" i="5"/>
  <c r="BU31" i="5" s="1"/>
  <c r="U35" i="8"/>
  <c r="BT35" i="5"/>
  <c r="BU35" i="5" s="1"/>
  <c r="K39" i="8"/>
  <c r="AL39" i="8"/>
  <c r="AM39" i="8" s="1"/>
  <c r="B43" i="8"/>
  <c r="C43" i="8" s="1"/>
  <c r="N43" i="5"/>
  <c r="O43" i="5"/>
  <c r="U47" i="8"/>
  <c r="AG47" i="5"/>
  <c r="AJ47" i="5" s="1"/>
  <c r="U51" i="8"/>
  <c r="BT51" i="5"/>
  <c r="BU51" i="5" s="1"/>
  <c r="K55" i="8"/>
  <c r="L55" i="8" s="1"/>
  <c r="AL55" i="8"/>
  <c r="AM55" i="8" s="1"/>
  <c r="B59" i="8"/>
  <c r="C59" i="8" s="1"/>
  <c r="N59" i="5"/>
  <c r="O59" i="5"/>
  <c r="U63" i="8"/>
  <c r="AG63" i="5"/>
  <c r="AJ63" i="5" s="1"/>
  <c r="U67" i="8"/>
  <c r="BI67" i="5"/>
  <c r="BJ67" i="5" s="1"/>
  <c r="K71" i="8"/>
  <c r="L71" i="8" s="1"/>
  <c r="AL71" i="8"/>
  <c r="AM71" i="8" s="1"/>
  <c r="B75" i="8"/>
  <c r="C75" i="8" s="1"/>
  <c r="N75" i="5"/>
  <c r="O75" i="5"/>
  <c r="U79" i="8"/>
  <c r="AG79" i="5"/>
  <c r="AJ79" i="5" s="1"/>
  <c r="U83" i="8"/>
  <c r="BI83" i="5"/>
  <c r="BJ83" i="5" s="1"/>
  <c r="K87" i="8"/>
  <c r="L87" i="8" s="1"/>
  <c r="AL87" i="8"/>
  <c r="AM87" i="8" s="1"/>
  <c r="C91" i="8"/>
  <c r="D91" i="8"/>
  <c r="E91" i="8"/>
  <c r="N91" i="5"/>
  <c r="O91" i="5"/>
  <c r="AG95" i="5"/>
  <c r="AJ95" i="5" s="1"/>
  <c r="BT95" i="5"/>
  <c r="U99" i="8"/>
  <c r="BT99" i="5"/>
  <c r="K103" i="8"/>
  <c r="L103" i="8" s="1"/>
  <c r="O103" i="5"/>
  <c r="N103" i="5"/>
  <c r="C107" i="8"/>
  <c r="D107" i="8"/>
  <c r="E107" i="8"/>
  <c r="AL107" i="8"/>
  <c r="AM107" i="8" s="1"/>
  <c r="U111" i="8"/>
  <c r="AG111" i="5"/>
  <c r="AJ111" i="5" s="1"/>
  <c r="BT111" i="5"/>
  <c r="BU111" i="5" s="1"/>
  <c r="U115" i="8"/>
  <c r="BT115" i="5"/>
  <c r="BU115" i="5" s="1"/>
  <c r="K119" i="8"/>
  <c r="L119" i="8" s="1"/>
  <c r="O119" i="5"/>
  <c r="N119" i="5"/>
  <c r="B123" i="8"/>
  <c r="C123" i="8" s="1"/>
  <c r="AL123" i="8"/>
  <c r="U127" i="8"/>
  <c r="BT127" i="5"/>
  <c r="BU127" i="5" s="1"/>
  <c r="BI131" i="5"/>
  <c r="BJ131" i="5" s="1"/>
  <c r="K135" i="8"/>
  <c r="M135" i="8" s="1"/>
  <c r="O135" i="5"/>
  <c r="N135" i="5"/>
  <c r="B139" i="8"/>
  <c r="C139" i="8" s="1"/>
  <c r="AL139" i="8"/>
  <c r="AM139" i="8" s="1"/>
  <c r="U143" i="8"/>
  <c r="AG143" i="5"/>
  <c r="AJ143" i="5" s="1"/>
  <c r="BI143" i="5"/>
  <c r="BJ143" i="5" s="1"/>
  <c r="U147" i="8"/>
  <c r="BI147" i="5"/>
  <c r="BJ147" i="5" s="1"/>
  <c r="K151" i="8"/>
  <c r="L151" i="8" s="1"/>
  <c r="O151" i="5"/>
  <c r="N151" i="5"/>
  <c r="C155" i="8"/>
  <c r="D155" i="8"/>
  <c r="E155" i="8"/>
  <c r="AL155" i="8"/>
  <c r="AM155" i="8" s="1"/>
  <c r="AG159" i="5"/>
  <c r="AJ159" i="5" s="1"/>
  <c r="BT159" i="5"/>
  <c r="U163" i="8"/>
  <c r="BT163" i="5"/>
  <c r="K167" i="8"/>
  <c r="M167" i="8" s="1"/>
  <c r="O167" i="5"/>
  <c r="N167" i="5"/>
  <c r="B171" i="8"/>
  <c r="AL171" i="8"/>
  <c r="U175" i="8"/>
  <c r="BT175" i="5"/>
  <c r="BU175" i="5" s="1"/>
  <c r="BT179" i="5"/>
  <c r="BU179" i="5" s="1"/>
  <c r="K183" i="8"/>
  <c r="M183" i="8" s="1"/>
  <c r="O183" i="5"/>
  <c r="N183" i="5"/>
  <c r="C187" i="8"/>
  <c r="E187" i="8"/>
  <c r="D187" i="8"/>
  <c r="AL187" i="8"/>
  <c r="AM187" i="8" s="1"/>
  <c r="U191" i="8"/>
  <c r="AG191" i="5"/>
  <c r="AJ191" i="5" s="1"/>
  <c r="BT191" i="5"/>
  <c r="BU191" i="5" s="1"/>
  <c r="U195" i="8"/>
  <c r="BT195" i="5"/>
  <c r="BU195" i="5" s="1"/>
  <c r="K199" i="8"/>
  <c r="L199" i="8" s="1"/>
  <c r="O199" i="5"/>
  <c r="N199" i="5"/>
  <c r="BC199" i="5"/>
  <c r="BB199" i="5"/>
  <c r="B3" i="8"/>
  <c r="AL3" i="8"/>
  <c r="AM3" i="8" s="1"/>
  <c r="U4" i="8"/>
  <c r="O4" i="5"/>
  <c r="N4" i="5"/>
  <c r="BC4" i="5"/>
  <c r="BB4" i="5"/>
  <c r="U8" i="8"/>
  <c r="N8" i="5"/>
  <c r="O8" i="5"/>
  <c r="AG8" i="5"/>
  <c r="AJ8" i="5" s="1"/>
  <c r="K12" i="8"/>
  <c r="L12" i="8" s="1"/>
  <c r="B16" i="8"/>
  <c r="C16" i="8" s="1"/>
  <c r="AL16" i="8"/>
  <c r="AM16" i="8" s="1"/>
  <c r="BT16" i="5"/>
  <c r="BU16" i="5" s="1"/>
  <c r="B20" i="8"/>
  <c r="C20" i="8" s="1"/>
  <c r="AL20" i="8"/>
  <c r="AM20" i="8" s="1"/>
  <c r="AG20" i="5"/>
  <c r="AJ20" i="5" s="1"/>
  <c r="B24" i="8"/>
  <c r="C24" i="8" s="1"/>
  <c r="AL24" i="8"/>
  <c r="AM24" i="8" s="1"/>
  <c r="BT24" i="5"/>
  <c r="BU24" i="5" s="1"/>
  <c r="AC28" i="8"/>
  <c r="AD28" i="8" s="1"/>
  <c r="BT28" i="5"/>
  <c r="BU28" i="5" s="1"/>
  <c r="BI28" i="5"/>
  <c r="BJ28" i="5" s="1"/>
  <c r="U32" i="8"/>
  <c r="N32" i="5"/>
  <c r="O32" i="5"/>
  <c r="AG32" i="5"/>
  <c r="AJ32" i="5" s="1"/>
  <c r="U36" i="8"/>
  <c r="N36" i="5"/>
  <c r="O36" i="5"/>
  <c r="U40" i="8"/>
  <c r="N40" i="5"/>
  <c r="O40" i="5"/>
  <c r="AG40" i="5"/>
  <c r="AJ40" i="5" s="1"/>
  <c r="K44" i="8"/>
  <c r="L44" i="8" s="1"/>
  <c r="B48" i="8"/>
  <c r="AL48" i="8"/>
  <c r="AM48" i="8" s="1"/>
  <c r="BT48" i="5"/>
  <c r="BU48" i="5" s="1"/>
  <c r="C52" i="8"/>
  <c r="D52" i="8"/>
  <c r="E52" i="8"/>
  <c r="AL52" i="8"/>
  <c r="AM52" i="8" s="1"/>
  <c r="B56" i="8"/>
  <c r="C56" i="8" s="1"/>
  <c r="AL56" i="8"/>
  <c r="BT56" i="5"/>
  <c r="BU56" i="5" s="1"/>
  <c r="AC60" i="8"/>
  <c r="BT60" i="5"/>
  <c r="BU60" i="5" s="1"/>
  <c r="N64" i="5"/>
  <c r="O64" i="5"/>
  <c r="U68" i="8"/>
  <c r="BI72" i="5"/>
  <c r="BJ72" i="5" s="1"/>
  <c r="K76" i="8"/>
  <c r="B80" i="8"/>
  <c r="C80" i="8" s="1"/>
  <c r="AL80" i="8"/>
  <c r="BI80" i="5"/>
  <c r="BJ80" i="5" s="1"/>
  <c r="B84" i="8"/>
  <c r="AG84" i="5"/>
  <c r="AJ84" i="5" s="1"/>
  <c r="BI84" i="5"/>
  <c r="B88" i="8"/>
  <c r="C88" i="8" s="1"/>
  <c r="AC92" i="8"/>
  <c r="AD92" i="8" s="1"/>
  <c r="O92" i="5"/>
  <c r="N92" i="5"/>
  <c r="BT92" i="5"/>
  <c r="BU92" i="5" s="1"/>
  <c r="AG96" i="5"/>
  <c r="AJ96" i="5" s="1"/>
  <c r="BT96" i="5"/>
  <c r="U100" i="8"/>
  <c r="K108" i="8"/>
  <c r="L108" i="8" s="1"/>
  <c r="C112" i="8"/>
  <c r="E112" i="8"/>
  <c r="D112" i="8"/>
  <c r="AL112" i="8"/>
  <c r="AM112" i="8" s="1"/>
  <c r="BI112" i="5"/>
  <c r="BJ112" i="5" s="1"/>
  <c r="B116" i="8"/>
  <c r="C116" i="8" s="1"/>
  <c r="AL116" i="8"/>
  <c r="AM116" i="8" s="1"/>
  <c r="BI116" i="5"/>
  <c r="BJ116" i="5" s="1"/>
  <c r="B120" i="8"/>
  <c r="C120" i="8" s="1"/>
  <c r="AL120" i="8"/>
  <c r="AM120" i="8" s="1"/>
  <c r="BT120" i="5"/>
  <c r="BU120" i="5" s="1"/>
  <c r="AC124" i="8"/>
  <c r="AD124" i="8" s="1"/>
  <c r="O124" i="5"/>
  <c r="N124" i="5"/>
  <c r="BT124" i="5"/>
  <c r="BU124" i="5" s="1"/>
  <c r="AC128" i="8"/>
  <c r="AD128" i="8" s="1"/>
  <c r="N128" i="5"/>
  <c r="O128" i="5"/>
  <c r="AC132" i="8"/>
  <c r="AD132" i="8" s="1"/>
  <c r="N132" i="5"/>
  <c r="O132" i="5"/>
  <c r="AC136" i="8"/>
  <c r="AD136" i="8" s="1"/>
  <c r="N136" i="5"/>
  <c r="O136" i="5"/>
  <c r="U140" i="8"/>
  <c r="AG140" i="5"/>
  <c r="AJ140" i="5" s="1"/>
  <c r="BI140" i="5"/>
  <c r="BJ140" i="5" s="1"/>
  <c r="K144" i="8"/>
  <c r="L144" i="8" s="1"/>
  <c r="K148" i="8"/>
  <c r="L148" i="8" s="1"/>
  <c r="AG148" i="5"/>
  <c r="AJ148" i="5" s="1"/>
  <c r="BT148" i="5"/>
  <c r="BU148" i="5" s="1"/>
  <c r="K152" i="8"/>
  <c r="L152" i="8" s="1"/>
  <c r="AG152" i="5"/>
  <c r="AJ152" i="5" s="1"/>
  <c r="B156" i="8"/>
  <c r="C156" i="8" s="1"/>
  <c r="AL156" i="8"/>
  <c r="AM156" i="8" s="1"/>
  <c r="AC160" i="8"/>
  <c r="AD160" i="8" s="1"/>
  <c r="N160" i="5"/>
  <c r="O160" i="5"/>
  <c r="AC164" i="8"/>
  <c r="AD164" i="8" s="1"/>
  <c r="N164" i="5"/>
  <c r="O164" i="5"/>
  <c r="BC164" i="5"/>
  <c r="BB164" i="5"/>
  <c r="AC168" i="8"/>
  <c r="AD168" i="8" s="1"/>
  <c r="N168" i="5"/>
  <c r="O168" i="5"/>
  <c r="BC168" i="5"/>
  <c r="BB168" i="5"/>
  <c r="U172" i="8"/>
  <c r="AG172" i="5"/>
  <c r="AJ172" i="5" s="1"/>
  <c r="BI172" i="5"/>
  <c r="BJ172" i="5" s="1"/>
  <c r="K176" i="8"/>
  <c r="L176" i="8" s="1"/>
  <c r="BT176" i="5"/>
  <c r="BU176" i="5" s="1"/>
  <c r="K180" i="8"/>
  <c r="L180" i="8" s="1"/>
  <c r="AG180" i="5"/>
  <c r="K184" i="8"/>
  <c r="L184" i="8" s="1"/>
  <c r="AG184" i="5"/>
  <c r="AJ184" i="5" s="1"/>
  <c r="BI184" i="5"/>
  <c r="BJ184" i="5" s="1"/>
  <c r="K188" i="8"/>
  <c r="L188" i="8" s="1"/>
  <c r="C192" i="8"/>
  <c r="E192" i="8"/>
  <c r="D192" i="8"/>
  <c r="AL192" i="8"/>
  <c r="BI192" i="5"/>
  <c r="BJ192" i="5" s="1"/>
  <c r="B196" i="8"/>
  <c r="AL196" i="8"/>
  <c r="AM196" i="8" s="1"/>
  <c r="BI196" i="5"/>
  <c r="B200" i="8"/>
  <c r="C200" i="8" s="1"/>
  <c r="AL200" i="8"/>
  <c r="BT200" i="5"/>
  <c r="BU200" i="5" s="1"/>
  <c r="AL5" i="8"/>
  <c r="AC5" i="8"/>
  <c r="AD5" i="8" s="1"/>
  <c r="AL9" i="8"/>
  <c r="AC9" i="8"/>
  <c r="AD9" i="8" s="1"/>
  <c r="K13" i="8"/>
  <c r="BI13" i="5"/>
  <c r="BJ13" i="5" s="1"/>
  <c r="O17" i="5"/>
  <c r="N17" i="5"/>
  <c r="BI17" i="5"/>
  <c r="BJ17" i="5" s="1"/>
  <c r="AL21" i="8"/>
  <c r="AC21" i="8"/>
  <c r="AD21" i="8" s="1"/>
  <c r="AZ21" i="5"/>
  <c r="AL25" i="8"/>
  <c r="AM25" i="8" s="1"/>
  <c r="AC25" i="8"/>
  <c r="AZ25" i="5"/>
  <c r="BA25" i="5" s="1"/>
  <c r="K29" i="8"/>
  <c r="BI29" i="5"/>
  <c r="BJ29" i="5" s="1"/>
  <c r="O33" i="5"/>
  <c r="N33" i="5"/>
  <c r="BI33" i="5"/>
  <c r="BJ33" i="5" s="1"/>
  <c r="AL37" i="8"/>
  <c r="AC37" i="8"/>
  <c r="AD37" i="8" s="1"/>
  <c r="AZ37" i="5"/>
  <c r="AL41" i="8"/>
  <c r="AM41" i="8" s="1"/>
  <c r="AC41" i="8"/>
  <c r="AZ41" i="5"/>
  <c r="BA41" i="5" s="1"/>
  <c r="K45" i="8"/>
  <c r="BI45" i="5"/>
  <c r="BJ45" i="5" s="1"/>
  <c r="AC49" i="8"/>
  <c r="BI49" i="5"/>
  <c r="BJ49" i="5" s="1"/>
  <c r="U53" i="8"/>
  <c r="AL57" i="8"/>
  <c r="U57" i="8"/>
  <c r="N61" i="5"/>
  <c r="O61" i="5"/>
  <c r="AL61" i="8"/>
  <c r="AM61" i="8" s="1"/>
  <c r="BI61" i="5"/>
  <c r="AC65" i="8"/>
  <c r="AD65" i="8" s="1"/>
  <c r="BI65" i="5"/>
  <c r="N69" i="5"/>
  <c r="O69" i="5"/>
  <c r="AG73" i="5"/>
  <c r="AJ73" i="5" s="1"/>
  <c r="K73" i="8"/>
  <c r="AG77" i="5"/>
  <c r="AJ77" i="5" s="1"/>
  <c r="AC77" i="8"/>
  <c r="AL81" i="8"/>
  <c r="AM81" i="8" s="1"/>
  <c r="N85" i="5"/>
  <c r="O85" i="5"/>
  <c r="AG89" i="5"/>
  <c r="AJ89" i="5" s="1"/>
  <c r="K89" i="8"/>
  <c r="AG93" i="5"/>
  <c r="AJ93" i="5" s="1"/>
  <c r="AC93" i="8"/>
  <c r="AC97" i="8"/>
  <c r="AD97" i="8" s="1"/>
  <c r="N101" i="5"/>
  <c r="O101" i="5"/>
  <c r="AC101" i="8"/>
  <c r="AD101" i="8" s="1"/>
  <c r="U105" i="8"/>
  <c r="AC109" i="8"/>
  <c r="AD109" i="8" s="1"/>
  <c r="AC113" i="8"/>
  <c r="B117" i="8"/>
  <c r="C117" i="8" s="1"/>
  <c r="BI117" i="5"/>
  <c r="BJ117" i="5" s="1"/>
  <c r="B121" i="8"/>
  <c r="K121" i="8"/>
  <c r="L121" i="8" s="1"/>
  <c r="BI121" i="5"/>
  <c r="B125" i="8"/>
  <c r="C125" i="8" s="1"/>
  <c r="K129" i="8"/>
  <c r="N129" i="8" s="1"/>
  <c r="O129" i="5"/>
  <c r="N129" i="5"/>
  <c r="BT129" i="5"/>
  <c r="BU129" i="5" s="1"/>
  <c r="AL133" i="8"/>
  <c r="N137" i="5"/>
  <c r="O137" i="5"/>
  <c r="AC137" i="8"/>
  <c r="N141" i="5"/>
  <c r="O141" i="5"/>
  <c r="AL141" i="8"/>
  <c r="BI141" i="5"/>
  <c r="BJ141" i="5" s="1"/>
  <c r="AL145" i="8"/>
  <c r="AM145" i="8" s="1"/>
  <c r="BI145" i="5"/>
  <c r="N149" i="5"/>
  <c r="O149" i="5"/>
  <c r="AC149" i="8"/>
  <c r="AG153" i="5"/>
  <c r="AJ153" i="5" s="1"/>
  <c r="AG157" i="5"/>
  <c r="AJ157" i="5" s="1"/>
  <c r="AC157" i="8"/>
  <c r="N161" i="8"/>
  <c r="B161" i="8"/>
  <c r="B165" i="8"/>
  <c r="C165" i="8" s="1"/>
  <c r="BI165" i="5"/>
  <c r="BJ165" i="5" s="1"/>
  <c r="B169" i="8"/>
  <c r="C169" i="8" s="1"/>
  <c r="K169" i="8"/>
  <c r="M169" i="8" s="1"/>
  <c r="BI169" i="5"/>
  <c r="BJ169" i="5" s="1"/>
  <c r="N173" i="8"/>
  <c r="B173" i="8"/>
  <c r="U173" i="8"/>
  <c r="B177" i="8"/>
  <c r="C177" i="8" s="1"/>
  <c r="U177" i="8"/>
  <c r="K181" i="8"/>
  <c r="M181" i="8" s="1"/>
  <c r="AG181" i="5"/>
  <c r="AJ181" i="5" s="1"/>
  <c r="BT181" i="5"/>
  <c r="BU181" i="5" s="1"/>
  <c r="AL185" i="8"/>
  <c r="AM185" i="8" s="1"/>
  <c r="BT185" i="5"/>
  <c r="BU185" i="5" s="1"/>
  <c r="K189" i="8"/>
  <c r="BI189" i="5"/>
  <c r="BJ189" i="5" s="1"/>
  <c r="AG193" i="5"/>
  <c r="AJ193" i="5" s="1"/>
  <c r="AL193" i="8"/>
  <c r="AM193" i="8" s="1"/>
  <c r="N197" i="5"/>
  <c r="O197" i="5"/>
  <c r="AC197" i="8"/>
  <c r="AD197" i="8" s="1"/>
  <c r="AG201" i="5"/>
  <c r="AJ201" i="5" s="1"/>
  <c r="U201" i="8"/>
  <c r="K6" i="8"/>
  <c r="L6" i="8" s="1"/>
  <c r="AG6" i="5"/>
  <c r="AJ6" i="5" s="1"/>
  <c r="BT6" i="5"/>
  <c r="BU6" i="5" s="1"/>
  <c r="AL10" i="8"/>
  <c r="AM10" i="8" s="1"/>
  <c r="AC10" i="8"/>
  <c r="AD10" i="8" s="1"/>
  <c r="BI10" i="5"/>
  <c r="BJ10" i="5" s="1"/>
  <c r="K14" i="8"/>
  <c r="L14" i="8" s="1"/>
  <c r="U18" i="8"/>
  <c r="O22" i="5"/>
  <c r="N22" i="5"/>
  <c r="AG26" i="5"/>
  <c r="U26" i="8"/>
  <c r="BI26" i="5"/>
  <c r="BJ26" i="5" s="1"/>
  <c r="N30" i="5"/>
  <c r="O30" i="5"/>
  <c r="AL30" i="8"/>
  <c r="AM30" i="8" s="1"/>
  <c r="BT30" i="5"/>
  <c r="BU30" i="5" s="1"/>
  <c r="K34" i="8"/>
  <c r="L34" i="8" s="1"/>
  <c r="AG34" i="5"/>
  <c r="AJ34" i="5" s="1"/>
  <c r="C38" i="8"/>
  <c r="D38" i="8"/>
  <c r="E38" i="8"/>
  <c r="K38" i="8"/>
  <c r="L38" i="8" s="1"/>
  <c r="AL42" i="8"/>
  <c r="AC42" i="8"/>
  <c r="AD42" i="8" s="1"/>
  <c r="BI42" i="5"/>
  <c r="K46" i="8"/>
  <c r="L46" i="8" s="1"/>
  <c r="K50" i="8"/>
  <c r="AL50" i="8"/>
  <c r="AM50" i="8" s="1"/>
  <c r="BI50" i="5"/>
  <c r="O54" i="5"/>
  <c r="N54" i="5"/>
  <c r="AL58" i="8"/>
  <c r="U58" i="8"/>
  <c r="N62" i="5"/>
  <c r="O62" i="5"/>
  <c r="AL62" i="8"/>
  <c r="AM62" i="8" s="1"/>
  <c r="BT62" i="5"/>
  <c r="B66" i="8"/>
  <c r="C66" i="8" s="1"/>
  <c r="AC66" i="8"/>
  <c r="K70" i="8"/>
  <c r="L70" i="8" s="1"/>
  <c r="O70" i="5"/>
  <c r="N70" i="5"/>
  <c r="BI70" i="5"/>
  <c r="BJ70" i="5" s="1"/>
  <c r="AL74" i="8"/>
  <c r="AC74" i="8"/>
  <c r="AD74" i="8" s="1"/>
  <c r="AC78" i="8"/>
  <c r="BT78" i="5"/>
  <c r="AG82" i="5"/>
  <c r="AJ82" i="5" s="1"/>
  <c r="N82" i="5"/>
  <c r="O82" i="5"/>
  <c r="AL86" i="8"/>
  <c r="AM86" i="8" s="1"/>
  <c r="AC86" i="8"/>
  <c r="N90" i="5"/>
  <c r="O90" i="5"/>
  <c r="BT90" i="5"/>
  <c r="BU90" i="5" s="1"/>
  <c r="C94" i="8"/>
  <c r="E94" i="8"/>
  <c r="D94" i="8"/>
  <c r="U94" i="8"/>
  <c r="BT94" i="5"/>
  <c r="BU94" i="5" s="1"/>
  <c r="C98" i="8"/>
  <c r="E98" i="8"/>
  <c r="D98" i="8"/>
  <c r="AC98" i="8"/>
  <c r="AD98" i="8" s="1"/>
  <c r="O102" i="5"/>
  <c r="N102" i="5"/>
  <c r="BI102" i="5"/>
  <c r="AL106" i="8"/>
  <c r="AM106" i="8" s="1"/>
  <c r="BT106" i="5"/>
  <c r="AG110" i="5"/>
  <c r="AJ110" i="5" s="1"/>
  <c r="AC110" i="8"/>
  <c r="AG114" i="5"/>
  <c r="AJ114" i="5" s="1"/>
  <c r="AL114" i="8"/>
  <c r="AL118" i="8"/>
  <c r="AM118" i="8" s="1"/>
  <c r="N122" i="5"/>
  <c r="O122" i="5"/>
  <c r="AC122" i="8"/>
  <c r="AD122" i="8" s="1"/>
  <c r="B126" i="8"/>
  <c r="U126" i="8"/>
  <c r="C130" i="8"/>
  <c r="D130" i="8"/>
  <c r="E130" i="8"/>
  <c r="AC130" i="8"/>
  <c r="AD130" i="8" s="1"/>
  <c r="B134" i="8"/>
  <c r="C134" i="8" s="1"/>
  <c r="AC134" i="8"/>
  <c r="AD134" i="8" s="1"/>
  <c r="B138" i="8"/>
  <c r="C138" i="8" s="1"/>
  <c r="U138" i="8"/>
  <c r="K142" i="8"/>
  <c r="L142" i="8" s="1"/>
  <c r="BI142" i="5"/>
  <c r="BJ142" i="5" s="1"/>
  <c r="U146" i="8"/>
  <c r="BT146" i="5"/>
  <c r="BU146" i="5" s="1"/>
  <c r="K150" i="8"/>
  <c r="L150" i="8" s="1"/>
  <c r="AG150" i="5"/>
  <c r="AJ150" i="5" s="1"/>
  <c r="AL154" i="8"/>
  <c r="AM154" i="8" s="1"/>
  <c r="BT154" i="5"/>
  <c r="BU154" i="5" s="1"/>
  <c r="AG158" i="5"/>
  <c r="AJ158" i="5" s="1"/>
  <c r="AC158" i="8"/>
  <c r="AD158" i="8" s="1"/>
  <c r="AG162" i="5"/>
  <c r="AJ162" i="5" s="1"/>
  <c r="AL162" i="8"/>
  <c r="AM162" i="8" s="1"/>
  <c r="AL166" i="8"/>
  <c r="AM166" i="8" s="1"/>
  <c r="O170" i="5"/>
  <c r="N170" i="5"/>
  <c r="AC170" i="8"/>
  <c r="AD170" i="8" s="1"/>
  <c r="B174" i="8"/>
  <c r="C174" i="8" s="1"/>
  <c r="U174" i="8"/>
  <c r="U178" i="8"/>
  <c r="BT178" i="5"/>
  <c r="BU178" i="5" s="1"/>
  <c r="U182" i="8"/>
  <c r="N182" i="5"/>
  <c r="O182" i="5"/>
  <c r="BT182" i="5"/>
  <c r="BU182" i="5" s="1"/>
  <c r="AL186" i="8"/>
  <c r="AM186" i="8" s="1"/>
  <c r="BI186" i="5"/>
  <c r="BJ186" i="5" s="1"/>
  <c r="AG190" i="5"/>
  <c r="AJ190" i="5" s="1"/>
  <c r="AC190" i="8"/>
  <c r="AD190" i="8" s="1"/>
  <c r="AG194" i="5"/>
  <c r="AJ194" i="5" s="1"/>
  <c r="AL194" i="8"/>
  <c r="AM194" i="8" s="1"/>
  <c r="B198" i="8"/>
  <c r="C198" i="8" s="1"/>
  <c r="AC198" i="8"/>
  <c r="AD198" i="8" s="1"/>
  <c r="C202" i="8"/>
  <c r="D202" i="8"/>
  <c r="E202" i="8"/>
  <c r="U202" i="8"/>
  <c r="AS202" i="5"/>
  <c r="AR202" i="5"/>
  <c r="U7" i="8"/>
  <c r="BT7" i="5"/>
  <c r="K11" i="8"/>
  <c r="L11" i="8" s="1"/>
  <c r="AL11" i="8"/>
  <c r="BI11" i="5"/>
  <c r="BJ11" i="5" s="1"/>
  <c r="B15" i="8"/>
  <c r="C15" i="8" s="1"/>
  <c r="AC15" i="8"/>
  <c r="AD15" i="8" s="1"/>
  <c r="AC19" i="8"/>
  <c r="AG19" i="5"/>
  <c r="AJ19" i="5" s="1"/>
  <c r="BT19" i="5"/>
  <c r="U23" i="8"/>
  <c r="BT23" i="5"/>
  <c r="K27" i="8"/>
  <c r="L27" i="8" s="1"/>
  <c r="AL27" i="8"/>
  <c r="BI27" i="5"/>
  <c r="BJ27" i="5" s="1"/>
  <c r="C31" i="8"/>
  <c r="E31" i="8"/>
  <c r="D31" i="8"/>
  <c r="AC31" i="8"/>
  <c r="AD31" i="8" s="1"/>
  <c r="AC35" i="8"/>
  <c r="AD35" i="8" s="1"/>
  <c r="AG35" i="5"/>
  <c r="AJ35" i="5" s="1"/>
  <c r="BI35" i="5"/>
  <c r="BJ35" i="5" s="1"/>
  <c r="U39" i="8"/>
  <c r="BI39" i="5"/>
  <c r="BJ39" i="5" s="1"/>
  <c r="K43" i="8"/>
  <c r="L43" i="8" s="1"/>
  <c r="AL43" i="8"/>
  <c r="AM43" i="8" s="1"/>
  <c r="BI43" i="5"/>
  <c r="BJ43" i="5" s="1"/>
  <c r="B47" i="8"/>
  <c r="AC47" i="8"/>
  <c r="AD47" i="8" s="1"/>
  <c r="AC51" i="8"/>
  <c r="AD51" i="8" s="1"/>
  <c r="AG51" i="5"/>
  <c r="AJ51" i="5" s="1"/>
  <c r="BI51" i="5"/>
  <c r="BJ51" i="5" s="1"/>
  <c r="U55" i="8"/>
  <c r="BI55" i="5"/>
  <c r="BJ55" i="5" s="1"/>
  <c r="K59" i="8"/>
  <c r="L59" i="8" s="1"/>
  <c r="AL59" i="8"/>
  <c r="AM59" i="8" s="1"/>
  <c r="BI59" i="5"/>
  <c r="BJ59" i="5" s="1"/>
  <c r="B63" i="8"/>
  <c r="C63" i="8" s="1"/>
  <c r="AC63" i="8"/>
  <c r="AD63" i="8" s="1"/>
  <c r="AC67" i="8"/>
  <c r="AD67" i="8" s="1"/>
  <c r="AG67" i="5"/>
  <c r="AJ67" i="5" s="1"/>
  <c r="BT67" i="5"/>
  <c r="BU67" i="5" s="1"/>
  <c r="U71" i="8"/>
  <c r="BI71" i="5"/>
  <c r="BJ71" i="5" s="1"/>
  <c r="K75" i="8"/>
  <c r="L75" i="8" s="1"/>
  <c r="AL75" i="8"/>
  <c r="AM75" i="8" s="1"/>
  <c r="BI75" i="5"/>
  <c r="BJ75" i="5" s="1"/>
  <c r="B79" i="8"/>
  <c r="C79" i="8" s="1"/>
  <c r="AC79" i="8"/>
  <c r="AD79" i="8" s="1"/>
  <c r="AC83" i="8"/>
  <c r="AD83" i="8" s="1"/>
  <c r="AG83" i="5"/>
  <c r="AJ83" i="5" s="1"/>
  <c r="BT83" i="5"/>
  <c r="BU83" i="5" s="1"/>
  <c r="U87" i="8"/>
  <c r="BI87" i="5"/>
  <c r="BJ87" i="5" s="1"/>
  <c r="K91" i="8"/>
  <c r="L91" i="8" s="1"/>
  <c r="AL91" i="8"/>
  <c r="AM91" i="8" s="1"/>
  <c r="BI91" i="5"/>
  <c r="BJ91" i="5" s="1"/>
  <c r="C95" i="8"/>
  <c r="D95" i="8"/>
  <c r="E95" i="8"/>
  <c r="AC95" i="8"/>
  <c r="AC99" i="8"/>
  <c r="AD99" i="8" s="1"/>
  <c r="BI99" i="5"/>
  <c r="BJ99" i="5" s="1"/>
  <c r="BI103" i="5"/>
  <c r="BJ103" i="5" s="1"/>
  <c r="K107" i="8"/>
  <c r="N107" i="5"/>
  <c r="O107" i="5"/>
  <c r="B111" i="8"/>
  <c r="C111" i="8" s="1"/>
  <c r="AC111" i="8"/>
  <c r="AD111" i="8" s="1"/>
  <c r="AC115" i="8"/>
  <c r="AG115" i="5"/>
  <c r="AJ115" i="5" s="1"/>
  <c r="BI115" i="5"/>
  <c r="U119" i="8"/>
  <c r="BI119" i="5"/>
  <c r="K123" i="8"/>
  <c r="M123" i="8" s="1"/>
  <c r="N123" i="5"/>
  <c r="O123" i="5"/>
  <c r="B127" i="8"/>
  <c r="C127" i="8" s="1"/>
  <c r="AC127" i="8"/>
  <c r="AC131" i="8"/>
  <c r="AD131" i="8" s="1"/>
  <c r="BT131" i="5"/>
  <c r="BU131" i="5" s="1"/>
  <c r="BI135" i="5"/>
  <c r="BJ135" i="5" s="1"/>
  <c r="K139" i="8"/>
  <c r="M139" i="8" s="1"/>
  <c r="N139" i="5"/>
  <c r="O139" i="5"/>
  <c r="B143" i="8"/>
  <c r="AC143" i="8"/>
  <c r="AD143" i="8" s="1"/>
  <c r="AC147" i="8"/>
  <c r="AG147" i="5"/>
  <c r="AJ147" i="5" s="1"/>
  <c r="BT147" i="5"/>
  <c r="U151" i="8"/>
  <c r="BI151" i="5"/>
  <c r="K155" i="8"/>
  <c r="L155" i="8" s="1"/>
  <c r="N155" i="5"/>
  <c r="O155" i="5"/>
  <c r="N159" i="8"/>
  <c r="B159" i="8"/>
  <c r="AC159" i="8"/>
  <c r="AC163" i="8"/>
  <c r="AD163" i="8" s="1"/>
  <c r="BI163" i="5"/>
  <c r="BJ163" i="5" s="1"/>
  <c r="BI167" i="5"/>
  <c r="BJ167" i="5" s="1"/>
  <c r="K171" i="8"/>
  <c r="M171" i="8" s="1"/>
  <c r="N171" i="5"/>
  <c r="O171" i="5"/>
  <c r="B175" i="8"/>
  <c r="AC175" i="8"/>
  <c r="AD175" i="8" s="1"/>
  <c r="AC179" i="8"/>
  <c r="AG179" i="5"/>
  <c r="AJ179" i="5" s="1"/>
  <c r="BI179" i="5"/>
  <c r="U183" i="8"/>
  <c r="BT183" i="5"/>
  <c r="K187" i="8"/>
  <c r="L187" i="8" s="1"/>
  <c r="N187" i="5"/>
  <c r="O187" i="5"/>
  <c r="N191" i="8"/>
  <c r="B191" i="8"/>
  <c r="C191" i="8" s="1"/>
  <c r="AC191" i="8"/>
  <c r="AD191" i="8" s="1"/>
  <c r="AC195" i="8"/>
  <c r="AD195" i="8" s="1"/>
  <c r="AG195" i="5"/>
  <c r="AJ195" i="5" s="1"/>
  <c r="BJ195" i="5"/>
  <c r="BL195" i="5"/>
  <c r="BK195" i="5"/>
  <c r="U199" i="8"/>
  <c r="BT199" i="5"/>
  <c r="AC4" i="8"/>
  <c r="AD4" i="8" s="1"/>
  <c r="BI4" i="5"/>
  <c r="BT4" i="5"/>
  <c r="BU4" i="5" s="1"/>
  <c r="AC8" i="8"/>
  <c r="BC8" i="5"/>
  <c r="BB8" i="5"/>
  <c r="O12" i="5"/>
  <c r="N12" i="5"/>
  <c r="BI12" i="5"/>
  <c r="K16" i="8"/>
  <c r="L16" i="8" s="1"/>
  <c r="BC16" i="5"/>
  <c r="BB16" i="5"/>
  <c r="K20" i="8"/>
  <c r="L20" i="8" s="1"/>
  <c r="K24" i="8"/>
  <c r="BI24" i="5"/>
  <c r="BJ24" i="5" s="1"/>
  <c r="B28" i="8"/>
  <c r="AL28" i="8"/>
  <c r="AM28" i="8" s="1"/>
  <c r="BC28" i="5"/>
  <c r="BB28" i="5"/>
  <c r="AC32" i="8"/>
  <c r="AD32" i="8" s="1"/>
  <c r="BI32" i="5"/>
  <c r="AC36" i="8"/>
  <c r="AD36" i="8" s="1"/>
  <c r="BT36" i="5"/>
  <c r="BC36" i="5"/>
  <c r="BB36" i="5"/>
  <c r="AC40" i="8"/>
  <c r="U44" i="8"/>
  <c r="O44" i="5"/>
  <c r="N44" i="5"/>
  <c r="BI44" i="5"/>
  <c r="BJ44" i="5" s="1"/>
  <c r="K48" i="8"/>
  <c r="K52" i="8"/>
  <c r="L52" i="8" s="1"/>
  <c r="K56" i="8"/>
  <c r="BI56" i="5"/>
  <c r="BJ56" i="5" s="1"/>
  <c r="B60" i="8"/>
  <c r="AL60" i="8"/>
  <c r="AM60" i="8" s="1"/>
  <c r="AC64" i="8"/>
  <c r="AD64" i="8" s="1"/>
  <c r="BI64" i="5"/>
  <c r="AC68" i="8"/>
  <c r="AD68" i="8" s="1"/>
  <c r="N68" i="5"/>
  <c r="O68" i="5"/>
  <c r="AC72" i="8"/>
  <c r="AD72" i="8" s="1"/>
  <c r="N72" i="5"/>
  <c r="O72" i="5"/>
  <c r="U76" i="8"/>
  <c r="BI76" i="5"/>
  <c r="BJ76" i="5" s="1"/>
  <c r="K80" i="8"/>
  <c r="K84" i="8"/>
  <c r="L84" i="8" s="1"/>
  <c r="AL84" i="8"/>
  <c r="BT84" i="5"/>
  <c r="BU84" i="5" s="1"/>
  <c r="K88" i="8"/>
  <c r="AL88" i="8"/>
  <c r="AM88" i="8" s="1"/>
  <c r="BI88" i="5"/>
  <c r="B92" i="8"/>
  <c r="C92" i="8" s="1"/>
  <c r="AL92" i="8"/>
  <c r="AC96" i="8"/>
  <c r="AD96" i="8" s="1"/>
  <c r="N96" i="5"/>
  <c r="O96" i="5"/>
  <c r="AC100" i="8"/>
  <c r="AD100" i="8" s="1"/>
  <c r="N100" i="5"/>
  <c r="O100" i="5"/>
  <c r="AC104" i="8"/>
  <c r="AD104" i="8" s="1"/>
  <c r="N104" i="5"/>
  <c r="O104" i="5"/>
  <c r="U108" i="8"/>
  <c r="BI108" i="5"/>
  <c r="BJ108" i="5" s="1"/>
  <c r="K112" i="8"/>
  <c r="BT112" i="5"/>
  <c r="BU112" i="5" s="1"/>
  <c r="K116" i="8"/>
  <c r="AG116" i="5"/>
  <c r="AJ116" i="5" s="1"/>
  <c r="K120" i="8"/>
  <c r="AG120" i="5"/>
  <c r="AJ120" i="5" s="1"/>
  <c r="BI120" i="5"/>
  <c r="B124" i="8"/>
  <c r="C124" i="8" s="1"/>
  <c r="AL124" i="8"/>
  <c r="B128" i="8"/>
  <c r="C128" i="8" s="1"/>
  <c r="AL128" i="8"/>
  <c r="BI128" i="5"/>
  <c r="BJ128" i="5" s="1"/>
  <c r="C132" i="8"/>
  <c r="D132" i="8"/>
  <c r="E132" i="8"/>
  <c r="AL132" i="8"/>
  <c r="AM132" i="8" s="1"/>
  <c r="BI132" i="5"/>
  <c r="BJ132" i="5" s="1"/>
  <c r="B136" i="8"/>
  <c r="C136" i="8" s="1"/>
  <c r="AL136" i="8"/>
  <c r="AM136" i="8" s="1"/>
  <c r="BT136" i="5"/>
  <c r="BU136" i="5" s="1"/>
  <c r="AC140" i="8"/>
  <c r="AD140" i="8" s="1"/>
  <c r="O140" i="5"/>
  <c r="N140" i="5"/>
  <c r="BT140" i="5"/>
  <c r="BU140" i="5" s="1"/>
  <c r="U144" i="8"/>
  <c r="AG144" i="5"/>
  <c r="AJ144" i="5" s="1"/>
  <c r="U148" i="8"/>
  <c r="U152" i="8"/>
  <c r="K156" i="8"/>
  <c r="L156" i="8" s="1"/>
  <c r="B160" i="8"/>
  <c r="C160" i="8" s="1"/>
  <c r="AL160" i="8"/>
  <c r="AM160" i="8" s="1"/>
  <c r="BI160" i="5"/>
  <c r="BJ160" i="5" s="1"/>
  <c r="B164" i="8"/>
  <c r="C164" i="8" s="1"/>
  <c r="AL164" i="8"/>
  <c r="AM164" i="8" s="1"/>
  <c r="BT164" i="5"/>
  <c r="BU164" i="5" s="1"/>
  <c r="B168" i="8"/>
  <c r="C168" i="8" s="1"/>
  <c r="AL168" i="8"/>
  <c r="AM168" i="8" s="1"/>
  <c r="BI168" i="5"/>
  <c r="BJ168" i="5" s="1"/>
  <c r="AC172" i="8"/>
  <c r="AD172" i="8" s="1"/>
  <c r="N172" i="5"/>
  <c r="O172" i="5"/>
  <c r="BT172" i="5"/>
  <c r="BU172" i="5" s="1"/>
  <c r="U176" i="8"/>
  <c r="AG176" i="5"/>
  <c r="AJ176" i="5" s="1"/>
  <c r="U180" i="8"/>
  <c r="U184" i="8"/>
  <c r="U188" i="8"/>
  <c r="AG188" i="5"/>
  <c r="AJ188" i="5" s="1"/>
  <c r="K192" i="8"/>
  <c r="L192" i="8" s="1"/>
  <c r="BT192" i="5"/>
  <c r="BU192" i="5" s="1"/>
  <c r="K196" i="8"/>
  <c r="L196" i="8" s="1"/>
  <c r="AG196" i="5"/>
  <c r="AJ196" i="5" s="1"/>
  <c r="K200" i="8"/>
  <c r="L200" i="8" s="1"/>
  <c r="AG200" i="5"/>
  <c r="AJ200" i="5" s="1"/>
  <c r="BI200" i="5"/>
  <c r="BJ200" i="5" s="1"/>
  <c r="BA5" i="5"/>
  <c r="BD5" i="5" s="1"/>
  <c r="BA9" i="5"/>
  <c r="BD9" i="5" s="1"/>
  <c r="W45" i="5"/>
  <c r="Z45" i="5" s="1"/>
  <c r="BI5" i="5"/>
  <c r="BJ5" i="5" s="1"/>
  <c r="BT5" i="5"/>
  <c r="BI9" i="5"/>
  <c r="BJ9" i="5" s="1"/>
  <c r="BT9" i="5"/>
  <c r="U13" i="8"/>
  <c r="BT13" i="5"/>
  <c r="K17" i="8"/>
  <c r="L17" i="8" s="1"/>
  <c r="BT17" i="5"/>
  <c r="BI21" i="5"/>
  <c r="BJ21" i="5" s="1"/>
  <c r="BT21" i="5"/>
  <c r="BI25" i="5"/>
  <c r="BJ25" i="5" s="1"/>
  <c r="BT25" i="5"/>
  <c r="U29" i="8"/>
  <c r="AZ29" i="5"/>
  <c r="BT29" i="5"/>
  <c r="BU29" i="5" s="1"/>
  <c r="K33" i="8"/>
  <c r="AZ33" i="5"/>
  <c r="BA33" i="5" s="1"/>
  <c r="BT33" i="5"/>
  <c r="BI37" i="5"/>
  <c r="BJ37" i="5" s="1"/>
  <c r="BT37" i="5"/>
  <c r="BI41" i="5"/>
  <c r="BJ41" i="5" s="1"/>
  <c r="BT41" i="5"/>
  <c r="U45" i="8"/>
  <c r="BT45" i="5"/>
  <c r="AG49" i="5"/>
  <c r="AJ49" i="5" s="1"/>
  <c r="O49" i="5"/>
  <c r="N49" i="5"/>
  <c r="BT49" i="5"/>
  <c r="BU49" i="5" s="1"/>
  <c r="AL53" i="8"/>
  <c r="AC53" i="8"/>
  <c r="AD53" i="8" s="1"/>
  <c r="BT53" i="5"/>
  <c r="AC57" i="8"/>
  <c r="AD57" i="8" s="1"/>
  <c r="BT57" i="5"/>
  <c r="K61" i="8"/>
  <c r="L61" i="8" s="1"/>
  <c r="BT61" i="5"/>
  <c r="AG65" i="5"/>
  <c r="AJ65" i="5" s="1"/>
  <c r="O65" i="5"/>
  <c r="N65" i="5"/>
  <c r="BT65" i="5"/>
  <c r="BU65" i="5" s="1"/>
  <c r="AL69" i="8"/>
  <c r="AC69" i="8"/>
  <c r="AD69" i="8" s="1"/>
  <c r="AZ69" i="5"/>
  <c r="N73" i="5"/>
  <c r="O73" i="5"/>
  <c r="N77" i="5"/>
  <c r="O77" i="5"/>
  <c r="AL77" i="8"/>
  <c r="BI77" i="5"/>
  <c r="BJ77" i="5" s="1"/>
  <c r="AC81" i="8"/>
  <c r="BI81" i="5"/>
  <c r="BJ81" i="5" s="1"/>
  <c r="AL85" i="8"/>
  <c r="AC85" i="8"/>
  <c r="AD85" i="8" s="1"/>
  <c r="N89" i="5"/>
  <c r="O89" i="5"/>
  <c r="U89" i="8"/>
  <c r="N93" i="5"/>
  <c r="O93" i="5"/>
  <c r="AL93" i="8"/>
  <c r="AM93" i="8" s="1"/>
  <c r="BI93" i="5"/>
  <c r="AG97" i="5"/>
  <c r="AJ97" i="5" s="1"/>
  <c r="AL97" i="8"/>
  <c r="BI97" i="5"/>
  <c r="BJ97" i="5" s="1"/>
  <c r="AL101" i="8"/>
  <c r="N105" i="5"/>
  <c r="O105" i="5"/>
  <c r="AC105" i="8"/>
  <c r="AZ105" i="5"/>
  <c r="BA105" i="5" s="1"/>
  <c r="N109" i="5"/>
  <c r="O109" i="5"/>
  <c r="AL109" i="8"/>
  <c r="AM109" i="8" s="1"/>
  <c r="BI109" i="5"/>
  <c r="AG113" i="5"/>
  <c r="AJ113" i="5" s="1"/>
  <c r="AL113" i="8"/>
  <c r="BI113" i="5"/>
  <c r="BJ113" i="5" s="1"/>
  <c r="N117" i="5"/>
  <c r="O117" i="5"/>
  <c r="AC117" i="8"/>
  <c r="AD117" i="8" s="1"/>
  <c r="U121" i="8"/>
  <c r="AC125" i="8"/>
  <c r="AD125" i="8" s="1"/>
  <c r="B129" i="8"/>
  <c r="C129" i="8" s="1"/>
  <c r="U129" i="8"/>
  <c r="K133" i="8"/>
  <c r="M133" i="8" s="1"/>
  <c r="AG133" i="5"/>
  <c r="AJ133" i="5" s="1"/>
  <c r="BT133" i="5"/>
  <c r="BU133" i="5" s="1"/>
  <c r="AL137" i="8"/>
  <c r="AM137" i="8" s="1"/>
  <c r="BT137" i="5"/>
  <c r="BU137" i="5" s="1"/>
  <c r="K141" i="8"/>
  <c r="M141" i="8" s="1"/>
  <c r="BT141" i="5"/>
  <c r="BU141" i="5" s="1"/>
  <c r="K145" i="8"/>
  <c r="L145" i="8" s="1"/>
  <c r="O145" i="5"/>
  <c r="N145" i="5"/>
  <c r="BT145" i="5"/>
  <c r="BU145" i="5" s="1"/>
  <c r="AL149" i="8"/>
  <c r="AM149" i="8" s="1"/>
  <c r="N153" i="5"/>
  <c r="O153" i="5"/>
  <c r="AC153" i="8"/>
  <c r="AD153" i="8" s="1"/>
  <c r="N157" i="5"/>
  <c r="O157" i="5"/>
  <c r="AL157" i="8"/>
  <c r="AM157" i="8" s="1"/>
  <c r="BI157" i="5"/>
  <c r="BJ157" i="5" s="1"/>
  <c r="AC161" i="8"/>
  <c r="AD161" i="8" s="1"/>
  <c r="O165" i="5"/>
  <c r="N165" i="5"/>
  <c r="AC165" i="8"/>
  <c r="AD165" i="8" s="1"/>
  <c r="AG169" i="5"/>
  <c r="AJ169" i="5" s="1"/>
  <c r="U169" i="8"/>
  <c r="AG173" i="5"/>
  <c r="AC173" i="8"/>
  <c r="AD173" i="8" s="1"/>
  <c r="AC177" i="8"/>
  <c r="AD177" i="8" s="1"/>
  <c r="B181" i="8"/>
  <c r="C181" i="8" s="1"/>
  <c r="BI181" i="5"/>
  <c r="BJ181" i="5" s="1"/>
  <c r="B185" i="8"/>
  <c r="C185" i="8" s="1"/>
  <c r="K185" i="8"/>
  <c r="M185" i="8" s="1"/>
  <c r="BI185" i="5"/>
  <c r="BJ185" i="5" s="1"/>
  <c r="N189" i="8"/>
  <c r="B189" i="8"/>
  <c r="U189" i="8"/>
  <c r="BT189" i="5"/>
  <c r="K193" i="8"/>
  <c r="L193" i="8" s="1"/>
  <c r="O193" i="5"/>
  <c r="N193" i="5"/>
  <c r="BI193" i="5"/>
  <c r="BJ193" i="5" s="1"/>
  <c r="AL197" i="8"/>
  <c r="O201" i="5"/>
  <c r="N201" i="5"/>
  <c r="AC201" i="8"/>
  <c r="B6" i="8"/>
  <c r="C6" i="8" s="1"/>
  <c r="AG10" i="5"/>
  <c r="BT10" i="5"/>
  <c r="U14" i="8"/>
  <c r="BI14" i="5"/>
  <c r="BJ14" i="5" s="1"/>
  <c r="AC18" i="8"/>
  <c r="BT18" i="5"/>
  <c r="BU18" i="5" s="1"/>
  <c r="BI18" i="5"/>
  <c r="K22" i="8"/>
  <c r="L22" i="8" s="1"/>
  <c r="BI22" i="5"/>
  <c r="BJ22" i="5" s="1"/>
  <c r="AL26" i="8"/>
  <c r="AC26" i="8"/>
  <c r="AD26" i="8" s="1"/>
  <c r="BT26" i="5"/>
  <c r="K30" i="8"/>
  <c r="L30" i="8" s="1"/>
  <c r="AL34" i="8"/>
  <c r="AM34" i="8" s="1"/>
  <c r="BI34" i="5"/>
  <c r="AL38" i="8"/>
  <c r="AM38" i="8" s="1"/>
  <c r="BT38" i="5"/>
  <c r="BU38" i="5" s="1"/>
  <c r="C42" i="8"/>
  <c r="E42" i="8"/>
  <c r="D42" i="8"/>
  <c r="U46" i="8"/>
  <c r="AG46" i="5"/>
  <c r="AJ46" i="5" s="1"/>
  <c r="BI46" i="5"/>
  <c r="BJ46" i="5" s="1"/>
  <c r="U50" i="8"/>
  <c r="BT50" i="5"/>
  <c r="BU50" i="5" s="1"/>
  <c r="K54" i="8"/>
  <c r="L54" i="8" s="1"/>
  <c r="AG54" i="5"/>
  <c r="AJ54" i="5" s="1"/>
  <c r="BI54" i="5"/>
  <c r="BJ54" i="5" s="1"/>
  <c r="AC58" i="8"/>
  <c r="AD58" i="8" s="1"/>
  <c r="BI58" i="5"/>
  <c r="BJ58" i="5" s="1"/>
  <c r="K62" i="8"/>
  <c r="L62" i="8" s="1"/>
  <c r="AG66" i="5"/>
  <c r="AJ66" i="5" s="1"/>
  <c r="N66" i="5"/>
  <c r="O66" i="5"/>
  <c r="C70" i="8"/>
  <c r="E70" i="8"/>
  <c r="D70" i="8"/>
  <c r="AG74" i="5"/>
  <c r="AJ74" i="5" s="1"/>
  <c r="BI74" i="5"/>
  <c r="N78" i="5"/>
  <c r="O78" i="5"/>
  <c r="AL78" i="8"/>
  <c r="K82" i="8"/>
  <c r="L82" i="8" s="1"/>
  <c r="AL82" i="8"/>
  <c r="BI82" i="5"/>
  <c r="BJ82" i="5" s="1"/>
  <c r="AL90" i="8"/>
  <c r="AM90" i="8" s="1"/>
  <c r="AC90" i="8"/>
  <c r="AG94" i="5"/>
  <c r="AJ94" i="5" s="1"/>
  <c r="AC94" i="8"/>
  <c r="AG98" i="5"/>
  <c r="AJ98" i="5" s="1"/>
  <c r="AL98" i="8"/>
  <c r="B102" i="8"/>
  <c r="C102" i="8" s="1"/>
  <c r="AC102" i="8"/>
  <c r="K106" i="8"/>
  <c r="L106" i="8" s="1"/>
  <c r="BI106" i="5"/>
  <c r="BJ106" i="5" s="1"/>
  <c r="N110" i="5"/>
  <c r="O110" i="5"/>
  <c r="AL110" i="8"/>
  <c r="AM110" i="8" s="1"/>
  <c r="BT110" i="5"/>
  <c r="K114" i="8"/>
  <c r="L114" i="8" s="1"/>
  <c r="N114" i="5"/>
  <c r="O114" i="5"/>
  <c r="BI114" i="5"/>
  <c r="BJ114" i="5" s="1"/>
  <c r="K118" i="8"/>
  <c r="AG118" i="5"/>
  <c r="AJ118" i="5" s="1"/>
  <c r="BT118" i="5"/>
  <c r="AL122" i="8"/>
  <c r="AM122" i="8" s="1"/>
  <c r="AC126" i="8"/>
  <c r="AD126" i="8" s="1"/>
  <c r="AL130" i="8"/>
  <c r="AM130" i="8" s="1"/>
  <c r="AL134" i="8"/>
  <c r="N138" i="5"/>
  <c r="O138" i="5"/>
  <c r="AC138" i="8"/>
  <c r="B142" i="8"/>
  <c r="C142" i="8" s="1"/>
  <c r="C146" i="8"/>
  <c r="D146" i="8"/>
  <c r="E146" i="8"/>
  <c r="AC146" i="8"/>
  <c r="AD146" i="8" s="1"/>
  <c r="U150" i="8"/>
  <c r="O150" i="5"/>
  <c r="N150" i="5"/>
  <c r="BI150" i="5"/>
  <c r="BJ150" i="5" s="1"/>
  <c r="K154" i="8"/>
  <c r="L154" i="8" s="1"/>
  <c r="AG154" i="5"/>
  <c r="AJ154" i="5" s="1"/>
  <c r="BI154" i="5"/>
  <c r="BJ154" i="5" s="1"/>
  <c r="O158" i="5"/>
  <c r="N158" i="5"/>
  <c r="AL158" i="8"/>
  <c r="AM158" i="8" s="1"/>
  <c r="K162" i="8"/>
  <c r="L162" i="8" s="1"/>
  <c r="N162" i="5"/>
  <c r="O162" i="5"/>
  <c r="BI162" i="5"/>
  <c r="BJ162" i="5" s="1"/>
  <c r="K166" i="8"/>
  <c r="L166" i="8" s="1"/>
  <c r="AG166" i="5"/>
  <c r="AJ166" i="5" s="1"/>
  <c r="BT166" i="5"/>
  <c r="BU166" i="5" s="1"/>
  <c r="AL170" i="8"/>
  <c r="AM170" i="8" s="1"/>
  <c r="BT170" i="5"/>
  <c r="BU170" i="5" s="1"/>
  <c r="AG174" i="5"/>
  <c r="AJ174" i="5" s="1"/>
  <c r="AC174" i="8"/>
  <c r="AD174" i="8" s="1"/>
  <c r="B178" i="8"/>
  <c r="C178" i="8" s="1"/>
  <c r="AC178" i="8"/>
  <c r="AD178" i="8" s="1"/>
  <c r="B182" i="8"/>
  <c r="C182" i="8" s="1"/>
  <c r="AC182" i="8"/>
  <c r="AD182" i="8" s="1"/>
  <c r="K186" i="8"/>
  <c r="L186" i="8" s="1"/>
  <c r="AG186" i="5"/>
  <c r="AJ186" i="5" s="1"/>
  <c r="BT186" i="5"/>
  <c r="BU186" i="5" s="1"/>
  <c r="N190" i="5"/>
  <c r="O190" i="5"/>
  <c r="AL190" i="8"/>
  <c r="AM190" i="8" s="1"/>
  <c r="BI190" i="5"/>
  <c r="BJ190" i="5" s="1"/>
  <c r="K194" i="8"/>
  <c r="L194" i="8" s="1"/>
  <c r="N194" i="5"/>
  <c r="O194" i="5"/>
  <c r="BI194" i="5"/>
  <c r="BJ194" i="5" s="1"/>
  <c r="AL198" i="8"/>
  <c r="AM198" i="8" s="1"/>
  <c r="O202" i="5"/>
  <c r="N202" i="5"/>
  <c r="AC202" i="8"/>
  <c r="AD202" i="8" s="1"/>
  <c r="AC7" i="8"/>
  <c r="AD7" i="8" s="1"/>
  <c r="AG7" i="5"/>
  <c r="AJ7" i="5" s="1"/>
  <c r="BI7" i="5"/>
  <c r="BJ7" i="5" s="1"/>
  <c r="U11" i="8"/>
  <c r="O15" i="5"/>
  <c r="N15" i="5"/>
  <c r="AL15" i="8"/>
  <c r="AM15" i="8" s="1"/>
  <c r="BI15" i="5"/>
  <c r="BJ15" i="5" s="1"/>
  <c r="B19" i="8"/>
  <c r="C19" i="8" s="1"/>
  <c r="O19" i="5"/>
  <c r="N19" i="5"/>
  <c r="AC23" i="8"/>
  <c r="AD23" i="8" s="1"/>
  <c r="AG23" i="5"/>
  <c r="AJ23" i="5" s="1"/>
  <c r="BI23" i="5"/>
  <c r="BJ23" i="5" s="1"/>
  <c r="U27" i="8"/>
  <c r="O31" i="5"/>
  <c r="N31" i="5"/>
  <c r="AL31" i="8"/>
  <c r="AM31" i="8" s="1"/>
  <c r="BI31" i="5"/>
  <c r="BJ31" i="5" s="1"/>
  <c r="B35" i="8"/>
  <c r="C35" i="8" s="1"/>
  <c r="O35" i="5"/>
  <c r="N35" i="5"/>
  <c r="AC39" i="8"/>
  <c r="AD39" i="8" s="1"/>
  <c r="AG39" i="5"/>
  <c r="AJ39" i="5" s="1"/>
  <c r="BT39" i="5"/>
  <c r="BU39" i="5" s="1"/>
  <c r="U43" i="8"/>
  <c r="BT43" i="5"/>
  <c r="BU43" i="5" s="1"/>
  <c r="N47" i="5"/>
  <c r="O47" i="5"/>
  <c r="AL47" i="8"/>
  <c r="AM47" i="8" s="1"/>
  <c r="BI47" i="5"/>
  <c r="BJ47" i="5" s="1"/>
  <c r="B51" i="8"/>
  <c r="C51" i="8" s="1"/>
  <c r="O51" i="5"/>
  <c r="N51" i="5"/>
  <c r="AC55" i="8"/>
  <c r="AD55" i="8" s="1"/>
  <c r="AG55" i="5"/>
  <c r="AJ55" i="5" s="1"/>
  <c r="BT55" i="5"/>
  <c r="BU55" i="5" s="1"/>
  <c r="U59" i="8"/>
  <c r="N63" i="5"/>
  <c r="O63" i="5"/>
  <c r="AL63" i="8"/>
  <c r="AM63" i="8" s="1"/>
  <c r="BI63" i="5"/>
  <c r="BJ63" i="5" s="1"/>
  <c r="B67" i="8"/>
  <c r="C67" i="8" s="1"/>
  <c r="O67" i="5"/>
  <c r="N67" i="5"/>
  <c r="AC71" i="8"/>
  <c r="AD71" i="8" s="1"/>
  <c r="AG71" i="5"/>
  <c r="AJ71" i="5" s="1"/>
  <c r="BT71" i="5"/>
  <c r="BU71" i="5" s="1"/>
  <c r="U75" i="8"/>
  <c r="O79" i="5"/>
  <c r="N79" i="5"/>
  <c r="AL79" i="8"/>
  <c r="AM79" i="8" s="1"/>
  <c r="BT79" i="5"/>
  <c r="BU79" i="5" s="1"/>
  <c r="N83" i="8"/>
  <c r="B83" i="8"/>
  <c r="O83" i="5"/>
  <c r="N83" i="5"/>
  <c r="AC87" i="8"/>
  <c r="AG87" i="5"/>
  <c r="AJ87" i="5" s="1"/>
  <c r="BT87" i="5"/>
  <c r="U91" i="8"/>
  <c r="BT91" i="5"/>
  <c r="O95" i="5"/>
  <c r="N95" i="5"/>
  <c r="AL95" i="8"/>
  <c r="BI95" i="5"/>
  <c r="BJ95" i="5" s="1"/>
  <c r="C99" i="8"/>
  <c r="D99" i="8"/>
  <c r="E99" i="8"/>
  <c r="AL99" i="8"/>
  <c r="AM99" i="8" s="1"/>
  <c r="AC103" i="8"/>
  <c r="AD103" i="8" s="1"/>
  <c r="AG103" i="5"/>
  <c r="AJ103" i="5" s="1"/>
  <c r="BT103" i="5"/>
  <c r="BU103" i="5" s="1"/>
  <c r="U107" i="8"/>
  <c r="BI107" i="5"/>
  <c r="BJ107" i="5" s="1"/>
  <c r="N111" i="5"/>
  <c r="O111" i="5"/>
  <c r="AL111" i="8"/>
  <c r="AM111" i="8" s="1"/>
  <c r="BC111" i="5"/>
  <c r="BB111" i="5"/>
  <c r="B115" i="8"/>
  <c r="C115" i="8" s="1"/>
  <c r="AL115" i="8"/>
  <c r="AM115" i="8" s="1"/>
  <c r="AC119" i="8"/>
  <c r="AD119" i="8" s="1"/>
  <c r="AG119" i="5"/>
  <c r="AJ119" i="5" s="1"/>
  <c r="BT119" i="5"/>
  <c r="BU119" i="5" s="1"/>
  <c r="U123" i="8"/>
  <c r="BI123" i="5"/>
  <c r="BJ123" i="5" s="1"/>
  <c r="N127" i="5"/>
  <c r="O127" i="5"/>
  <c r="AL127" i="8"/>
  <c r="AM127" i="8" s="1"/>
  <c r="B131" i="8"/>
  <c r="AL131" i="8"/>
  <c r="AM131" i="8" s="1"/>
  <c r="AC135" i="8"/>
  <c r="AD135" i="8" s="1"/>
  <c r="AG135" i="5"/>
  <c r="AJ135" i="5" s="1"/>
  <c r="BT135" i="5"/>
  <c r="BU135" i="5" s="1"/>
  <c r="U139" i="8"/>
  <c r="BI139" i="5"/>
  <c r="BJ139" i="5" s="1"/>
  <c r="N143" i="5"/>
  <c r="O143" i="5"/>
  <c r="AL143" i="8"/>
  <c r="AM143" i="8" s="1"/>
  <c r="B147" i="8"/>
  <c r="C147" i="8" s="1"/>
  <c r="AL147" i="8"/>
  <c r="AM147" i="8" s="1"/>
  <c r="AC151" i="8"/>
  <c r="AD151" i="8" s="1"/>
  <c r="AG151" i="5"/>
  <c r="AJ151" i="5" s="1"/>
  <c r="BT151" i="5"/>
  <c r="BU151" i="5" s="1"/>
  <c r="U155" i="8"/>
  <c r="BI155" i="5"/>
  <c r="BJ155" i="5" s="1"/>
  <c r="O159" i="5"/>
  <c r="N159" i="5"/>
  <c r="AL159" i="8"/>
  <c r="AM159" i="8" s="1"/>
  <c r="N163" i="8"/>
  <c r="B163" i="8"/>
  <c r="AL163" i="8"/>
  <c r="AM163" i="8" s="1"/>
  <c r="AC167" i="8"/>
  <c r="AD167" i="8" s="1"/>
  <c r="AG167" i="5"/>
  <c r="AJ167" i="5" s="1"/>
  <c r="BT167" i="5"/>
  <c r="BU167" i="5" s="1"/>
  <c r="U171" i="8"/>
  <c r="BI171" i="5"/>
  <c r="BJ171" i="5" s="1"/>
  <c r="O175" i="5"/>
  <c r="N175" i="5"/>
  <c r="AL175" i="8"/>
  <c r="AM175" i="8" s="1"/>
  <c r="N179" i="8"/>
  <c r="B179" i="8"/>
  <c r="AL179" i="8"/>
  <c r="AM179" i="8" s="1"/>
  <c r="AC183" i="8"/>
  <c r="AD183" i="8" s="1"/>
  <c r="AG183" i="5"/>
  <c r="AJ183" i="5" s="1"/>
  <c r="BI183" i="5"/>
  <c r="BJ183" i="5" s="1"/>
  <c r="U187" i="8"/>
  <c r="BI187" i="5"/>
  <c r="BJ187" i="5" s="1"/>
  <c r="N191" i="5"/>
  <c r="O191" i="5"/>
  <c r="AL191" i="8"/>
  <c r="AM191" i="8" s="1"/>
  <c r="N195" i="8"/>
  <c r="B195" i="8"/>
  <c r="AL195" i="8"/>
  <c r="AM195" i="8" s="1"/>
  <c r="AC199" i="8"/>
  <c r="AD199" i="8" s="1"/>
  <c r="AG199" i="5"/>
  <c r="AJ199" i="5" s="1"/>
  <c r="BI199" i="5"/>
  <c r="BJ199" i="5" s="1"/>
  <c r="U3" i="8"/>
  <c r="BJ3" i="5"/>
  <c r="BL3" i="5"/>
  <c r="B4" i="8"/>
  <c r="C4" i="8" s="1"/>
  <c r="AL4" i="8"/>
  <c r="AM4" i="8" s="1"/>
  <c r="AG4" i="5"/>
  <c r="AJ4" i="5" s="1"/>
  <c r="B8" i="8"/>
  <c r="C8" i="8" s="1"/>
  <c r="AL8" i="8"/>
  <c r="AM8" i="8" s="1"/>
  <c r="BT8" i="5"/>
  <c r="BU8" i="5" s="1"/>
  <c r="AC12" i="8"/>
  <c r="AD12" i="8" s="1"/>
  <c r="BC12" i="5"/>
  <c r="BB12" i="5"/>
  <c r="BT12" i="5"/>
  <c r="BU12" i="5" s="1"/>
  <c r="U16" i="8"/>
  <c r="N16" i="5"/>
  <c r="O16" i="5"/>
  <c r="AG16" i="5"/>
  <c r="AJ16" i="5" s="1"/>
  <c r="U20" i="8"/>
  <c r="O20" i="5"/>
  <c r="N20" i="5"/>
  <c r="BC20" i="5"/>
  <c r="BB20" i="5"/>
  <c r="U24" i="8"/>
  <c r="N24" i="5"/>
  <c r="O24" i="5"/>
  <c r="AG24" i="5"/>
  <c r="AJ24" i="5" s="1"/>
  <c r="K28" i="8"/>
  <c r="L28" i="8" s="1"/>
  <c r="AG28" i="5"/>
  <c r="AJ28" i="5" s="1"/>
  <c r="C32" i="8"/>
  <c r="D32" i="8"/>
  <c r="E32" i="8"/>
  <c r="AL32" i="8"/>
  <c r="BC32" i="5"/>
  <c r="BB32" i="5"/>
  <c r="B36" i="8"/>
  <c r="AL36" i="8"/>
  <c r="AM36" i="8" s="1"/>
  <c r="BI36" i="5"/>
  <c r="B40" i="8"/>
  <c r="C40" i="8" s="1"/>
  <c r="AL40" i="8"/>
  <c r="BI40" i="5"/>
  <c r="BJ40" i="5" s="1"/>
  <c r="AC44" i="8"/>
  <c r="BT44" i="5"/>
  <c r="BU44" i="5" s="1"/>
  <c r="N48" i="5"/>
  <c r="O48" i="5"/>
  <c r="U52" i="8"/>
  <c r="N52" i="5"/>
  <c r="O52" i="5"/>
  <c r="U56" i="8"/>
  <c r="N56" i="5"/>
  <c r="O56" i="5"/>
  <c r="AG56" i="5"/>
  <c r="AJ56" i="5" s="1"/>
  <c r="K60" i="8"/>
  <c r="B64" i="8"/>
  <c r="AL64" i="8"/>
  <c r="BT64" i="5"/>
  <c r="BU64" i="5" s="1"/>
  <c r="B68" i="8"/>
  <c r="AG68" i="5"/>
  <c r="AJ68" i="5" s="1"/>
  <c r="BI68" i="5"/>
  <c r="C72" i="8"/>
  <c r="D72" i="8"/>
  <c r="E72" i="8"/>
  <c r="AG72" i="5"/>
  <c r="AJ72" i="5" s="1"/>
  <c r="AC76" i="8"/>
  <c r="AD76" i="8" s="1"/>
  <c r="O76" i="5"/>
  <c r="N76" i="5"/>
  <c r="BT76" i="5"/>
  <c r="BU76" i="5" s="1"/>
  <c r="U80" i="8"/>
  <c r="AG80" i="5"/>
  <c r="AJ80" i="5" s="1"/>
  <c r="U84" i="8"/>
  <c r="U88" i="8"/>
  <c r="K92" i="8"/>
  <c r="L92" i="8" s="1"/>
  <c r="B96" i="8"/>
  <c r="C96" i="8" s="1"/>
  <c r="AL96" i="8"/>
  <c r="AM96" i="8" s="1"/>
  <c r="BI96" i="5"/>
  <c r="BJ96" i="5" s="1"/>
  <c r="B100" i="8"/>
  <c r="C100" i="8" s="1"/>
  <c r="AL100" i="8"/>
  <c r="AM100" i="8" s="1"/>
  <c r="BT100" i="5"/>
  <c r="BU100" i="5" s="1"/>
  <c r="C104" i="8"/>
  <c r="D104" i="8"/>
  <c r="E104" i="8"/>
  <c r="AL104" i="8"/>
  <c r="AM104" i="8" s="1"/>
  <c r="BI104" i="5"/>
  <c r="AC108" i="8"/>
  <c r="AD108" i="8" s="1"/>
  <c r="O108" i="5"/>
  <c r="N108" i="5"/>
  <c r="BT108" i="5"/>
  <c r="BU108" i="5" s="1"/>
  <c r="AG112" i="5"/>
  <c r="AJ112" i="5" s="1"/>
  <c r="U120" i="8"/>
  <c r="K124" i="8"/>
  <c r="K128" i="8"/>
  <c r="L128" i="8" s="1"/>
  <c r="BT128" i="5"/>
  <c r="K132" i="8"/>
  <c r="L132" i="8" s="1"/>
  <c r="BT132" i="5"/>
  <c r="BU132" i="5" s="1"/>
  <c r="K136" i="8"/>
  <c r="AG136" i="5"/>
  <c r="AJ136" i="5" s="1"/>
  <c r="BI136" i="5"/>
  <c r="B140" i="8"/>
  <c r="C140" i="8" s="1"/>
  <c r="AL140" i="8"/>
  <c r="AC144" i="8"/>
  <c r="AD144" i="8" s="1"/>
  <c r="N144" i="5"/>
  <c r="O144" i="5"/>
  <c r="BT144" i="5"/>
  <c r="BU144" i="5" s="1"/>
  <c r="AC148" i="8"/>
  <c r="N148" i="5"/>
  <c r="O148" i="5"/>
  <c r="AC152" i="8"/>
  <c r="N152" i="5"/>
  <c r="O152" i="5"/>
  <c r="BT152" i="5"/>
  <c r="U156" i="8"/>
  <c r="BI156" i="5"/>
  <c r="BJ156" i="5" s="1"/>
  <c r="K160" i="8"/>
  <c r="BT160" i="5"/>
  <c r="BU160" i="5" s="1"/>
  <c r="K164" i="8"/>
  <c r="AG164" i="5"/>
  <c r="AJ164" i="5" s="1"/>
  <c r="BI164" i="5"/>
  <c r="K168" i="8"/>
  <c r="L168" i="8" s="1"/>
  <c r="BT168" i="5"/>
  <c r="BU168" i="5" s="1"/>
  <c r="B172" i="8"/>
  <c r="AL172" i="8"/>
  <c r="AM172" i="8" s="1"/>
  <c r="AC176" i="8"/>
  <c r="N176" i="5"/>
  <c r="O176" i="5"/>
  <c r="BC176" i="5"/>
  <c r="BB176" i="5"/>
  <c r="AC180" i="8"/>
  <c r="AD180" i="8" s="1"/>
  <c r="N180" i="5"/>
  <c r="O180" i="5"/>
  <c r="BT180" i="5"/>
  <c r="BU180" i="5" s="1"/>
  <c r="AC184" i="8"/>
  <c r="N184" i="5"/>
  <c r="O184" i="5"/>
  <c r="AC188" i="8"/>
  <c r="N188" i="5"/>
  <c r="O188" i="5"/>
  <c r="BI188" i="5"/>
  <c r="U192" i="8"/>
  <c r="U196" i="8"/>
  <c r="R71" i="7"/>
  <c r="Q71" i="7"/>
  <c r="BE117" i="5"/>
  <c r="BD117" i="5"/>
  <c r="BE82" i="5"/>
  <c r="BD82" i="5"/>
  <c r="AU140" i="5"/>
  <c r="AT140" i="5"/>
  <c r="W27" i="5"/>
  <c r="Z27" i="5" s="1"/>
  <c r="X27" i="5"/>
  <c r="B27" i="5"/>
  <c r="B43" i="5"/>
  <c r="B59" i="5"/>
  <c r="B75" i="5"/>
  <c r="B91" i="5"/>
  <c r="B107" i="5"/>
  <c r="B123" i="5"/>
  <c r="B139" i="5"/>
  <c r="B155" i="5"/>
  <c r="B171" i="5"/>
  <c r="B187" i="5"/>
  <c r="W9" i="5"/>
  <c r="Z9" i="5" s="1"/>
  <c r="X9" i="5"/>
  <c r="W37" i="5"/>
  <c r="Z37" i="5" s="1"/>
  <c r="X37" i="5"/>
  <c r="W73" i="5"/>
  <c r="Z73" i="5" s="1"/>
  <c r="X73" i="5"/>
  <c r="W101" i="5"/>
  <c r="Z101" i="5" s="1"/>
  <c r="X101" i="5"/>
  <c r="W137" i="5"/>
  <c r="Z137" i="5" s="1"/>
  <c r="X137" i="5"/>
  <c r="W169" i="5"/>
  <c r="Z169" i="5" s="1"/>
  <c r="X169" i="5"/>
  <c r="W201" i="5"/>
  <c r="Z201" i="5" s="1"/>
  <c r="X201" i="5"/>
  <c r="B57" i="5"/>
  <c r="C57" i="5" s="1"/>
  <c r="F57" i="5" s="1"/>
  <c r="B73" i="5"/>
  <c r="C73" i="5" s="1"/>
  <c r="F73" i="5" s="1"/>
  <c r="M73" i="5"/>
  <c r="P73" i="5" s="1"/>
  <c r="B121" i="5"/>
  <c r="C121" i="5" s="1"/>
  <c r="F121" i="5" s="1"/>
  <c r="B137" i="5"/>
  <c r="B185" i="5"/>
  <c r="C185" i="5" s="1"/>
  <c r="F185" i="5" s="1"/>
  <c r="B201" i="5"/>
  <c r="C201" i="5" s="1"/>
  <c r="X82" i="5"/>
  <c r="W82" i="5"/>
  <c r="Z82" i="5" s="1"/>
  <c r="B10" i="5"/>
  <c r="C10" i="5" s="1"/>
  <c r="F10" i="5" s="1"/>
  <c r="B30" i="5"/>
  <c r="C30" i="5" s="1"/>
  <c r="F30" i="5" s="1"/>
  <c r="B78" i="5"/>
  <c r="C78" i="5" s="1"/>
  <c r="F78" i="5" s="1"/>
  <c r="B110" i="5"/>
  <c r="C110" i="5" s="1"/>
  <c r="F110" i="5" s="1"/>
  <c r="B118" i="5"/>
  <c r="C118" i="5" s="1"/>
  <c r="F118" i="5" s="1"/>
  <c r="B142" i="5"/>
  <c r="C142" i="5" s="1"/>
  <c r="F142" i="5" s="1"/>
  <c r="B158" i="5"/>
  <c r="C158" i="5" s="1"/>
  <c r="F158" i="5" s="1"/>
  <c r="M158" i="5"/>
  <c r="P158" i="5" s="1"/>
  <c r="B190" i="5"/>
  <c r="C190" i="5" s="1"/>
  <c r="F190" i="5" s="1"/>
  <c r="B66" i="5"/>
  <c r="C66" i="5" s="1"/>
  <c r="F66" i="5" s="1"/>
  <c r="X39" i="5"/>
  <c r="W39" i="5"/>
  <c r="Z39" i="5" s="1"/>
  <c r="AA168" i="5"/>
  <c r="AA159" i="5"/>
  <c r="AA123" i="5"/>
  <c r="AA191" i="5"/>
  <c r="E174" i="5"/>
  <c r="D174" i="5"/>
  <c r="AA167" i="5"/>
  <c r="X87" i="5"/>
  <c r="W87" i="5"/>
  <c r="Z87" i="5" s="1"/>
  <c r="B15" i="5"/>
  <c r="M15" i="5"/>
  <c r="P15" i="5" s="1"/>
  <c r="B31" i="5"/>
  <c r="B47" i="5"/>
  <c r="B63" i="5"/>
  <c r="B79" i="5"/>
  <c r="B95" i="5"/>
  <c r="B111" i="5"/>
  <c r="B127" i="5"/>
  <c r="B143" i="5"/>
  <c r="M143" i="5"/>
  <c r="P143" i="5" s="1"/>
  <c r="B159" i="5"/>
  <c r="M159" i="5"/>
  <c r="P159" i="5" s="1"/>
  <c r="B175" i="5"/>
  <c r="B191" i="5"/>
  <c r="M191" i="5"/>
  <c r="P191" i="5" s="1"/>
  <c r="X15" i="5"/>
  <c r="W15" i="5"/>
  <c r="Z15" i="5" s="1"/>
  <c r="W31" i="5"/>
  <c r="Z31" i="5" s="1"/>
  <c r="X31" i="5"/>
  <c r="X47" i="5"/>
  <c r="W47" i="5"/>
  <c r="Z47" i="5" s="1"/>
  <c r="X63" i="5"/>
  <c r="W63" i="5"/>
  <c r="Z63" i="5" s="1"/>
  <c r="W79" i="5"/>
  <c r="Z79" i="5" s="1"/>
  <c r="X79" i="5"/>
  <c r="W95" i="5"/>
  <c r="Z95" i="5" s="1"/>
  <c r="X95" i="5"/>
  <c r="W111" i="5"/>
  <c r="Z111" i="5" s="1"/>
  <c r="X111" i="5"/>
  <c r="X86" i="5"/>
  <c r="W86" i="5"/>
  <c r="Z86" i="5" s="1"/>
  <c r="X6" i="5"/>
  <c r="W6" i="5"/>
  <c r="Z6" i="5" s="1"/>
  <c r="X30" i="5"/>
  <c r="W30" i="5"/>
  <c r="Z30" i="5" s="1"/>
  <c r="X46" i="5"/>
  <c r="W46" i="5"/>
  <c r="Z46" i="5" s="1"/>
  <c r="X70" i="5"/>
  <c r="W70" i="5"/>
  <c r="Z70" i="5" s="1"/>
  <c r="W94" i="5"/>
  <c r="Z94" i="5" s="1"/>
  <c r="X94" i="5"/>
  <c r="X110" i="5"/>
  <c r="W110" i="5"/>
  <c r="Z110" i="5" s="1"/>
  <c r="X126" i="5"/>
  <c r="W126" i="5"/>
  <c r="Z126" i="5" s="1"/>
  <c r="X134" i="5"/>
  <c r="W134" i="5"/>
  <c r="Z134" i="5" s="1"/>
  <c r="W142" i="5"/>
  <c r="Z142" i="5" s="1"/>
  <c r="X142" i="5"/>
  <c r="W158" i="5"/>
  <c r="Z158" i="5" s="1"/>
  <c r="X158" i="5"/>
  <c r="X166" i="5"/>
  <c r="W166" i="5"/>
  <c r="Z166" i="5" s="1"/>
  <c r="X174" i="5"/>
  <c r="W174" i="5"/>
  <c r="Z174" i="5" s="1"/>
  <c r="X190" i="5"/>
  <c r="W190" i="5"/>
  <c r="Z190" i="5" s="1"/>
  <c r="X198" i="5"/>
  <c r="W198" i="5"/>
  <c r="Z198" i="5" s="1"/>
  <c r="B42" i="5"/>
  <c r="C42" i="5" s="1"/>
  <c r="B106" i="5"/>
  <c r="M106" i="5"/>
  <c r="P106" i="5" s="1"/>
  <c r="B170" i="5"/>
  <c r="C170" i="5" s="1"/>
  <c r="B88" i="5"/>
  <c r="B108" i="5"/>
  <c r="C108" i="5" s="1"/>
  <c r="F108" i="5" s="1"/>
  <c r="X8" i="5"/>
  <c r="W8" i="5"/>
  <c r="Z8" i="5" s="1"/>
  <c r="W16" i="5"/>
  <c r="Z16" i="5" s="1"/>
  <c r="X16" i="5"/>
  <c r="X24" i="5"/>
  <c r="W24" i="5"/>
  <c r="Z24" i="5" s="1"/>
  <c r="W32" i="5"/>
  <c r="Z32" i="5" s="1"/>
  <c r="X32" i="5"/>
  <c r="X40" i="5"/>
  <c r="W40" i="5"/>
  <c r="Z40" i="5" s="1"/>
  <c r="X48" i="5"/>
  <c r="W48" i="5"/>
  <c r="Z48" i="5" s="1"/>
  <c r="X56" i="5"/>
  <c r="W56" i="5"/>
  <c r="Z56" i="5" s="1"/>
  <c r="W64" i="5"/>
  <c r="Z64" i="5" s="1"/>
  <c r="X64" i="5"/>
  <c r="X72" i="5"/>
  <c r="W72" i="5"/>
  <c r="Z72" i="5" s="1"/>
  <c r="W80" i="5"/>
  <c r="Z80" i="5" s="1"/>
  <c r="X80" i="5"/>
  <c r="X88" i="5"/>
  <c r="W88" i="5"/>
  <c r="Z88" i="5" s="1"/>
  <c r="W96" i="5"/>
  <c r="Z96" i="5" s="1"/>
  <c r="X96" i="5"/>
  <c r="X104" i="5"/>
  <c r="W104" i="5"/>
  <c r="Z104" i="5" s="1"/>
  <c r="X112" i="5"/>
  <c r="W112" i="5"/>
  <c r="Z112" i="5" s="1"/>
  <c r="X124" i="5"/>
  <c r="W124" i="5"/>
  <c r="Z124" i="5" s="1"/>
  <c r="W140" i="5"/>
  <c r="Z140" i="5" s="1"/>
  <c r="X140" i="5"/>
  <c r="W156" i="5"/>
  <c r="Z156" i="5" s="1"/>
  <c r="X156" i="5"/>
  <c r="X172" i="5"/>
  <c r="W172" i="5"/>
  <c r="Z172" i="5" s="1"/>
  <c r="X188" i="5"/>
  <c r="W188" i="5"/>
  <c r="Z188" i="5" s="1"/>
  <c r="B188" i="5"/>
  <c r="C188" i="5" s="1"/>
  <c r="F188" i="5" s="1"/>
  <c r="B157" i="5"/>
  <c r="C157" i="5" s="1"/>
  <c r="F157" i="5" s="1"/>
  <c r="B184" i="5"/>
  <c r="C184" i="5" s="1"/>
  <c r="F184" i="5" s="1"/>
  <c r="B196" i="5"/>
  <c r="C196" i="5" s="1"/>
  <c r="F196" i="5" s="1"/>
  <c r="W33" i="5"/>
  <c r="Z33" i="5" s="1"/>
  <c r="X33" i="5"/>
  <c r="W97" i="5"/>
  <c r="Z97" i="5" s="1"/>
  <c r="X97" i="5"/>
  <c r="W125" i="5"/>
  <c r="Z125" i="5" s="1"/>
  <c r="X125" i="5"/>
  <c r="W141" i="5"/>
  <c r="Z141" i="5" s="1"/>
  <c r="X141" i="5"/>
  <c r="W157" i="5"/>
  <c r="Z157" i="5" s="1"/>
  <c r="X157" i="5"/>
  <c r="W189" i="5"/>
  <c r="Z189" i="5" s="1"/>
  <c r="X189" i="5"/>
  <c r="B5" i="5"/>
  <c r="C5" i="5" s="1"/>
  <c r="F5" i="5" s="1"/>
  <c r="B13" i="5"/>
  <c r="C13" i="5" s="1"/>
  <c r="F13" i="5" s="1"/>
  <c r="B53" i="5"/>
  <c r="B69" i="5"/>
  <c r="M69" i="5"/>
  <c r="P69" i="5" s="1"/>
  <c r="B77" i="5"/>
  <c r="C77" i="5" s="1"/>
  <c r="B117" i="5"/>
  <c r="C117" i="5" s="1"/>
  <c r="F117" i="5" s="1"/>
  <c r="B133" i="5"/>
  <c r="C133" i="5" s="1"/>
  <c r="F133" i="5" s="1"/>
  <c r="B141" i="5"/>
  <c r="C141" i="5" s="1"/>
  <c r="F141" i="5" s="1"/>
  <c r="B181" i="5"/>
  <c r="C181" i="5" s="1"/>
  <c r="F181" i="5" s="1"/>
  <c r="B197" i="5"/>
  <c r="X11" i="5"/>
  <c r="W11" i="5"/>
  <c r="Z11" i="5" s="1"/>
  <c r="B60" i="5"/>
  <c r="C60" i="5" s="1"/>
  <c r="M60" i="5"/>
  <c r="P60" i="5" s="1"/>
  <c r="B168" i="5"/>
  <c r="C168" i="5" s="1"/>
  <c r="F168" i="5" s="1"/>
  <c r="B156" i="5"/>
  <c r="W118" i="5"/>
  <c r="Z118" i="5" s="1"/>
  <c r="X118" i="5"/>
  <c r="W182" i="5"/>
  <c r="Z182" i="5" s="1"/>
  <c r="X182" i="5"/>
  <c r="B22" i="5"/>
  <c r="B54" i="5"/>
  <c r="C54" i="5" s="1"/>
  <c r="F54" i="5" s="1"/>
  <c r="B82" i="5"/>
  <c r="B114" i="5"/>
  <c r="B134" i="5"/>
  <c r="B162" i="5"/>
  <c r="C162" i="5" s="1"/>
  <c r="F162" i="5" s="1"/>
  <c r="B178" i="5"/>
  <c r="B194" i="5"/>
  <c r="B17" i="5"/>
  <c r="C17" i="5" s="1"/>
  <c r="B81" i="5"/>
  <c r="B34" i="5"/>
  <c r="B70" i="5"/>
  <c r="B98" i="5"/>
  <c r="C98" i="5" s="1"/>
  <c r="F98" i="5" s="1"/>
  <c r="M98" i="5"/>
  <c r="P98" i="5" s="1"/>
  <c r="B124" i="5"/>
  <c r="AA131" i="5"/>
  <c r="AA136" i="5"/>
  <c r="AA187" i="5"/>
  <c r="E113" i="5"/>
  <c r="D113" i="5"/>
  <c r="AA135" i="5"/>
  <c r="AA10" i="5"/>
  <c r="AA58" i="5"/>
  <c r="E62" i="5"/>
  <c r="D62" i="5"/>
  <c r="B11" i="5"/>
  <c r="X146" i="5"/>
  <c r="W146" i="5"/>
  <c r="Z146" i="5" s="1"/>
  <c r="B4" i="5"/>
  <c r="C4" i="5" s="1"/>
  <c r="F4" i="5" s="1"/>
  <c r="B36" i="5"/>
  <c r="C36" i="5" s="1"/>
  <c r="F36" i="5" s="1"/>
  <c r="M36" i="5"/>
  <c r="P36" i="5" s="1"/>
  <c r="B68" i="5"/>
  <c r="C68" i="5" s="1"/>
  <c r="F68" i="5" s="1"/>
  <c r="M68" i="5"/>
  <c r="P68" i="5" s="1"/>
  <c r="B100" i="5"/>
  <c r="C100" i="5" s="1"/>
  <c r="F100" i="5" s="1"/>
  <c r="B132" i="5"/>
  <c r="B164" i="5"/>
  <c r="C164" i="5" s="1"/>
  <c r="F164" i="5" s="1"/>
  <c r="B145" i="5"/>
  <c r="C145" i="5" s="1"/>
  <c r="W29" i="5"/>
  <c r="Z29" i="5" s="1"/>
  <c r="X29" i="5"/>
  <c r="W57" i="5"/>
  <c r="Z57" i="5" s="1"/>
  <c r="X57" i="5"/>
  <c r="W93" i="5"/>
  <c r="Z93" i="5" s="1"/>
  <c r="X93" i="5"/>
  <c r="W121" i="5"/>
  <c r="Z121" i="5" s="1"/>
  <c r="X121" i="5"/>
  <c r="W153" i="5"/>
  <c r="Z153" i="5" s="1"/>
  <c r="X153" i="5"/>
  <c r="W177" i="5"/>
  <c r="Z177" i="5" s="1"/>
  <c r="X177" i="5"/>
  <c r="B182" i="5"/>
  <c r="C182" i="5" s="1"/>
  <c r="W13" i="5"/>
  <c r="Z13" i="5" s="1"/>
  <c r="X13" i="5"/>
  <c r="E129" i="5"/>
  <c r="D129" i="5"/>
  <c r="AA143" i="5"/>
  <c r="AA139" i="5"/>
  <c r="W91" i="5"/>
  <c r="Z91" i="5" s="1"/>
  <c r="X91" i="5"/>
  <c r="W55" i="5"/>
  <c r="Z55" i="5" s="1"/>
  <c r="X55" i="5"/>
  <c r="B19" i="5"/>
  <c r="M19" i="5"/>
  <c r="P19" i="5" s="1"/>
  <c r="B35" i="5"/>
  <c r="B51" i="5"/>
  <c r="B67" i="5"/>
  <c r="M67" i="5"/>
  <c r="P67" i="5" s="1"/>
  <c r="B83" i="5"/>
  <c r="B99" i="5"/>
  <c r="M99" i="5"/>
  <c r="P99" i="5" s="1"/>
  <c r="B115" i="5"/>
  <c r="M115" i="5"/>
  <c r="P115" i="5" s="1"/>
  <c r="B131" i="5"/>
  <c r="M131" i="5"/>
  <c r="P131" i="5" s="1"/>
  <c r="B147" i="5"/>
  <c r="B163" i="5"/>
  <c r="M163" i="5"/>
  <c r="P163" i="5" s="1"/>
  <c r="B179" i="5"/>
  <c r="B195" i="5"/>
  <c r="X19" i="5"/>
  <c r="W19" i="5"/>
  <c r="Z19" i="5" s="1"/>
  <c r="X35" i="5"/>
  <c r="W35" i="5"/>
  <c r="Z35" i="5" s="1"/>
  <c r="W51" i="5"/>
  <c r="Z51" i="5" s="1"/>
  <c r="X51" i="5"/>
  <c r="X67" i="5"/>
  <c r="W67" i="5"/>
  <c r="Z67" i="5" s="1"/>
  <c r="X83" i="5"/>
  <c r="W83" i="5"/>
  <c r="Z83" i="5" s="1"/>
  <c r="X99" i="5"/>
  <c r="W99" i="5"/>
  <c r="Z99" i="5" s="1"/>
  <c r="W115" i="5"/>
  <c r="Z115" i="5" s="1"/>
  <c r="X115" i="5"/>
  <c r="X22" i="5"/>
  <c r="W22" i="5"/>
  <c r="Z22" i="5" s="1"/>
  <c r="B58" i="5"/>
  <c r="C58" i="5" s="1"/>
  <c r="F58" i="5" s="1"/>
  <c r="M58" i="5"/>
  <c r="P58" i="5" s="1"/>
  <c r="B122" i="5"/>
  <c r="C122" i="5" s="1"/>
  <c r="F122" i="5" s="1"/>
  <c r="B186" i="5"/>
  <c r="B120" i="5"/>
  <c r="C120" i="5" s="1"/>
  <c r="F120" i="5" s="1"/>
  <c r="M120" i="5"/>
  <c r="P120" i="5" s="1"/>
  <c r="B12" i="5"/>
  <c r="B140" i="5"/>
  <c r="C140" i="5" s="1"/>
  <c r="F140" i="5" s="1"/>
  <c r="B16" i="5"/>
  <c r="C16" i="5" s="1"/>
  <c r="F16" i="5" s="1"/>
  <c r="M16" i="5"/>
  <c r="P16" i="5" s="1"/>
  <c r="B32" i="5"/>
  <c r="C32" i="5" s="1"/>
  <c r="B48" i="5"/>
  <c r="B64" i="5"/>
  <c r="C64" i="5" s="1"/>
  <c r="F64" i="5" s="1"/>
  <c r="B80" i="5"/>
  <c r="C80" i="5" s="1"/>
  <c r="F80" i="5" s="1"/>
  <c r="B96" i="5"/>
  <c r="C96" i="5" s="1"/>
  <c r="F96" i="5" s="1"/>
  <c r="B112" i="5"/>
  <c r="B128" i="5"/>
  <c r="B144" i="5"/>
  <c r="M144" i="5"/>
  <c r="P144" i="5" s="1"/>
  <c r="B160" i="5"/>
  <c r="B176" i="5"/>
  <c r="C176" i="5" s="1"/>
  <c r="F176" i="5" s="1"/>
  <c r="B200" i="5"/>
  <c r="C200" i="5" s="1"/>
  <c r="B189" i="5"/>
  <c r="C189" i="5" s="1"/>
  <c r="F189" i="5" s="1"/>
  <c r="W5" i="5"/>
  <c r="Z5" i="5" s="1"/>
  <c r="X5" i="5"/>
  <c r="W17" i="5"/>
  <c r="Z17" i="5" s="1"/>
  <c r="X17" i="5"/>
  <c r="W25" i="5"/>
  <c r="Z25" i="5" s="1"/>
  <c r="X25" i="5"/>
  <c r="W41" i="5"/>
  <c r="Z41" i="5" s="1"/>
  <c r="X41" i="5"/>
  <c r="X53" i="5"/>
  <c r="W53" i="5"/>
  <c r="Z53" i="5" s="1"/>
  <c r="W61" i="5"/>
  <c r="Z61" i="5" s="1"/>
  <c r="X61" i="5"/>
  <c r="W69" i="5"/>
  <c r="Z69" i="5" s="1"/>
  <c r="X69" i="5"/>
  <c r="W81" i="5"/>
  <c r="Z81" i="5" s="1"/>
  <c r="X81" i="5"/>
  <c r="W89" i="5"/>
  <c r="Z89" i="5" s="1"/>
  <c r="X89" i="5"/>
  <c r="W105" i="5"/>
  <c r="Z105" i="5" s="1"/>
  <c r="X105" i="5"/>
  <c r="W117" i="5"/>
  <c r="Z117" i="5" s="1"/>
  <c r="X117" i="5"/>
  <c r="W133" i="5"/>
  <c r="Z133" i="5" s="1"/>
  <c r="X133" i="5"/>
  <c r="X149" i="5"/>
  <c r="W149" i="5"/>
  <c r="Z149" i="5" s="1"/>
  <c r="W165" i="5"/>
  <c r="Z165" i="5" s="1"/>
  <c r="X165" i="5"/>
  <c r="X181" i="5"/>
  <c r="W181" i="5"/>
  <c r="Z181" i="5" s="1"/>
  <c r="W197" i="5"/>
  <c r="Z197" i="5" s="1"/>
  <c r="X197" i="5"/>
  <c r="B25" i="5"/>
  <c r="M25" i="5"/>
  <c r="P25" i="5" s="1"/>
  <c r="B41" i="5"/>
  <c r="C41" i="5" s="1"/>
  <c r="F41" i="5" s="1"/>
  <c r="B89" i="5"/>
  <c r="C89" i="5" s="1"/>
  <c r="B105" i="5"/>
  <c r="C105" i="5" s="1"/>
  <c r="M105" i="5"/>
  <c r="P105" i="5" s="1"/>
  <c r="B153" i="5"/>
  <c r="B169" i="5"/>
  <c r="C169" i="5" s="1"/>
  <c r="F169" i="5" s="1"/>
  <c r="B8" i="5"/>
  <c r="C8" i="5" s="1"/>
  <c r="B72" i="5"/>
  <c r="C72" i="5" s="1"/>
  <c r="M72" i="5"/>
  <c r="P72" i="5" s="1"/>
  <c r="W103" i="5"/>
  <c r="Z103" i="5" s="1"/>
  <c r="X103" i="5"/>
  <c r="B38" i="5"/>
  <c r="C38" i="5" s="1"/>
  <c r="X18" i="5"/>
  <c r="W18" i="5"/>
  <c r="Z18" i="5" s="1"/>
  <c r="W50" i="5"/>
  <c r="Z50" i="5" s="1"/>
  <c r="X50" i="5"/>
  <c r="W66" i="5"/>
  <c r="Z66" i="5" s="1"/>
  <c r="X66" i="5"/>
  <c r="X98" i="5"/>
  <c r="W98" i="5"/>
  <c r="Z98" i="5" s="1"/>
  <c r="B14" i="5"/>
  <c r="C14" i="5" s="1"/>
  <c r="B46" i="5"/>
  <c r="C46" i="5" s="1"/>
  <c r="B94" i="5"/>
  <c r="B126" i="5"/>
  <c r="C126" i="5" s="1"/>
  <c r="F126" i="5" s="1"/>
  <c r="B150" i="5"/>
  <c r="B198" i="5"/>
  <c r="C198" i="5" s="1"/>
  <c r="W77" i="5"/>
  <c r="Z77" i="5" s="1"/>
  <c r="X77" i="5"/>
  <c r="B97" i="5"/>
  <c r="C97" i="5" s="1"/>
  <c r="B33" i="5"/>
  <c r="C33" i="5" s="1"/>
  <c r="F33" i="5" s="1"/>
  <c r="W171" i="5"/>
  <c r="Z171" i="5" s="1"/>
  <c r="X171" i="5"/>
  <c r="B136" i="5"/>
  <c r="B146" i="5"/>
  <c r="C146" i="5" s="1"/>
  <c r="B6" i="5"/>
  <c r="M6" i="5"/>
  <c r="P6" i="5" s="1"/>
  <c r="AA120" i="5"/>
  <c r="AA128" i="5"/>
  <c r="AA152" i="5"/>
  <c r="AA160" i="5"/>
  <c r="AA192" i="5"/>
  <c r="AA175" i="5"/>
  <c r="E65" i="5"/>
  <c r="D65" i="5"/>
  <c r="E193" i="5"/>
  <c r="D193" i="5"/>
  <c r="AA106" i="5"/>
  <c r="AA155" i="5"/>
  <c r="C7" i="5"/>
  <c r="F7" i="5" s="1"/>
  <c r="E7" i="5"/>
  <c r="D7" i="5"/>
  <c r="AA90" i="5"/>
  <c r="X150" i="5"/>
  <c r="W150" i="5"/>
  <c r="Z150" i="5" s="1"/>
  <c r="B26" i="5"/>
  <c r="C26" i="5" s="1"/>
  <c r="B90" i="5"/>
  <c r="M90" i="5"/>
  <c r="P90" i="5" s="1"/>
  <c r="B154" i="5"/>
  <c r="C154" i="5" s="1"/>
  <c r="B56" i="5"/>
  <c r="B76" i="5"/>
  <c r="B20" i="5"/>
  <c r="C20" i="5" s="1"/>
  <c r="F20" i="5" s="1"/>
  <c r="B52" i="5"/>
  <c r="C52" i="5" s="1"/>
  <c r="B84" i="5"/>
  <c r="C84" i="5" s="1"/>
  <c r="F84" i="5" s="1"/>
  <c r="B116" i="5"/>
  <c r="B148" i="5"/>
  <c r="C148" i="5" s="1"/>
  <c r="F148" i="5" s="1"/>
  <c r="X21" i="5"/>
  <c r="W21" i="5"/>
  <c r="Z21" i="5" s="1"/>
  <c r="W49" i="5"/>
  <c r="Z49" i="5" s="1"/>
  <c r="X49" i="5"/>
  <c r="W85" i="5"/>
  <c r="Z85" i="5" s="1"/>
  <c r="X85" i="5"/>
  <c r="X113" i="5"/>
  <c r="W113" i="5"/>
  <c r="Z113" i="5" s="1"/>
  <c r="X145" i="5"/>
  <c r="W145" i="5"/>
  <c r="Z145" i="5" s="1"/>
  <c r="W185" i="5"/>
  <c r="Z185" i="5" s="1"/>
  <c r="X185" i="5"/>
  <c r="W107" i="5"/>
  <c r="Z107" i="5" s="1"/>
  <c r="X107" i="5"/>
  <c r="B40" i="5"/>
  <c r="C40" i="5" s="1"/>
  <c r="F40" i="5" s="1"/>
  <c r="B104" i="5"/>
  <c r="C104" i="5" s="1"/>
  <c r="F104" i="5" s="1"/>
  <c r="M104" i="5"/>
  <c r="P104" i="5" s="1"/>
  <c r="W34" i="5"/>
  <c r="Z34" i="5" s="1"/>
  <c r="X34" i="5"/>
  <c r="AA200" i="5"/>
  <c r="AA163" i="5"/>
  <c r="AA26" i="5"/>
  <c r="AA127" i="5"/>
  <c r="W59" i="5"/>
  <c r="Z59" i="5" s="1"/>
  <c r="X59" i="5"/>
  <c r="W23" i="5"/>
  <c r="Z23" i="5" s="1"/>
  <c r="X23" i="5"/>
  <c r="B23" i="5"/>
  <c r="B39" i="5"/>
  <c r="B55" i="5"/>
  <c r="B71" i="5"/>
  <c r="B87" i="5"/>
  <c r="B103" i="5"/>
  <c r="B119" i="5"/>
  <c r="B135" i="5"/>
  <c r="B151" i="5"/>
  <c r="B167" i="5"/>
  <c r="B183" i="5"/>
  <c r="B199" i="5"/>
  <c r="X38" i="5"/>
  <c r="W38" i="5"/>
  <c r="Z38" i="5" s="1"/>
  <c r="X62" i="5"/>
  <c r="W62" i="5"/>
  <c r="Z62" i="5" s="1"/>
  <c r="W78" i="5"/>
  <c r="Z78" i="5" s="1"/>
  <c r="X78" i="5"/>
  <c r="X102" i="5"/>
  <c r="W102" i="5"/>
  <c r="Z102" i="5" s="1"/>
  <c r="X122" i="5"/>
  <c r="W122" i="5"/>
  <c r="Z122" i="5" s="1"/>
  <c r="W130" i="5"/>
  <c r="Z130" i="5" s="1"/>
  <c r="X130" i="5"/>
  <c r="X138" i="5"/>
  <c r="W138" i="5"/>
  <c r="Z138" i="5" s="1"/>
  <c r="W154" i="5"/>
  <c r="Z154" i="5" s="1"/>
  <c r="X154" i="5"/>
  <c r="W162" i="5"/>
  <c r="Z162" i="5" s="1"/>
  <c r="X162" i="5"/>
  <c r="W170" i="5"/>
  <c r="Z170" i="5" s="1"/>
  <c r="X170" i="5"/>
  <c r="W186" i="5"/>
  <c r="Z186" i="5" s="1"/>
  <c r="X186" i="5"/>
  <c r="W194" i="5"/>
  <c r="Z194" i="5" s="1"/>
  <c r="X194" i="5"/>
  <c r="W202" i="5"/>
  <c r="Z202" i="5" s="1"/>
  <c r="X202" i="5"/>
  <c r="B74" i="5"/>
  <c r="C74" i="5" s="1"/>
  <c r="F74" i="5" s="1"/>
  <c r="B138" i="5"/>
  <c r="B202" i="5"/>
  <c r="C202" i="5" s="1"/>
  <c r="B24" i="5"/>
  <c r="B152" i="5"/>
  <c r="C152" i="5" s="1"/>
  <c r="F152" i="5" s="1"/>
  <c r="B44" i="5"/>
  <c r="C44" i="5" s="1"/>
  <c r="F44" i="5" s="1"/>
  <c r="B172" i="5"/>
  <c r="C172" i="5" s="1"/>
  <c r="F172" i="5" s="1"/>
  <c r="X4" i="5"/>
  <c r="W4" i="5"/>
  <c r="Z4" i="5" s="1"/>
  <c r="X12" i="5"/>
  <c r="W12" i="5"/>
  <c r="Z12" i="5" s="1"/>
  <c r="X20" i="5"/>
  <c r="W20" i="5"/>
  <c r="Z20" i="5" s="1"/>
  <c r="X28" i="5"/>
  <c r="W28" i="5"/>
  <c r="Z28" i="5" s="1"/>
  <c r="X36" i="5"/>
  <c r="W36" i="5"/>
  <c r="Z36" i="5" s="1"/>
  <c r="X44" i="5"/>
  <c r="W44" i="5"/>
  <c r="Z44" i="5" s="1"/>
  <c r="X52" i="5"/>
  <c r="W52" i="5"/>
  <c r="Z52" i="5" s="1"/>
  <c r="X60" i="5"/>
  <c r="W60" i="5"/>
  <c r="Z60" i="5" s="1"/>
  <c r="X68" i="5"/>
  <c r="W68" i="5"/>
  <c r="Z68" i="5" s="1"/>
  <c r="X76" i="5"/>
  <c r="W76" i="5"/>
  <c r="Z76" i="5" s="1"/>
  <c r="X84" i="5"/>
  <c r="W84" i="5"/>
  <c r="Z84" i="5" s="1"/>
  <c r="X92" i="5"/>
  <c r="W92" i="5"/>
  <c r="Z92" i="5" s="1"/>
  <c r="X100" i="5"/>
  <c r="W100" i="5"/>
  <c r="Z100" i="5" s="1"/>
  <c r="X108" i="5"/>
  <c r="W108" i="5"/>
  <c r="Z108" i="5" s="1"/>
  <c r="X116" i="5"/>
  <c r="W116" i="5"/>
  <c r="Z116" i="5" s="1"/>
  <c r="X132" i="5"/>
  <c r="W132" i="5"/>
  <c r="Z132" i="5" s="1"/>
  <c r="X148" i="5"/>
  <c r="W148" i="5"/>
  <c r="Z148" i="5" s="1"/>
  <c r="X164" i="5"/>
  <c r="W164" i="5"/>
  <c r="Z164" i="5" s="1"/>
  <c r="X180" i="5"/>
  <c r="W180" i="5"/>
  <c r="Z180" i="5" s="1"/>
  <c r="X196" i="5"/>
  <c r="W196" i="5"/>
  <c r="Z196" i="5" s="1"/>
  <c r="B125" i="5"/>
  <c r="C125" i="5" s="1"/>
  <c r="M125" i="5"/>
  <c r="P125" i="5" s="1"/>
  <c r="B180" i="5"/>
  <c r="B192" i="5"/>
  <c r="C192" i="5" s="1"/>
  <c r="F192" i="5" s="1"/>
  <c r="W65" i="5"/>
  <c r="Z65" i="5" s="1"/>
  <c r="X65" i="5"/>
  <c r="X129" i="5"/>
  <c r="W129" i="5"/>
  <c r="Z129" i="5" s="1"/>
  <c r="W161" i="5"/>
  <c r="Z161" i="5" s="1"/>
  <c r="X161" i="5"/>
  <c r="X193" i="5"/>
  <c r="W193" i="5"/>
  <c r="Z193" i="5" s="1"/>
  <c r="B9" i="5"/>
  <c r="C9" i="5" s="1"/>
  <c r="M9" i="5"/>
  <c r="P9" i="5" s="1"/>
  <c r="B21" i="5"/>
  <c r="C21" i="5" s="1"/>
  <c r="F21" i="5" s="1"/>
  <c r="B37" i="5"/>
  <c r="C37" i="5" s="1"/>
  <c r="F37" i="5" s="1"/>
  <c r="B45" i="5"/>
  <c r="C45" i="5" s="1"/>
  <c r="F45" i="5" s="1"/>
  <c r="M45" i="5"/>
  <c r="P45" i="5" s="1"/>
  <c r="B85" i="5"/>
  <c r="M85" i="5"/>
  <c r="P85" i="5" s="1"/>
  <c r="B101" i="5"/>
  <c r="C101" i="5" s="1"/>
  <c r="B109" i="5"/>
  <c r="B149" i="5"/>
  <c r="C149" i="5" s="1"/>
  <c r="F149" i="5" s="1"/>
  <c r="B165" i="5"/>
  <c r="B173" i="5"/>
  <c r="C173" i="5" s="1"/>
  <c r="F173" i="5" s="1"/>
  <c r="B28" i="5"/>
  <c r="B92" i="5"/>
  <c r="C92" i="5" s="1"/>
  <c r="W7" i="5"/>
  <c r="Z7" i="5" s="1"/>
  <c r="X7" i="5"/>
  <c r="B102" i="5"/>
  <c r="C102" i="5" s="1"/>
  <c r="F102" i="5" s="1"/>
  <c r="W54" i="5"/>
  <c r="Z54" i="5" s="1"/>
  <c r="X54" i="5"/>
  <c r="X114" i="5"/>
  <c r="W114" i="5"/>
  <c r="Z114" i="5" s="1"/>
  <c r="X178" i="5"/>
  <c r="W178" i="5"/>
  <c r="Z178" i="5" s="1"/>
  <c r="B18" i="5"/>
  <c r="C18" i="5" s="1"/>
  <c r="F18" i="5" s="1"/>
  <c r="B50" i="5"/>
  <c r="C50" i="5" s="1"/>
  <c r="F50" i="5" s="1"/>
  <c r="B86" i="5"/>
  <c r="C86" i="5" s="1"/>
  <c r="F86" i="5" s="1"/>
  <c r="B130" i="5"/>
  <c r="B166" i="5"/>
  <c r="C166" i="5" s="1"/>
  <c r="B3" i="5"/>
  <c r="M3" i="5"/>
  <c r="B49" i="5"/>
  <c r="C49" i="5" s="1"/>
  <c r="M49" i="5"/>
  <c r="P49" i="5" s="1"/>
  <c r="B29" i="5"/>
  <c r="C29" i="5" s="1"/>
  <c r="M29" i="5"/>
  <c r="P29" i="5" s="1"/>
  <c r="B61" i="5"/>
  <c r="C61" i="5" s="1"/>
  <c r="F61" i="5" s="1"/>
  <c r="B93" i="5"/>
  <c r="B161" i="5"/>
  <c r="C161" i="5" s="1"/>
  <c r="F161" i="5" s="1"/>
  <c r="W43" i="5"/>
  <c r="Z43" i="5" s="1"/>
  <c r="X43" i="5"/>
  <c r="X75" i="5"/>
  <c r="W75" i="5"/>
  <c r="Z75" i="5" s="1"/>
  <c r="W71" i="5"/>
  <c r="Z71" i="5" s="1"/>
  <c r="X71" i="5"/>
  <c r="W199" i="5"/>
  <c r="Z199" i="5" s="1"/>
  <c r="X199" i="5"/>
  <c r="AA176" i="5"/>
  <c r="AA184" i="5"/>
  <c r="AA147" i="5"/>
  <c r="AA109" i="5"/>
  <c r="C129" i="5"/>
  <c r="F129" i="5" s="1"/>
  <c r="E177" i="5"/>
  <c r="D177" i="5"/>
  <c r="AA74" i="5"/>
  <c r="AA179" i="5"/>
  <c r="AA195" i="5"/>
  <c r="AA42" i="5"/>
  <c r="M62" i="5"/>
  <c r="P62" i="5" s="1"/>
  <c r="C174" i="5"/>
  <c r="F174" i="5" s="1"/>
  <c r="AA119" i="5"/>
  <c r="AA183" i="5"/>
  <c r="Z151" i="7"/>
  <c r="Y151" i="7"/>
  <c r="Z131" i="7"/>
  <c r="Y131" i="7"/>
  <c r="Y174" i="7"/>
  <c r="Z181" i="7"/>
  <c r="Y181" i="7"/>
  <c r="Z117" i="7"/>
  <c r="Y117" i="7"/>
  <c r="Z53" i="7"/>
  <c r="Y53" i="7"/>
  <c r="Z130" i="7"/>
  <c r="Y130" i="7"/>
  <c r="Z187" i="7"/>
  <c r="Y187" i="7"/>
  <c r="Z79" i="7"/>
  <c r="Y79" i="7"/>
  <c r="Y186" i="7"/>
  <c r="Z99" i="7"/>
  <c r="Y99" i="7"/>
  <c r="Y107" i="7"/>
  <c r="Y167" i="7"/>
  <c r="Z27" i="7"/>
  <c r="Y27" i="7"/>
  <c r="Z155" i="7"/>
  <c r="Y155" i="7"/>
  <c r="Z178" i="7"/>
  <c r="Y178" i="7"/>
  <c r="Z50" i="7"/>
  <c r="Y50" i="7"/>
  <c r="Y67" i="7"/>
  <c r="Z11" i="7"/>
  <c r="Y11" i="7"/>
  <c r="Y71" i="7"/>
  <c r="Z158" i="7"/>
  <c r="Y158" i="7"/>
  <c r="Z94" i="7"/>
  <c r="Y94" i="7"/>
  <c r="Z30" i="7"/>
  <c r="Y30" i="7"/>
  <c r="Z165" i="7"/>
  <c r="Y165" i="7"/>
  <c r="Z101" i="7"/>
  <c r="Y101" i="7"/>
  <c r="Z21" i="7"/>
  <c r="Y21" i="7"/>
  <c r="Z23" i="7"/>
  <c r="Y23" i="7"/>
  <c r="Z98" i="7"/>
  <c r="Y98" i="7"/>
  <c r="Y115" i="7"/>
  <c r="Z123" i="7"/>
  <c r="Y123" i="7"/>
  <c r="Z183" i="7"/>
  <c r="Y183" i="7"/>
  <c r="Y170" i="7"/>
  <c r="Z19" i="7"/>
  <c r="Y19" i="7"/>
  <c r="Z43" i="7"/>
  <c r="Y43" i="7"/>
  <c r="Y103" i="7"/>
  <c r="Y3" i="7"/>
  <c r="Y63" i="7"/>
  <c r="Y139" i="7"/>
  <c r="Y110" i="7"/>
  <c r="Z87" i="7"/>
  <c r="Y87" i="7"/>
  <c r="Z147" i="7"/>
  <c r="Y147" i="7"/>
  <c r="Z146" i="7"/>
  <c r="Y146" i="7"/>
  <c r="Y18" i="7"/>
  <c r="Y159" i="7"/>
  <c r="Z111" i="7"/>
  <c r="Y111" i="7"/>
  <c r="Y7" i="7"/>
  <c r="Y142" i="7"/>
  <c r="Y78" i="7"/>
  <c r="Y14" i="7"/>
  <c r="Z194" i="7"/>
  <c r="Y194" i="7"/>
  <c r="Z66" i="7"/>
  <c r="Y66" i="7"/>
  <c r="Y51" i="7"/>
  <c r="Z59" i="7"/>
  <c r="Y59" i="7"/>
  <c r="Z119" i="7"/>
  <c r="Y119" i="7"/>
  <c r="Y95" i="7"/>
  <c r="Z175" i="7"/>
  <c r="Y175" i="7"/>
  <c r="Y39" i="7"/>
  <c r="Y82" i="7"/>
  <c r="Y135" i="7"/>
  <c r="Y46" i="7"/>
  <c r="Z179" i="7"/>
  <c r="Y179" i="7"/>
  <c r="Z143" i="7"/>
  <c r="Y143" i="7"/>
  <c r="Z114" i="7"/>
  <c r="Y114" i="7"/>
  <c r="Z195" i="7"/>
  <c r="Y195" i="7"/>
  <c r="Z15" i="7"/>
  <c r="Y15" i="7"/>
  <c r="Y199" i="7"/>
  <c r="Z190" i="7"/>
  <c r="Y190" i="7"/>
  <c r="Z126" i="7"/>
  <c r="Y126" i="7"/>
  <c r="Z62" i="7"/>
  <c r="Y62" i="7"/>
  <c r="Y31" i="7"/>
  <c r="Z162" i="7"/>
  <c r="Y162" i="7"/>
  <c r="Y34" i="7"/>
  <c r="Y127" i="7"/>
  <c r="Z35" i="7"/>
  <c r="Y35" i="7"/>
  <c r="Z55" i="7"/>
  <c r="Y55" i="7"/>
  <c r="Y163" i="7"/>
  <c r="Y171" i="7"/>
  <c r="Z47" i="7"/>
  <c r="Y47" i="7"/>
  <c r="Y191" i="7"/>
  <c r="W176" i="7"/>
  <c r="W44" i="7"/>
  <c r="W154" i="7"/>
  <c r="W168" i="7"/>
  <c r="W182" i="7"/>
  <c r="W189" i="7"/>
  <c r="W125" i="7"/>
  <c r="W132" i="7"/>
  <c r="W4" i="7"/>
  <c r="W188" i="7"/>
  <c r="W144" i="7"/>
  <c r="W156" i="7"/>
  <c r="W92" i="7"/>
  <c r="W169" i="7"/>
  <c r="W202" i="7"/>
  <c r="W138" i="7"/>
  <c r="W10" i="7"/>
  <c r="W145" i="7"/>
  <c r="W81" i="7"/>
  <c r="W180" i="7"/>
  <c r="W116" i="7"/>
  <c r="W52" i="7"/>
  <c r="W128" i="7"/>
  <c r="W64" i="7"/>
  <c r="W140" i="7"/>
  <c r="W12" i="7"/>
  <c r="W137" i="7"/>
  <c r="W58" i="7"/>
  <c r="W129" i="7"/>
  <c r="W65" i="7"/>
  <c r="W200" i="7"/>
  <c r="W136" i="7"/>
  <c r="W8" i="7"/>
  <c r="W150" i="7"/>
  <c r="W86" i="7"/>
  <c r="W93" i="7"/>
  <c r="W29" i="7"/>
  <c r="W164" i="7"/>
  <c r="W36" i="7"/>
  <c r="O174" i="7"/>
  <c r="Q41" i="7"/>
  <c r="Q193" i="7"/>
  <c r="Q57" i="7"/>
  <c r="Q90" i="7"/>
  <c r="Q12" i="7"/>
  <c r="Q113" i="7"/>
  <c r="Q35" i="7"/>
  <c r="Q63" i="7"/>
  <c r="Q64" i="7"/>
  <c r="Q69" i="7"/>
  <c r="Q181" i="7"/>
  <c r="O94" i="7"/>
  <c r="Q68" i="7"/>
  <c r="O182" i="7"/>
  <c r="V145" i="2"/>
  <c r="AD190" i="2"/>
  <c r="AD98" i="2"/>
  <c r="M156" i="5"/>
  <c r="P156" i="5" s="1"/>
  <c r="O178" i="7"/>
  <c r="M140" i="5"/>
  <c r="P140" i="5" s="1"/>
  <c r="BA87" i="5"/>
  <c r="BD87" i="5" s="1"/>
  <c r="BB134" i="5"/>
  <c r="M23" i="5"/>
  <c r="P23" i="5" s="1"/>
  <c r="V190" i="2"/>
  <c r="AD103" i="2"/>
  <c r="V46" i="2"/>
  <c r="V142" i="2"/>
  <c r="V174" i="2"/>
  <c r="M202" i="5"/>
  <c r="P202" i="5" s="1"/>
  <c r="BA160" i="5"/>
  <c r="AD134" i="2"/>
  <c r="AD165" i="2"/>
  <c r="V14" i="2"/>
  <c r="V110" i="2"/>
  <c r="V78" i="2"/>
  <c r="V169" i="2"/>
  <c r="M149" i="5"/>
  <c r="P149" i="5" s="1"/>
  <c r="V146" i="2"/>
  <c r="V178" i="2"/>
  <c r="AD66" i="2"/>
  <c r="AD200" i="2"/>
  <c r="AR163" i="5"/>
  <c r="AR81" i="5"/>
  <c r="V108" i="2"/>
  <c r="V18" i="2"/>
  <c r="V50" i="2"/>
  <c r="V162" i="2"/>
  <c r="AD71" i="2"/>
  <c r="V65" i="2"/>
  <c r="V114" i="2"/>
  <c r="AD5" i="2"/>
  <c r="AD21" i="2"/>
  <c r="AD37" i="2"/>
  <c r="AD85" i="2"/>
  <c r="AD101" i="2"/>
  <c r="AD149" i="2"/>
  <c r="AD43" i="2"/>
  <c r="AD115" i="2"/>
  <c r="AD159" i="2"/>
  <c r="AD179" i="2"/>
  <c r="AD199" i="2"/>
  <c r="V29" i="2"/>
  <c r="V61" i="2"/>
  <c r="V93" i="2"/>
  <c r="V125" i="2"/>
  <c r="V157" i="2"/>
  <c r="AD39" i="2"/>
  <c r="AR51" i="5"/>
  <c r="AD16" i="2"/>
  <c r="V66" i="2"/>
  <c r="V98" i="2"/>
  <c r="V194" i="2"/>
  <c r="M27" i="5"/>
  <c r="P27" i="5" s="1"/>
  <c r="V34" i="2"/>
  <c r="V186" i="2"/>
  <c r="AD193" i="2"/>
  <c r="AD114" i="2"/>
  <c r="O41" i="7"/>
  <c r="BA161" i="5"/>
  <c r="M135" i="5"/>
  <c r="P135" i="5" s="1"/>
  <c r="O144" i="7"/>
  <c r="AD10" i="2"/>
  <c r="V42" i="2"/>
  <c r="V122" i="2"/>
  <c r="V89" i="2"/>
  <c r="AD67" i="2"/>
  <c r="BA132" i="5"/>
  <c r="BD132" i="5" s="1"/>
  <c r="BB132" i="5"/>
  <c r="BB104" i="5"/>
  <c r="BA104" i="5"/>
  <c r="BA30" i="5"/>
  <c r="BA78" i="5"/>
  <c r="BD78" i="5" s="1"/>
  <c r="BB137" i="5"/>
  <c r="BA53" i="5"/>
  <c r="BD53" i="5" s="1"/>
  <c r="BB180" i="5"/>
  <c r="V26" i="2"/>
  <c r="V90" i="2"/>
  <c r="V32" i="2"/>
  <c r="V138" i="2"/>
  <c r="V170" i="2"/>
  <c r="M77" i="5"/>
  <c r="P77" i="5" s="1"/>
  <c r="BE176" i="5"/>
  <c r="AT100" i="5"/>
  <c r="AT118" i="5"/>
  <c r="AR118" i="5"/>
  <c r="BA137" i="5"/>
  <c r="BD137" i="5" s="1"/>
  <c r="V10" i="2"/>
  <c r="V74" i="2"/>
  <c r="BA185" i="5"/>
  <c r="BB140" i="5"/>
  <c r="BB122" i="5"/>
  <c r="BA57" i="5"/>
  <c r="BD57" i="5" s="1"/>
  <c r="M39" i="5"/>
  <c r="P39" i="5" s="1"/>
  <c r="AR121" i="5"/>
  <c r="AD48" i="2"/>
  <c r="AD64" i="2"/>
  <c r="AD80" i="2"/>
  <c r="AD96" i="2"/>
  <c r="AD112" i="2"/>
  <c r="AD128" i="2"/>
  <c r="AD144" i="2"/>
  <c r="AD160" i="2"/>
  <c r="AD176" i="2"/>
  <c r="AD130" i="2"/>
  <c r="AD162" i="2"/>
  <c r="V12" i="2"/>
  <c r="V60" i="2"/>
  <c r="V76" i="2"/>
  <c r="V92" i="2"/>
  <c r="V124" i="2"/>
  <c r="AD41" i="2"/>
  <c r="AD57" i="2"/>
  <c r="AD73" i="2"/>
  <c r="AD89" i="2"/>
  <c r="AD105" i="2"/>
  <c r="AD121" i="2"/>
  <c r="AD11" i="2"/>
  <c r="V22" i="2"/>
  <c r="V70" i="2"/>
  <c r="V102" i="2"/>
  <c r="V150" i="2"/>
  <c r="AD173" i="2"/>
  <c r="BB95" i="5"/>
  <c r="BB129" i="5"/>
  <c r="V9" i="2"/>
  <c r="AD32" i="2"/>
  <c r="V140" i="2"/>
  <c r="V172" i="2"/>
  <c r="V188" i="2"/>
  <c r="V81" i="2"/>
  <c r="V129" i="2"/>
  <c r="V193" i="2"/>
  <c r="V97" i="2"/>
  <c r="V177" i="2"/>
  <c r="AD50" i="2"/>
  <c r="AD150" i="2"/>
  <c r="AD3" i="2"/>
  <c r="AD7" i="2"/>
  <c r="AD27" i="2"/>
  <c r="AD47" i="2"/>
  <c r="AD63" i="2"/>
  <c r="AD83" i="2"/>
  <c r="AD119" i="2"/>
  <c r="AD163" i="2"/>
  <c r="AD183" i="2"/>
  <c r="V37" i="2"/>
  <c r="V101" i="2"/>
  <c r="V133" i="2"/>
  <c r="V197" i="2"/>
  <c r="AD95" i="2"/>
  <c r="AD187" i="2"/>
  <c r="V118" i="2"/>
  <c r="V182" i="2"/>
  <c r="BA157" i="5"/>
  <c r="AD153" i="2"/>
  <c r="V54" i="2"/>
  <c r="AD26" i="2"/>
  <c r="AD54" i="2"/>
  <c r="AD78" i="2"/>
  <c r="AD194" i="2"/>
  <c r="V25" i="2"/>
  <c r="AD139" i="2"/>
  <c r="V5" i="2"/>
  <c r="V69" i="2"/>
  <c r="V6" i="2"/>
  <c r="V38" i="2"/>
  <c r="V86" i="2"/>
  <c r="V134" i="2"/>
  <c r="V166" i="2"/>
  <c r="AD189" i="2"/>
  <c r="AD82" i="2"/>
  <c r="AT121" i="5"/>
  <c r="V165" i="2"/>
  <c r="AD102" i="2"/>
  <c r="O103" i="7"/>
  <c r="M80" i="5"/>
  <c r="P80" i="5" s="1"/>
  <c r="M96" i="5"/>
  <c r="P96" i="5" s="1"/>
  <c r="AD152" i="2"/>
  <c r="M181" i="5"/>
  <c r="P181" i="5" s="1"/>
  <c r="M124" i="5"/>
  <c r="P124" i="5" s="1"/>
  <c r="M190" i="5"/>
  <c r="P190" i="5" s="1"/>
  <c r="M188" i="5"/>
  <c r="P188" i="5" s="1"/>
  <c r="AD4" i="2"/>
  <c r="AD116" i="2"/>
  <c r="M30" i="5"/>
  <c r="P30" i="5" s="1"/>
  <c r="M78" i="5"/>
  <c r="P78" i="5" s="1"/>
  <c r="AD6" i="2"/>
  <c r="AD58" i="2"/>
  <c r="AD86" i="2"/>
  <c r="AD110" i="2"/>
  <c r="AD138" i="2"/>
  <c r="AD202" i="2"/>
  <c r="V16" i="2"/>
  <c r="V48" i="2"/>
  <c r="V64" i="2"/>
  <c r="V80" i="2"/>
  <c r="V96" i="2"/>
  <c r="V112" i="2"/>
  <c r="V128" i="2"/>
  <c r="V144" i="2"/>
  <c r="V176" i="2"/>
  <c r="V192" i="2"/>
  <c r="V49" i="2"/>
  <c r="V113" i="2"/>
  <c r="V185" i="2"/>
  <c r="M101" i="5"/>
  <c r="P101" i="5" s="1"/>
  <c r="M47" i="5"/>
  <c r="P47" i="5" s="1"/>
  <c r="M40" i="5"/>
  <c r="P40" i="5" s="1"/>
  <c r="AT128" i="5"/>
  <c r="M57" i="5"/>
  <c r="P57" i="5" s="1"/>
  <c r="AD20" i="2"/>
  <c r="AD36" i="2"/>
  <c r="AD52" i="2"/>
  <c r="AD84" i="2"/>
  <c r="AD100" i="2"/>
  <c r="AD132" i="2"/>
  <c r="AD148" i="2"/>
  <c r="AD164" i="2"/>
  <c r="AD180" i="2"/>
  <c r="V33" i="2"/>
  <c r="V153" i="2"/>
  <c r="V201" i="2"/>
  <c r="AR66" i="5"/>
  <c r="AD29" i="2"/>
  <c r="AD93" i="2"/>
  <c r="AD157" i="2"/>
  <c r="AR181" i="5"/>
  <c r="BA171" i="5"/>
  <c r="BD171" i="5" s="1"/>
  <c r="AD13" i="2"/>
  <c r="AD45" i="2"/>
  <c r="AD61" i="2"/>
  <c r="AD77" i="2"/>
  <c r="AD109" i="2"/>
  <c r="AD125" i="2"/>
  <c r="AD141" i="2"/>
  <c r="AD74" i="2"/>
  <c r="AD174" i="2"/>
  <c r="AD15" i="2"/>
  <c r="AD31" i="2"/>
  <c r="AD107" i="2"/>
  <c r="AD127" i="2"/>
  <c r="AD171" i="2"/>
  <c r="AD191" i="2"/>
  <c r="V13" i="2"/>
  <c r="V45" i="2"/>
  <c r="V77" i="2"/>
  <c r="V109" i="2"/>
  <c r="V141" i="2"/>
  <c r="V173" i="2"/>
  <c r="AD143" i="2"/>
  <c r="AR71" i="5"/>
  <c r="BB128" i="5"/>
  <c r="BE74" i="5"/>
  <c r="BA62" i="5"/>
  <c r="BD62" i="5" s="1"/>
  <c r="BB62" i="5"/>
  <c r="BB136" i="5"/>
  <c r="BB197" i="5"/>
  <c r="BB138" i="5"/>
  <c r="BA138" i="5"/>
  <c r="BD138" i="5" s="1"/>
  <c r="BB124" i="5"/>
  <c r="BE100" i="5"/>
  <c r="BA66" i="5"/>
  <c r="BD66" i="5" s="1"/>
  <c r="BB165" i="5"/>
  <c r="BA165" i="5"/>
  <c r="BD165" i="5" s="1"/>
  <c r="V53" i="2"/>
  <c r="V181" i="2"/>
  <c r="BB161" i="5"/>
  <c r="AR58" i="5"/>
  <c r="AR134" i="5"/>
  <c r="AD24" i="2"/>
  <c r="AD40" i="2"/>
  <c r="AD104" i="2"/>
  <c r="AD136" i="2"/>
  <c r="AD168" i="2"/>
  <c r="V180" i="2"/>
  <c r="M54" i="5"/>
  <c r="P54" i="5" s="1"/>
  <c r="AR92" i="5"/>
  <c r="AR60" i="5"/>
  <c r="AR109" i="5"/>
  <c r="BB90" i="5"/>
  <c r="BA90" i="5"/>
  <c r="BA141" i="5"/>
  <c r="BD141" i="5" s="1"/>
  <c r="BB141" i="5"/>
  <c r="AD118" i="2"/>
  <c r="V196" i="2"/>
  <c r="AD184" i="2"/>
  <c r="O20" i="7"/>
  <c r="V20" i="2"/>
  <c r="V105" i="2"/>
  <c r="V161" i="2"/>
  <c r="V137" i="2"/>
  <c r="M180" i="5"/>
  <c r="P180" i="5" s="1"/>
  <c r="M22" i="5"/>
  <c r="P22" i="5" s="1"/>
  <c r="M61" i="5"/>
  <c r="P61" i="5" s="1"/>
  <c r="M118" i="5"/>
  <c r="P118" i="5" s="1"/>
  <c r="AR48" i="5"/>
  <c r="AR90" i="5"/>
  <c r="AT23" i="5"/>
  <c r="BA126" i="5"/>
  <c r="V164" i="2"/>
  <c r="AD14" i="2"/>
  <c r="AD62" i="2"/>
  <c r="AD146" i="2"/>
  <c r="V4" i="2"/>
  <c r="V36" i="2"/>
  <c r="V52" i="2"/>
  <c r="V68" i="2"/>
  <c r="V84" i="2"/>
  <c r="V100" i="2"/>
  <c r="V116" i="2"/>
  <c r="V148" i="2"/>
  <c r="V41" i="2"/>
  <c r="BA18" i="5"/>
  <c r="BD18" i="5" s="1"/>
  <c r="BB153" i="5"/>
  <c r="BA153" i="5"/>
  <c r="BD153" i="5" s="1"/>
  <c r="BB196" i="5"/>
  <c r="AD90" i="2"/>
  <c r="V132" i="2"/>
  <c r="AD94" i="2"/>
  <c r="V57" i="2"/>
  <c r="AD154" i="2"/>
  <c r="V136" i="2"/>
  <c r="V168" i="2"/>
  <c r="V200" i="2"/>
  <c r="AD124" i="2"/>
  <c r="AD172" i="2"/>
  <c r="V156" i="2"/>
  <c r="BA173" i="5"/>
  <c r="BD173" i="5" s="1"/>
  <c r="BB30" i="5"/>
  <c r="AD30" i="2"/>
  <c r="AD170" i="2"/>
  <c r="V31" i="2"/>
  <c r="V95" i="2"/>
  <c r="M93" i="5"/>
  <c r="P93" i="5" s="1"/>
  <c r="M123" i="5"/>
  <c r="P123" i="5" s="1"/>
  <c r="M91" i="5"/>
  <c r="P91" i="5" s="1"/>
  <c r="M107" i="5"/>
  <c r="P107" i="5" s="1"/>
  <c r="M20" i="5"/>
  <c r="P20" i="5" s="1"/>
  <c r="M84" i="5"/>
  <c r="P84" i="5" s="1"/>
  <c r="M132" i="5"/>
  <c r="P132" i="5" s="1"/>
  <c r="AR184" i="5"/>
  <c r="AR65" i="5"/>
  <c r="AU126" i="5"/>
  <c r="AT68" i="5"/>
  <c r="AR100" i="5"/>
  <c r="BB185" i="5"/>
  <c r="BB126" i="5"/>
  <c r="BA129" i="5"/>
  <c r="BA122" i="5"/>
  <c r="BD122" i="5" s="1"/>
  <c r="BA95" i="5"/>
  <c r="BD95" i="5" s="1"/>
  <c r="BA61" i="5"/>
  <c r="BB6" i="5"/>
  <c r="BE46" i="5"/>
  <c r="BB173" i="5"/>
  <c r="BA101" i="5"/>
  <c r="BD101" i="5" s="1"/>
  <c r="O71" i="7"/>
  <c r="O167" i="7"/>
  <c r="O84" i="7"/>
  <c r="V19" i="2"/>
  <c r="V35" i="2"/>
  <c r="V51" i="2"/>
  <c r="V67" i="2"/>
  <c r="V83" i="2"/>
  <c r="V99" i="2"/>
  <c r="V115" i="2"/>
  <c r="V131" i="2"/>
  <c r="V147" i="2"/>
  <c r="V163" i="2"/>
  <c r="V179" i="2"/>
  <c r="V195" i="2"/>
  <c r="V15" i="2"/>
  <c r="V47" i="2"/>
  <c r="V63" i="2"/>
  <c r="V79" i="2"/>
  <c r="V111" i="2"/>
  <c r="V127" i="2"/>
  <c r="V143" i="2"/>
  <c r="V159" i="2"/>
  <c r="V175" i="2"/>
  <c r="V191" i="2"/>
  <c r="M187" i="5"/>
  <c r="P187" i="5" s="1"/>
  <c r="M171" i="5"/>
  <c r="P171" i="5" s="1"/>
  <c r="M155" i="5"/>
  <c r="P155" i="5" s="1"/>
  <c r="M139" i="5"/>
  <c r="P139" i="5" s="1"/>
  <c r="M43" i="5"/>
  <c r="P43" i="5" s="1"/>
  <c r="AR152" i="5"/>
  <c r="AR101" i="5"/>
  <c r="AR49" i="5"/>
  <c r="AR126" i="5"/>
  <c r="BB193" i="5"/>
  <c r="BA181" i="5"/>
  <c r="BD181" i="5" s="1"/>
  <c r="BA140" i="5"/>
  <c r="BD140" i="5" s="1"/>
  <c r="BB50" i="5"/>
  <c r="BB171" i="5"/>
  <c r="V7" i="2"/>
  <c r="V23" i="2"/>
  <c r="V39" i="2"/>
  <c r="V55" i="2"/>
  <c r="V71" i="2"/>
  <c r="V87" i="2"/>
  <c r="V103" i="2"/>
  <c r="V119" i="2"/>
  <c r="V135" i="2"/>
  <c r="V151" i="2"/>
  <c r="V167" i="2"/>
  <c r="V183" i="2"/>
  <c r="V199" i="2"/>
  <c r="BB46" i="5"/>
  <c r="V11" i="2"/>
  <c r="V27" i="2"/>
  <c r="V43" i="2"/>
  <c r="V59" i="2"/>
  <c r="V75" i="2"/>
  <c r="V91" i="2"/>
  <c r="V107" i="2"/>
  <c r="V123" i="2"/>
  <c r="V139" i="2"/>
  <c r="V155" i="2"/>
  <c r="V171" i="2"/>
  <c r="V187" i="2"/>
  <c r="X148" i="7"/>
  <c r="X175" i="7"/>
  <c r="X73" i="7"/>
  <c r="X163" i="7"/>
  <c r="X54" i="7"/>
  <c r="X70" i="7"/>
  <c r="X102" i="7"/>
  <c r="X118" i="7"/>
  <c r="X166" i="7"/>
  <c r="X198" i="7"/>
  <c r="X23" i="7"/>
  <c r="X39" i="7"/>
  <c r="X55" i="7"/>
  <c r="X71" i="7"/>
  <c r="X87" i="7"/>
  <c r="X103" i="7"/>
  <c r="X131" i="7"/>
  <c r="X171" i="7"/>
  <c r="X24" i="7"/>
  <c r="X40" i="7"/>
  <c r="X56" i="7"/>
  <c r="X88" i="7"/>
  <c r="X120" i="7"/>
  <c r="X152" i="7"/>
  <c r="X184" i="7"/>
  <c r="X143" i="7"/>
  <c r="X187" i="7"/>
  <c r="X13" i="7"/>
  <c r="X61" i="7"/>
  <c r="X77" i="7"/>
  <c r="X109" i="7"/>
  <c r="X141" i="7"/>
  <c r="X173" i="7"/>
  <c r="X7" i="7"/>
  <c r="X179" i="7"/>
  <c r="X42" i="7"/>
  <c r="X106" i="7"/>
  <c r="X170" i="7"/>
  <c r="X186" i="7"/>
  <c r="X27" i="7"/>
  <c r="X43" i="7"/>
  <c r="X59" i="7"/>
  <c r="X91" i="7"/>
  <c r="X107" i="7"/>
  <c r="X139" i="7"/>
  <c r="X183" i="7"/>
  <c r="X11" i="7"/>
  <c r="X84" i="7"/>
  <c r="X196" i="7"/>
  <c r="X9" i="7"/>
  <c r="X172" i="7"/>
  <c r="X111" i="7"/>
  <c r="X155" i="7"/>
  <c r="X199" i="7"/>
  <c r="X17" i="7"/>
  <c r="X33" i="7"/>
  <c r="X49" i="7"/>
  <c r="X97" i="7"/>
  <c r="X113" i="7"/>
  <c r="X161" i="7"/>
  <c r="X177" i="7"/>
  <c r="X123" i="7"/>
  <c r="X191" i="7"/>
  <c r="X14" i="7"/>
  <c r="X30" i="7"/>
  <c r="X46" i="7"/>
  <c r="X62" i="7"/>
  <c r="X78" i="7"/>
  <c r="X94" i="7"/>
  <c r="X110" i="7"/>
  <c r="X126" i="7"/>
  <c r="X142" i="7"/>
  <c r="X158" i="7"/>
  <c r="X174" i="7"/>
  <c r="X190" i="7"/>
  <c r="X15" i="7"/>
  <c r="X31" i="7"/>
  <c r="X47" i="7"/>
  <c r="X63" i="7"/>
  <c r="X79" i="7"/>
  <c r="X95" i="7"/>
  <c r="X115" i="7"/>
  <c r="X151" i="7"/>
  <c r="X195" i="7"/>
  <c r="X20" i="7"/>
  <c r="X135" i="7"/>
  <c r="X25" i="7"/>
  <c r="X57" i="7"/>
  <c r="X89" i="7"/>
  <c r="X121" i="7"/>
  <c r="X201" i="7"/>
  <c r="X6" i="7"/>
  <c r="X38" i="7"/>
  <c r="X134" i="7"/>
  <c r="X60" i="7"/>
  <c r="X108" i="7"/>
  <c r="X16" i="7"/>
  <c r="X32" i="7"/>
  <c r="X48" i="7"/>
  <c r="X80" i="7"/>
  <c r="X96" i="7"/>
  <c r="X112" i="7"/>
  <c r="X160" i="7"/>
  <c r="X127" i="7"/>
  <c r="X167" i="7"/>
  <c r="X5" i="7"/>
  <c r="X21" i="7"/>
  <c r="X37" i="7"/>
  <c r="X53" i="7"/>
  <c r="X69" i="7"/>
  <c r="X85" i="7"/>
  <c r="X101" i="7"/>
  <c r="X117" i="7"/>
  <c r="X133" i="7"/>
  <c r="X149" i="7"/>
  <c r="X165" i="7"/>
  <c r="X181" i="7"/>
  <c r="X197" i="7"/>
  <c r="X147" i="7"/>
  <c r="X18" i="7"/>
  <c r="X34" i="7"/>
  <c r="X50" i="7"/>
  <c r="X66" i="7"/>
  <c r="X82" i="7"/>
  <c r="X98" i="7"/>
  <c r="X114" i="7"/>
  <c r="X130" i="7"/>
  <c r="X146" i="7"/>
  <c r="X162" i="7"/>
  <c r="X178" i="7"/>
  <c r="X194" i="7"/>
  <c r="X19" i="7"/>
  <c r="X35" i="7"/>
  <c r="X51" i="7"/>
  <c r="X67" i="7"/>
  <c r="X83" i="7"/>
  <c r="X99" i="7"/>
  <c r="X119" i="7"/>
  <c r="X159" i="7"/>
  <c r="O23" i="7"/>
  <c r="R55" i="7"/>
  <c r="O55" i="7"/>
  <c r="O199" i="7"/>
  <c r="O72" i="7"/>
  <c r="O120" i="7"/>
  <c r="O168" i="7"/>
  <c r="X3" i="7"/>
  <c r="O188" i="7"/>
  <c r="O19" i="7"/>
  <c r="O51" i="7"/>
  <c r="O67" i="7"/>
  <c r="O99" i="7"/>
  <c r="O22" i="7"/>
  <c r="O38" i="7"/>
  <c r="O54" i="7"/>
  <c r="O136" i="7"/>
  <c r="O4" i="7"/>
  <c r="O76" i="7"/>
  <c r="O128" i="7"/>
  <c r="O125" i="7"/>
  <c r="O157" i="7"/>
  <c r="O189" i="7"/>
  <c r="O172" i="7"/>
  <c r="O143" i="7"/>
  <c r="O56" i="7"/>
  <c r="O12" i="7"/>
  <c r="O140" i="7"/>
  <c r="O111" i="7"/>
  <c r="O175" i="7"/>
  <c r="O28" i="7"/>
  <c r="O11" i="7"/>
  <c r="O27" i="7"/>
  <c r="O43" i="7"/>
  <c r="O59" i="7"/>
  <c r="O75" i="7"/>
  <c r="O91" i="7"/>
  <c r="O107" i="7"/>
  <c r="O155" i="7"/>
  <c r="O171" i="7"/>
  <c r="O187" i="7"/>
  <c r="O63" i="7"/>
  <c r="O127" i="7"/>
  <c r="O191" i="7"/>
  <c r="O34" i="7"/>
  <c r="O98" i="7"/>
  <c r="O106" i="7"/>
  <c r="O122" i="7"/>
  <c r="O146" i="7"/>
  <c r="M192" i="5"/>
  <c r="P192" i="5" s="1"/>
  <c r="M176" i="5"/>
  <c r="P176" i="5" s="1"/>
  <c r="AR144" i="5"/>
  <c r="AR73" i="5"/>
  <c r="AR57" i="5"/>
  <c r="BA189" i="5"/>
  <c r="BA118" i="5"/>
  <c r="BD118" i="5" s="1"/>
  <c r="BA130" i="5"/>
  <c r="BD130" i="5" s="1"/>
  <c r="BA58" i="5"/>
  <c r="BB66" i="5"/>
  <c r="BB26" i="5"/>
  <c r="BE54" i="5"/>
  <c r="M173" i="5"/>
  <c r="P173" i="5" s="1"/>
  <c r="M128" i="5"/>
  <c r="P128" i="5" s="1"/>
  <c r="AR23" i="5"/>
  <c r="AR72" i="5"/>
  <c r="BA193" i="5"/>
  <c r="BD193" i="5" s="1"/>
  <c r="BB189" i="5"/>
  <c r="BA102" i="5"/>
  <c r="BD102" i="5" s="1"/>
  <c r="BB61" i="5"/>
  <c r="BB18" i="5"/>
  <c r="BA14" i="5"/>
  <c r="BD14" i="5" s="1"/>
  <c r="BA6" i="5"/>
  <c r="BB177" i="5"/>
  <c r="M111" i="5"/>
  <c r="P111" i="5" s="1"/>
  <c r="M24" i="5"/>
  <c r="P24" i="5" s="1"/>
  <c r="BA120" i="5"/>
  <c r="BD120" i="5" s="1"/>
  <c r="BB102" i="5"/>
  <c r="BA96" i="5"/>
  <c r="BB54" i="5"/>
  <c r="BB14" i="5"/>
  <c r="BA26" i="5"/>
  <c r="BD26" i="5" s="1"/>
  <c r="BB112" i="5"/>
  <c r="BA112" i="5"/>
  <c r="BD112" i="5" s="1"/>
  <c r="BB88" i="5"/>
  <c r="BB144" i="5"/>
  <c r="BA144" i="5"/>
  <c r="BD144" i="5" s="1"/>
  <c r="BE148" i="5"/>
  <c r="BA88" i="5"/>
  <c r="BD88" i="5" s="1"/>
  <c r="BB10" i="5"/>
  <c r="BB174" i="5"/>
  <c r="BA174" i="5"/>
  <c r="BD174" i="5" s="1"/>
  <c r="BB114" i="5"/>
  <c r="BA162" i="5"/>
  <c r="BD162" i="5" s="1"/>
  <c r="BB162" i="5"/>
  <c r="BB201" i="5"/>
  <c r="BB142" i="5"/>
  <c r="BA142" i="5"/>
  <c r="BD142" i="5" s="1"/>
  <c r="BB150" i="5"/>
  <c r="BA150" i="5"/>
  <c r="BD150" i="5" s="1"/>
  <c r="BB170" i="5"/>
  <c r="BA170" i="5"/>
  <c r="BD170" i="5" s="1"/>
  <c r="AR104" i="5"/>
  <c r="AR52" i="5"/>
  <c r="BA197" i="5"/>
  <c r="BB82" i="5"/>
  <c r="BA22" i="5"/>
  <c r="BD22" i="5" s="1"/>
  <c r="BA10" i="5"/>
  <c r="BD10" i="5" s="1"/>
  <c r="BB100" i="5"/>
  <c r="BA70" i="5"/>
  <c r="BD70" i="5" s="1"/>
  <c r="BB22" i="5"/>
  <c r="BB166" i="5"/>
  <c r="BA166" i="5"/>
  <c r="BD166" i="5" s="1"/>
  <c r="BB158" i="5"/>
  <c r="BA158" i="5"/>
  <c r="BD158" i="5" s="1"/>
  <c r="AR94" i="5"/>
  <c r="AR62" i="5"/>
  <c r="BA201" i="5"/>
  <c r="BD201" i="5" s="1"/>
  <c r="BE177" i="5"/>
  <c r="BE172" i="5"/>
  <c r="BB74" i="5"/>
  <c r="BB34" i="5"/>
  <c r="BA34" i="5"/>
  <c r="BA154" i="5"/>
  <c r="BD154" i="5" s="1"/>
  <c r="BB154" i="5"/>
  <c r="BA38" i="5"/>
  <c r="BD38" i="5" s="1"/>
  <c r="BA110" i="5"/>
  <c r="BD110" i="5" s="1"/>
  <c r="BB110" i="5"/>
  <c r="BA92" i="5"/>
  <c r="BD92" i="5" s="1"/>
  <c r="BB92" i="5"/>
  <c r="BA42" i="5"/>
  <c r="BD42" i="5" s="1"/>
  <c r="BB146" i="5"/>
  <c r="BA146" i="5"/>
  <c r="BD146" i="5" s="1"/>
  <c r="BE59" i="5"/>
  <c r="BE68" i="5"/>
  <c r="BE52" i="5"/>
  <c r="BE23" i="5"/>
  <c r="BE56" i="5"/>
  <c r="BE76" i="5"/>
  <c r="BE86" i="5"/>
  <c r="BE48" i="5"/>
  <c r="BE60" i="5"/>
  <c r="BE40" i="5"/>
  <c r="BB178" i="5"/>
  <c r="BE200" i="5"/>
  <c r="BE202" i="5"/>
  <c r="BE198" i="5"/>
  <c r="BE194" i="5"/>
  <c r="BE187" i="5"/>
  <c r="BB163" i="5"/>
  <c r="BE188" i="5"/>
  <c r="BE186" i="5"/>
  <c r="BE143" i="5"/>
  <c r="BB175" i="5"/>
  <c r="BB167" i="5"/>
  <c r="BE156" i="5"/>
  <c r="BE114" i="5"/>
  <c r="BE159" i="5"/>
  <c r="BE103" i="5"/>
  <c r="BE127" i="5"/>
  <c r="BE111" i="5"/>
  <c r="BE91" i="5"/>
  <c r="BE116" i="5"/>
  <c r="BB108" i="5"/>
  <c r="BB98" i="5"/>
  <c r="BB94" i="5"/>
  <c r="BB83" i="5"/>
  <c r="BB67" i="5"/>
  <c r="BB51" i="5"/>
  <c r="BE5" i="5"/>
  <c r="BE11" i="5"/>
  <c r="BB80" i="5"/>
  <c r="BB72" i="5"/>
  <c r="BB44" i="5"/>
  <c r="BB7" i="5"/>
  <c r="BE28" i="5"/>
  <c r="BE12" i="5"/>
  <c r="BE49" i="5"/>
  <c r="BE199" i="5"/>
  <c r="BE183" i="5"/>
  <c r="BE168" i="5"/>
  <c r="BE163" i="5"/>
  <c r="BE164" i="5"/>
  <c r="BE175" i="5"/>
  <c r="BE167" i="5"/>
  <c r="BB147" i="5"/>
  <c r="BE107" i="5"/>
  <c r="BB182" i="5"/>
  <c r="BE169" i="5"/>
  <c r="BB119" i="5"/>
  <c r="BB151" i="5"/>
  <c r="BE125" i="5"/>
  <c r="BE139" i="5"/>
  <c r="BB89" i="5"/>
  <c r="BE136" i="5"/>
  <c r="BE128" i="5"/>
  <c r="BA89" i="5"/>
  <c r="BD89" i="5" s="1"/>
  <c r="BB79" i="5"/>
  <c r="BB63" i="5"/>
  <c r="BB47" i="5"/>
  <c r="BE85" i="5"/>
  <c r="BE17" i="5"/>
  <c r="BB3" i="5"/>
  <c r="BA94" i="5"/>
  <c r="BD94" i="5" s="1"/>
  <c r="BB68" i="5"/>
  <c r="BB60" i="5"/>
  <c r="BB52" i="5"/>
  <c r="BB43" i="5"/>
  <c r="BB40" i="5"/>
  <c r="BE7" i="5"/>
  <c r="BE45" i="5"/>
  <c r="BE24" i="5"/>
  <c r="BE8" i="5"/>
  <c r="BB15" i="5"/>
  <c r="BB93" i="5"/>
  <c r="BA67" i="5"/>
  <c r="BD67" i="5" s="1"/>
  <c r="BB48" i="5"/>
  <c r="BB155" i="5"/>
  <c r="BA147" i="5"/>
  <c r="BD147" i="5" s="1"/>
  <c r="BE99" i="5"/>
  <c r="BB190" i="5"/>
  <c r="BE184" i="5"/>
  <c r="BA182" i="5"/>
  <c r="BD182" i="5" s="1"/>
  <c r="BA119" i="5"/>
  <c r="BD119" i="5" s="1"/>
  <c r="BE106" i="5"/>
  <c r="BA151" i="5"/>
  <c r="BD151" i="5" s="1"/>
  <c r="BE121" i="5"/>
  <c r="BE135" i="5"/>
  <c r="BE97" i="5"/>
  <c r="BE134" i="5"/>
  <c r="BB75" i="5"/>
  <c r="BB59" i="5"/>
  <c r="BE77" i="5"/>
  <c r="BE13" i="5"/>
  <c r="BA3" i="5"/>
  <c r="BD3" i="5" s="1"/>
  <c r="BA83" i="5"/>
  <c r="BD83" i="5" s="1"/>
  <c r="BA75" i="5"/>
  <c r="BD75" i="5" s="1"/>
  <c r="BE50" i="5"/>
  <c r="BE43" i="5"/>
  <c r="BB39" i="5"/>
  <c r="BB35" i="5"/>
  <c r="BB31" i="5"/>
  <c r="BB27" i="5"/>
  <c r="BB19" i="5"/>
  <c r="BA108" i="5"/>
  <c r="BD108" i="5" s="1"/>
  <c r="BA44" i="5"/>
  <c r="BD44" i="5" s="1"/>
  <c r="BE36" i="5"/>
  <c r="BE20" i="5"/>
  <c r="BE4" i="5"/>
  <c r="BE15" i="5"/>
  <c r="BE93" i="5"/>
  <c r="BE84" i="5"/>
  <c r="BB76" i="5"/>
  <c r="BE64" i="5"/>
  <c r="BB56" i="5"/>
  <c r="BE195" i="5"/>
  <c r="BE179" i="5"/>
  <c r="BE196" i="5"/>
  <c r="BB202" i="5"/>
  <c r="BB198" i="5"/>
  <c r="BB194" i="5"/>
  <c r="BE191" i="5"/>
  <c r="BB186" i="5"/>
  <c r="BE180" i="5"/>
  <c r="BA178" i="5"/>
  <c r="BD178" i="5" s="1"/>
  <c r="BA155" i="5"/>
  <c r="BD155" i="5" s="1"/>
  <c r="BE149" i="5"/>
  <c r="BE115" i="5"/>
  <c r="BE192" i="5"/>
  <c r="BA190" i="5"/>
  <c r="BD190" i="5" s="1"/>
  <c r="BB159" i="5"/>
  <c r="BB106" i="5"/>
  <c r="BB103" i="5"/>
  <c r="BE133" i="5"/>
  <c r="BE131" i="5"/>
  <c r="BB116" i="5"/>
  <c r="BE152" i="5"/>
  <c r="BE124" i="5"/>
  <c r="BA98" i="5"/>
  <c r="BD98" i="5" s="1"/>
  <c r="BB86" i="5"/>
  <c r="BB71" i="5"/>
  <c r="BB55" i="5"/>
  <c r="BE65" i="5"/>
  <c r="BB11" i="5"/>
  <c r="BA80" i="5"/>
  <c r="BD80" i="5" s="1"/>
  <c r="BA72" i="5"/>
  <c r="BD72" i="5" s="1"/>
  <c r="BA63" i="5"/>
  <c r="BD63" i="5" s="1"/>
  <c r="BA55" i="5"/>
  <c r="BD55" i="5" s="1"/>
  <c r="BA47" i="5"/>
  <c r="BD47" i="5" s="1"/>
  <c r="BA39" i="5"/>
  <c r="BD39" i="5" s="1"/>
  <c r="BA35" i="5"/>
  <c r="BD35" i="5" s="1"/>
  <c r="BA31" i="5"/>
  <c r="BD31" i="5" s="1"/>
  <c r="BA27" i="5"/>
  <c r="BD27" i="5" s="1"/>
  <c r="BA19" i="5"/>
  <c r="BD19" i="5" s="1"/>
  <c r="BE81" i="5"/>
  <c r="BE32" i="5"/>
  <c r="BE16" i="5"/>
  <c r="BB23" i="5"/>
  <c r="BB84" i="5"/>
  <c r="BA71" i="5"/>
  <c r="BD71" i="5" s="1"/>
  <c r="BB64" i="5"/>
  <c r="BA51" i="5"/>
  <c r="BD51" i="5" s="1"/>
  <c r="M129" i="5"/>
  <c r="P129" i="5" s="1"/>
  <c r="AR173" i="5"/>
  <c r="AR47" i="5"/>
  <c r="AR117" i="5"/>
  <c r="AR133" i="5"/>
  <c r="AR77" i="5"/>
  <c r="AR124" i="5"/>
  <c r="AR69" i="5"/>
  <c r="M161" i="5"/>
  <c r="P161" i="5" s="1"/>
  <c r="AR110" i="5"/>
  <c r="AR78" i="5"/>
  <c r="AR122" i="5"/>
  <c r="AR147" i="5"/>
  <c r="AR106" i="5"/>
  <c r="M55" i="5"/>
  <c r="P55" i="5" s="1"/>
  <c r="M32" i="5"/>
  <c r="P32" i="5" s="1"/>
  <c r="M88" i="5"/>
  <c r="P88" i="5" s="1"/>
  <c r="AR56" i="5"/>
  <c r="AR13" i="5"/>
  <c r="AR43" i="5"/>
  <c r="AR138" i="5"/>
  <c r="AR129" i="5"/>
  <c r="AR113" i="5"/>
  <c r="M193" i="5"/>
  <c r="P193" i="5" s="1"/>
  <c r="M136" i="5"/>
  <c r="P136" i="5" s="1"/>
  <c r="M112" i="5"/>
  <c r="P112" i="5" s="1"/>
  <c r="M79" i="5"/>
  <c r="P79" i="5" s="1"/>
  <c r="AR76" i="5"/>
  <c r="AR31" i="5"/>
  <c r="AR196" i="5"/>
  <c r="AR120" i="5"/>
  <c r="AR84" i="5"/>
  <c r="AR167" i="5"/>
  <c r="M119" i="5"/>
  <c r="P119" i="5" s="1"/>
  <c r="AR132" i="5"/>
  <c r="AR114" i="5"/>
  <c r="AR105" i="5"/>
  <c r="AR140" i="5"/>
  <c r="AR103" i="5"/>
  <c r="AR55" i="5"/>
  <c r="AR125" i="5"/>
  <c r="AR130" i="5"/>
  <c r="AR24" i="5"/>
  <c r="AR3" i="5"/>
  <c r="AR171" i="5"/>
  <c r="AR128" i="5"/>
  <c r="AR116" i="5"/>
  <c r="AR112" i="5"/>
  <c r="AR80" i="5"/>
  <c r="AR183" i="5"/>
  <c r="AR149" i="5"/>
  <c r="AT149" i="5"/>
  <c r="AT36" i="5"/>
  <c r="AR36" i="5"/>
  <c r="AR20" i="5"/>
  <c r="AR8" i="5"/>
  <c r="AR178" i="5"/>
  <c r="AR142" i="5"/>
  <c r="AR40" i="5"/>
  <c r="AR12" i="5"/>
  <c r="AR200" i="5"/>
  <c r="AR19" i="5"/>
  <c r="AQ3" i="5"/>
  <c r="AT3" i="5" s="1"/>
  <c r="AT66" i="5"/>
  <c r="AR7" i="5"/>
  <c r="AT7" i="5"/>
  <c r="AR146" i="5"/>
  <c r="AR16" i="5"/>
  <c r="AR4" i="5"/>
  <c r="AR157" i="5"/>
  <c r="AR186" i="5"/>
  <c r="AR27" i="5"/>
  <c r="AR175" i="5"/>
  <c r="AT28" i="5"/>
  <c r="AR28" i="5"/>
  <c r="AR39" i="5"/>
  <c r="AT39" i="5"/>
  <c r="AU135" i="5"/>
  <c r="AU202" i="5"/>
  <c r="AR185" i="5"/>
  <c r="AR156" i="5"/>
  <c r="AR164" i="5"/>
  <c r="AR153" i="5"/>
  <c r="AR17" i="5"/>
  <c r="AU34" i="5"/>
  <c r="AU10" i="5"/>
  <c r="AR197" i="5"/>
  <c r="AR180" i="5"/>
  <c r="AT185" i="5"/>
  <c r="AU155" i="5"/>
  <c r="AU137" i="5"/>
  <c r="AR25" i="5"/>
  <c r="AR21" i="5"/>
  <c r="AR14" i="5"/>
  <c r="AR37" i="5"/>
  <c r="AR187" i="5"/>
  <c r="AR179" i="5"/>
  <c r="AR155" i="5"/>
  <c r="AR33" i="5"/>
  <c r="AR38" i="5"/>
  <c r="AR29" i="5"/>
  <c r="AR5" i="5"/>
  <c r="AR189" i="5"/>
  <c r="AR193" i="5"/>
  <c r="AR195" i="5"/>
  <c r="AR139" i="5"/>
  <c r="AR201" i="5"/>
  <c r="AU47" i="5"/>
  <c r="AR199" i="5"/>
  <c r="AU29" i="5"/>
  <c r="AR191" i="5"/>
  <c r="AR135" i="5"/>
  <c r="AT153" i="5"/>
  <c r="AU175" i="5"/>
  <c r="AT180" i="5"/>
  <c r="AR169" i="5"/>
  <c r="AT193" i="5"/>
  <c r="AT195" i="5"/>
  <c r="AR172" i="5"/>
  <c r="AU145" i="5"/>
  <c r="AR143" i="5"/>
  <c r="AU19" i="5"/>
  <c r="AR9" i="5"/>
  <c r="AT201" i="5"/>
  <c r="AU72" i="5"/>
  <c r="AR30" i="5"/>
  <c r="AU26" i="5"/>
  <c r="AT199" i="5"/>
  <c r="AT197" i="5"/>
  <c r="AK73" i="5"/>
  <c r="M126" i="5"/>
  <c r="P126" i="5" s="1"/>
  <c r="M13" i="5"/>
  <c r="P13" i="5" s="1"/>
  <c r="G193" i="5"/>
  <c r="M142" i="5"/>
  <c r="P142" i="5" s="1"/>
  <c r="M102" i="5"/>
  <c r="P102" i="5" s="1"/>
  <c r="M18" i="5"/>
  <c r="P18" i="5" s="1"/>
  <c r="M174" i="5"/>
  <c r="P174" i="5" s="1"/>
  <c r="M21" i="5"/>
  <c r="P21" i="5" s="1"/>
  <c r="M170" i="5"/>
  <c r="P170" i="5" s="1"/>
  <c r="M65" i="5"/>
  <c r="P65" i="5" s="1"/>
  <c r="M83" i="5"/>
  <c r="P83" i="5" s="1"/>
  <c r="M41" i="5"/>
  <c r="P41" i="5" s="1"/>
  <c r="M122" i="5"/>
  <c r="P122" i="5" s="1"/>
  <c r="M109" i="5"/>
  <c r="P109" i="5" s="1"/>
  <c r="M167" i="5"/>
  <c r="P167" i="5" s="1"/>
  <c r="M46" i="5"/>
  <c r="P46" i="5" s="1"/>
  <c r="M179" i="5"/>
  <c r="P179" i="5" s="1"/>
  <c r="M147" i="5"/>
  <c r="P147" i="5" s="1"/>
  <c r="M175" i="5"/>
  <c r="P175" i="5" s="1"/>
  <c r="M70" i="5"/>
  <c r="P70" i="5" s="1"/>
  <c r="Q58" i="5"/>
  <c r="M51" i="5"/>
  <c r="P51" i="5" s="1"/>
  <c r="M66" i="5"/>
  <c r="P66" i="5" s="1"/>
  <c r="M7" i="5"/>
  <c r="P7" i="5" s="1"/>
  <c r="M199" i="5"/>
  <c r="P199" i="5" s="1"/>
  <c r="M183" i="5"/>
  <c r="P183" i="5" s="1"/>
  <c r="M97" i="5"/>
  <c r="P97" i="5" s="1"/>
  <c r="N3" i="5"/>
  <c r="M89" i="5"/>
  <c r="P89" i="5" s="1"/>
  <c r="M82" i="5"/>
  <c r="P82" i="5" s="1"/>
  <c r="G62" i="5"/>
  <c r="G65" i="5"/>
  <c r="G113" i="5"/>
  <c r="N109" i="8" l="1"/>
  <c r="AU6" i="5"/>
  <c r="AR15" i="5"/>
  <c r="BE123" i="5"/>
  <c r="AR188" i="5"/>
  <c r="AR151" i="5"/>
  <c r="AH162" i="7"/>
  <c r="AR177" i="5"/>
  <c r="BE145" i="5"/>
  <c r="AR168" i="5"/>
  <c r="BE113" i="5"/>
  <c r="AR46" i="5"/>
  <c r="AR6" i="5"/>
  <c r="N131" i="8"/>
  <c r="AA3" i="5"/>
  <c r="BE79" i="5"/>
  <c r="AI131" i="7"/>
  <c r="AH128" i="7"/>
  <c r="N157" i="8"/>
  <c r="AS145" i="5"/>
  <c r="AH123" i="7"/>
  <c r="AR32" i="5"/>
  <c r="AH97" i="7"/>
  <c r="AI4" i="7"/>
  <c r="AH201" i="7"/>
  <c r="BE109" i="5"/>
  <c r="AR198" i="5"/>
  <c r="N175" i="8"/>
  <c r="AS198" i="5"/>
  <c r="AH45" i="7"/>
  <c r="AU32" i="5"/>
  <c r="AA144" i="5"/>
  <c r="AR160" i="5"/>
  <c r="BE73" i="5"/>
  <c r="AR22" i="5"/>
  <c r="AR165" i="5"/>
  <c r="AR53" i="5"/>
  <c r="AU198" i="5"/>
  <c r="BE9" i="5"/>
  <c r="AK157" i="5"/>
  <c r="AA45" i="5"/>
  <c r="AS137" i="5"/>
  <c r="G7" i="5"/>
  <c r="Q72" i="5"/>
  <c r="AH169" i="7"/>
  <c r="Q115" i="5"/>
  <c r="Q143" i="5"/>
  <c r="AI176" i="7"/>
  <c r="AI5" i="7"/>
  <c r="AH150" i="7"/>
  <c r="AI8" i="7"/>
  <c r="AI88" i="7"/>
  <c r="AI145" i="7"/>
  <c r="AI72" i="7"/>
  <c r="AH105" i="7"/>
  <c r="AI52" i="7"/>
  <c r="AH164" i="7"/>
  <c r="AH173" i="7"/>
  <c r="AH93" i="7"/>
  <c r="AI108" i="7"/>
  <c r="AH32" i="7"/>
  <c r="AI96" i="7"/>
  <c r="AI148" i="7"/>
  <c r="AI24" i="7"/>
  <c r="AH89" i="7"/>
  <c r="AH73" i="7"/>
  <c r="AH64" i="7"/>
  <c r="AI86" i="7"/>
  <c r="AI125" i="7"/>
  <c r="AI178" i="7"/>
  <c r="AH56" i="7"/>
  <c r="AK56" i="7" s="1"/>
  <c r="AI157" i="7"/>
  <c r="AH20" i="7"/>
  <c r="AH77" i="7"/>
  <c r="AK77" i="7" s="1"/>
  <c r="AH144" i="7"/>
  <c r="AH21" i="7"/>
  <c r="AI147" i="7"/>
  <c r="AH111" i="7"/>
  <c r="AK111" i="7" s="1"/>
  <c r="AH155" i="7"/>
  <c r="AK155" i="7" s="1"/>
  <c r="AH114" i="7"/>
  <c r="AS175" i="5"/>
  <c r="AI182" i="7"/>
  <c r="AH189" i="7"/>
  <c r="AI85" i="7"/>
  <c r="AH30" i="7"/>
  <c r="AI50" i="7"/>
  <c r="AH194" i="7"/>
  <c r="AH149" i="7"/>
  <c r="AK149" i="7" s="1"/>
  <c r="AH141" i="7"/>
  <c r="AI119" i="7"/>
  <c r="AH175" i="7"/>
  <c r="AK175" i="7" s="1"/>
  <c r="AH146" i="7"/>
  <c r="AK146" i="7" s="1"/>
  <c r="AH195" i="7"/>
  <c r="AH62" i="7"/>
  <c r="AH74" i="7"/>
  <c r="AH180" i="7"/>
  <c r="AH177" i="7"/>
  <c r="AH193" i="7"/>
  <c r="AI26" i="7"/>
  <c r="AI181" i="7"/>
  <c r="AI66" i="7"/>
  <c r="AI84" i="7"/>
  <c r="AH126" i="7"/>
  <c r="AI101" i="7"/>
  <c r="AH165" i="7"/>
  <c r="AI154" i="7"/>
  <c r="AH49" i="7"/>
  <c r="AI65" i="7"/>
  <c r="AH79" i="7"/>
  <c r="AH143" i="7"/>
  <c r="AK143" i="7" s="1"/>
  <c r="AI29" i="7"/>
  <c r="AH41" i="7"/>
  <c r="AH36" i="7"/>
  <c r="AI130" i="7"/>
  <c r="AI179" i="7"/>
  <c r="AI186" i="7"/>
  <c r="AH121" i="7"/>
  <c r="AI117" i="7"/>
  <c r="AI184" i="7"/>
  <c r="AI80" i="7"/>
  <c r="AI16" i="7"/>
  <c r="AH113" i="7"/>
  <c r="AK113" i="7" s="1"/>
  <c r="AI70" i="7"/>
  <c r="AI44" i="7"/>
  <c r="AH57" i="7"/>
  <c r="AH109" i="7"/>
  <c r="AI187" i="7"/>
  <c r="AH98" i="7"/>
  <c r="AK98" i="7" s="1"/>
  <c r="AH53" i="7"/>
  <c r="AH94" i="7"/>
  <c r="AK94" i="7" s="1"/>
  <c r="AH91" i="7"/>
  <c r="AK91" i="7" s="1"/>
  <c r="AI158" i="7"/>
  <c r="AH106" i="7"/>
  <c r="AK106" i="7" s="1"/>
  <c r="AI112" i="7"/>
  <c r="AH99" i="7"/>
  <c r="AI69" i="7"/>
  <c r="AI58" i="7"/>
  <c r="AH190" i="7"/>
  <c r="AH47" i="7"/>
  <c r="AK47" i="7" s="1"/>
  <c r="AI140" i="7"/>
  <c r="AI136" i="7"/>
  <c r="AI11" i="7"/>
  <c r="AI133" i="7"/>
  <c r="AI87" i="7"/>
  <c r="AI197" i="7"/>
  <c r="AH92" i="7"/>
  <c r="AH192" i="7"/>
  <c r="AI183" i="7"/>
  <c r="AH15" i="7"/>
  <c r="AH59" i="7"/>
  <c r="AK59" i="7" s="1"/>
  <c r="AH35" i="7"/>
  <c r="AH55" i="7"/>
  <c r="AK55" i="7" s="1"/>
  <c r="AI198" i="7"/>
  <c r="AH156" i="7"/>
  <c r="AH160" i="7"/>
  <c r="AI38" i="7"/>
  <c r="AH168" i="7"/>
  <c r="AH81" i="7"/>
  <c r="AH161" i="7"/>
  <c r="AH102" i="7"/>
  <c r="AI60" i="7"/>
  <c r="AI196" i="7"/>
  <c r="AI43" i="7"/>
  <c r="AH129" i="7"/>
  <c r="AI202" i="7"/>
  <c r="AI116" i="7"/>
  <c r="AH103" i="7"/>
  <c r="AK103" i="7" s="1"/>
  <c r="AH185" i="7"/>
  <c r="AI42" i="7"/>
  <c r="AH188" i="7"/>
  <c r="AH166" i="7"/>
  <c r="AI28" i="7"/>
  <c r="AI37" i="7"/>
  <c r="AI104" i="7"/>
  <c r="AI122" i="7"/>
  <c r="AH27" i="7"/>
  <c r="AK27" i="7" s="1"/>
  <c r="AH151" i="7"/>
  <c r="AK151" i="7" s="1"/>
  <c r="AH23" i="7"/>
  <c r="AK23" i="7" s="1"/>
  <c r="AI19" i="7"/>
  <c r="AI120" i="7"/>
  <c r="AH6" i="7"/>
  <c r="AI54" i="7"/>
  <c r="AH134" i="7"/>
  <c r="AK134" i="7" s="1"/>
  <c r="AH152" i="7"/>
  <c r="AI132" i="7"/>
  <c r="AI138" i="7"/>
  <c r="AH10" i="7"/>
  <c r="AH153" i="7"/>
  <c r="AI90" i="7"/>
  <c r="AH124" i="7"/>
  <c r="AI76" i="7"/>
  <c r="AI12" i="7"/>
  <c r="AH139" i="7"/>
  <c r="AK139" i="7" s="1"/>
  <c r="AI139" i="7"/>
  <c r="AH115" i="7"/>
  <c r="AI115" i="7"/>
  <c r="AI78" i="7"/>
  <c r="AH78" i="7"/>
  <c r="AI174" i="7"/>
  <c r="AH174" i="7"/>
  <c r="AH170" i="7"/>
  <c r="AK170" i="7" s="1"/>
  <c r="AI170" i="7"/>
  <c r="AI34" i="7"/>
  <c r="AH34" i="7"/>
  <c r="AH71" i="7"/>
  <c r="AK71" i="7" s="1"/>
  <c r="AI71" i="7"/>
  <c r="AI25" i="7"/>
  <c r="AI17" i="7"/>
  <c r="AI9" i="7"/>
  <c r="AI167" i="7"/>
  <c r="AH167" i="7"/>
  <c r="AI110" i="7"/>
  <c r="AH110" i="7"/>
  <c r="AK110" i="7" s="1"/>
  <c r="AI107" i="7"/>
  <c r="AH107" i="7"/>
  <c r="AK107" i="7" s="1"/>
  <c r="AI159" i="7"/>
  <c r="AH159" i="7"/>
  <c r="AI51" i="7"/>
  <c r="AH51" i="7"/>
  <c r="AK51" i="7" s="1"/>
  <c r="AI163" i="7"/>
  <c r="AH163" i="7"/>
  <c r="AK163" i="7" s="1"/>
  <c r="W75" i="7"/>
  <c r="Z75" i="7" s="1"/>
  <c r="AF75" i="7"/>
  <c r="AG75" i="7" s="1"/>
  <c r="AH39" i="7"/>
  <c r="AK39" i="7" s="1"/>
  <c r="AI39" i="7"/>
  <c r="AI31" i="7"/>
  <c r="AH31" i="7"/>
  <c r="AK31" i="7" s="1"/>
  <c r="AH67" i="7"/>
  <c r="AI67" i="7"/>
  <c r="AI18" i="7"/>
  <c r="AH18" i="7"/>
  <c r="AI14" i="7"/>
  <c r="AH14" i="7"/>
  <c r="AH63" i="7"/>
  <c r="AI63" i="7"/>
  <c r="AI83" i="7"/>
  <c r="AH83" i="7"/>
  <c r="AI33" i="7"/>
  <c r="AI46" i="7"/>
  <c r="AH46" i="7"/>
  <c r="AI82" i="7"/>
  <c r="AH82" i="7"/>
  <c r="AI95" i="7"/>
  <c r="AH95" i="7"/>
  <c r="AI7" i="7"/>
  <c r="AH7" i="7"/>
  <c r="AI199" i="7"/>
  <c r="AH199" i="7"/>
  <c r="AK199" i="7" s="1"/>
  <c r="AI142" i="7"/>
  <c r="AH142" i="7"/>
  <c r="AH171" i="7"/>
  <c r="AK171" i="7" s="1"/>
  <c r="AI171" i="7"/>
  <c r="AI191" i="7"/>
  <c r="AH191" i="7"/>
  <c r="AI135" i="7"/>
  <c r="AH135" i="7"/>
  <c r="AH127" i="7"/>
  <c r="AK127" i="7" s="1"/>
  <c r="AI127" i="7"/>
  <c r="AJ91" i="7"/>
  <c r="AJ43" i="7"/>
  <c r="AS132" i="5"/>
  <c r="AS28" i="5"/>
  <c r="AQ4" i="5"/>
  <c r="AT4" i="5" s="1"/>
  <c r="H3" i="7"/>
  <c r="G3" i="7"/>
  <c r="O40" i="7"/>
  <c r="AK38" i="7"/>
  <c r="O196" i="7"/>
  <c r="AK13" i="7"/>
  <c r="O138" i="7"/>
  <c r="O90" i="7"/>
  <c r="O152" i="7"/>
  <c r="O179" i="7"/>
  <c r="O69" i="7"/>
  <c r="O42" i="7"/>
  <c r="O139" i="7"/>
  <c r="O92" i="7"/>
  <c r="O47" i="7"/>
  <c r="O104" i="7"/>
  <c r="O147" i="7"/>
  <c r="O35" i="7"/>
  <c r="AJ177" i="7"/>
  <c r="AK179" i="7"/>
  <c r="AK34" i="7"/>
  <c r="N175" i="7"/>
  <c r="N98" i="7"/>
  <c r="AJ80" i="7"/>
  <c r="AK42" i="7"/>
  <c r="O93" i="7"/>
  <c r="N186" i="7"/>
  <c r="P122" i="7"/>
  <c r="P145" i="7"/>
  <c r="O163" i="7"/>
  <c r="O123" i="7"/>
  <c r="O102" i="7"/>
  <c r="P168" i="7"/>
  <c r="O80" i="7"/>
  <c r="O83" i="7"/>
  <c r="O145" i="7"/>
  <c r="O195" i="7"/>
  <c r="O115" i="7"/>
  <c r="O60" i="7"/>
  <c r="N166" i="7"/>
  <c r="Q166" i="7" s="1"/>
  <c r="N81" i="8"/>
  <c r="N40" i="7"/>
  <c r="Q40" i="7" s="1"/>
  <c r="P93" i="7"/>
  <c r="L81" i="8"/>
  <c r="P81" i="8" s="1"/>
  <c r="AS168" i="5"/>
  <c r="AS151" i="5"/>
  <c r="P176" i="7"/>
  <c r="P117" i="7"/>
  <c r="N58" i="7"/>
  <c r="Q58" i="7" s="1"/>
  <c r="AQ35" i="5"/>
  <c r="P13" i="7"/>
  <c r="N194" i="7"/>
  <c r="Q194" i="7" s="1"/>
  <c r="AQ156" i="5"/>
  <c r="AT156" i="5" s="1"/>
  <c r="AQ123" i="5"/>
  <c r="AQ33" i="5"/>
  <c r="N137" i="7"/>
  <c r="Q137" i="7" s="1"/>
  <c r="BE122" i="5"/>
  <c r="AS71" i="5"/>
  <c r="P181" i="7"/>
  <c r="N133" i="7"/>
  <c r="Q133" i="7" s="1"/>
  <c r="AS32" i="5"/>
  <c r="P139" i="7"/>
  <c r="N123" i="7"/>
  <c r="Q123" i="7" s="1"/>
  <c r="P196" i="7"/>
  <c r="N47" i="7"/>
  <c r="Q47" i="7" s="1"/>
  <c r="AQ139" i="5"/>
  <c r="AT139" i="5" s="1"/>
  <c r="N109" i="7"/>
  <c r="Q109" i="7" s="1"/>
  <c r="X75" i="7"/>
  <c r="Y75" i="7"/>
  <c r="F105" i="5"/>
  <c r="G105" i="5"/>
  <c r="F9" i="5"/>
  <c r="G9" i="5"/>
  <c r="F145" i="5"/>
  <c r="G145" i="5"/>
  <c r="P178" i="7"/>
  <c r="P34" i="7"/>
  <c r="P148" i="7"/>
  <c r="P4" i="7"/>
  <c r="P162" i="7"/>
  <c r="AQ27" i="5"/>
  <c r="AS150" i="5"/>
  <c r="AQ49" i="5"/>
  <c r="AT49" i="5" s="1"/>
  <c r="N65" i="7"/>
  <c r="Q65" i="7" s="1"/>
  <c r="N152" i="7"/>
  <c r="Q152" i="7" s="1"/>
  <c r="N99" i="7"/>
  <c r="Q99" i="7" s="1"/>
  <c r="P96" i="7"/>
  <c r="N83" i="7"/>
  <c r="Q83" i="7" s="1"/>
  <c r="BE153" i="5"/>
  <c r="L133" i="8"/>
  <c r="L83" i="8"/>
  <c r="O83" i="8" s="1"/>
  <c r="AQ164" i="5"/>
  <c r="AT164" i="5" s="1"/>
  <c r="N147" i="7"/>
  <c r="Q147" i="7" s="1"/>
  <c r="P41" i="7"/>
  <c r="N180" i="7"/>
  <c r="Q180" i="7" s="1"/>
  <c r="P68" i="7"/>
  <c r="N128" i="7"/>
  <c r="Q128" i="7" s="1"/>
  <c r="N138" i="7"/>
  <c r="Q138" i="7" s="1"/>
  <c r="P63" i="7"/>
  <c r="P141" i="7"/>
  <c r="P92" i="7"/>
  <c r="AQ11" i="5"/>
  <c r="AQ190" i="5"/>
  <c r="AU190" i="5" s="1"/>
  <c r="AQ17" i="5"/>
  <c r="AT17" i="5" s="1"/>
  <c r="N201" i="7"/>
  <c r="Q201" i="7" s="1"/>
  <c r="N104" i="7"/>
  <c r="Q104" i="7" s="1"/>
  <c r="N46" i="7"/>
  <c r="Q46" i="7" s="1"/>
  <c r="AQ159" i="5"/>
  <c r="AU159" i="5" s="1"/>
  <c r="P69" i="7"/>
  <c r="N17" i="7"/>
  <c r="Q17" i="7" s="1"/>
  <c r="P90" i="7"/>
  <c r="AS190" i="5"/>
  <c r="AQ65" i="5"/>
  <c r="P167" i="7"/>
  <c r="P54" i="7"/>
  <c r="P189" i="7"/>
  <c r="N189" i="7"/>
  <c r="Q189" i="7" s="1"/>
  <c r="P53" i="7"/>
  <c r="N53" i="7"/>
  <c r="Q53" i="7" s="1"/>
  <c r="P76" i="7"/>
  <c r="N76" i="7"/>
  <c r="Q76" i="7" s="1"/>
  <c r="N182" i="7"/>
  <c r="Q182" i="7" s="1"/>
  <c r="P182" i="7"/>
  <c r="N29" i="7"/>
  <c r="Q29" i="7" s="1"/>
  <c r="P29" i="7"/>
  <c r="N10" i="7"/>
  <c r="Q10" i="7" s="1"/>
  <c r="P10" i="7"/>
  <c r="P67" i="7"/>
  <c r="N67" i="7"/>
  <c r="Q67" i="7" s="1"/>
  <c r="P165" i="7"/>
  <c r="N165" i="7"/>
  <c r="Q165" i="7" s="1"/>
  <c r="P61" i="7"/>
  <c r="O61" i="7"/>
  <c r="P25" i="7"/>
  <c r="N25" i="7"/>
  <c r="Q25" i="7" s="1"/>
  <c r="P84" i="7"/>
  <c r="P52" i="7"/>
  <c r="N52" i="7"/>
  <c r="Q52" i="7" s="1"/>
  <c r="P95" i="7"/>
  <c r="P31" i="7"/>
  <c r="O31" i="7"/>
  <c r="N89" i="7"/>
  <c r="Q89" i="7" s="1"/>
  <c r="N108" i="7"/>
  <c r="Q108" i="7" s="1"/>
  <c r="N14" i="7"/>
  <c r="Q14" i="7" s="1"/>
  <c r="P14" i="7"/>
  <c r="N119" i="7"/>
  <c r="P119" i="7"/>
  <c r="N156" i="7"/>
  <c r="Q156" i="7" s="1"/>
  <c r="P156" i="7"/>
  <c r="N126" i="7"/>
  <c r="Q126" i="7" s="1"/>
  <c r="P126" i="7"/>
  <c r="P159" i="7"/>
  <c r="N197" i="7"/>
  <c r="Q197" i="7" s="1"/>
  <c r="N61" i="7"/>
  <c r="Q61" i="7" s="1"/>
  <c r="P125" i="7"/>
  <c r="N125" i="7"/>
  <c r="Q125" i="7" s="1"/>
  <c r="P164" i="7"/>
  <c r="N164" i="7"/>
  <c r="Q164" i="7" s="1"/>
  <c r="P44" i="7"/>
  <c r="N44" i="7"/>
  <c r="Q44" i="7" s="1"/>
  <c r="P15" i="7"/>
  <c r="O15" i="7"/>
  <c r="N169" i="7"/>
  <c r="Q169" i="7" s="1"/>
  <c r="P169" i="7"/>
  <c r="N72" i="7"/>
  <c r="Q72" i="7" s="1"/>
  <c r="P72" i="7"/>
  <c r="P200" i="7"/>
  <c r="O200" i="7"/>
  <c r="P97" i="7"/>
  <c r="N97" i="7"/>
  <c r="Q97" i="7" s="1"/>
  <c r="P116" i="7"/>
  <c r="N116" i="7"/>
  <c r="Q116" i="7" s="1"/>
  <c r="P78" i="7"/>
  <c r="N78" i="7"/>
  <c r="Q78" i="7" s="1"/>
  <c r="N157" i="7"/>
  <c r="Q157" i="7" s="1"/>
  <c r="N79" i="7"/>
  <c r="Q79" i="7" s="1"/>
  <c r="P79" i="7"/>
  <c r="N101" i="7"/>
  <c r="Q101" i="7" s="1"/>
  <c r="P101" i="7"/>
  <c r="N8" i="7"/>
  <c r="Q8" i="7" s="1"/>
  <c r="P8" i="7"/>
  <c r="N136" i="7"/>
  <c r="Q136" i="7" s="1"/>
  <c r="P136" i="7"/>
  <c r="P131" i="7"/>
  <c r="N118" i="7"/>
  <c r="Q118" i="7" s="1"/>
  <c r="P172" i="7"/>
  <c r="N48" i="7"/>
  <c r="Q48" i="7" s="1"/>
  <c r="P16" i="7"/>
  <c r="N110" i="7"/>
  <c r="O16" i="7"/>
  <c r="O121" i="7"/>
  <c r="N26" i="7"/>
  <c r="Q26" i="7" s="1"/>
  <c r="N3" i="7"/>
  <c r="Q3" i="7" s="1"/>
  <c r="P183" i="7"/>
  <c r="N185" i="7"/>
  <c r="Q185" i="7" s="1"/>
  <c r="N121" i="7"/>
  <c r="N49" i="7"/>
  <c r="Q49" i="7" s="1"/>
  <c r="N188" i="7"/>
  <c r="Q188" i="7" s="1"/>
  <c r="N88" i="7"/>
  <c r="Q88" i="7" s="1"/>
  <c r="N24" i="7"/>
  <c r="Q24" i="7" s="1"/>
  <c r="N74" i="7"/>
  <c r="Q74" i="7" s="1"/>
  <c r="N142" i="7"/>
  <c r="N6" i="7"/>
  <c r="Q6" i="7" s="1"/>
  <c r="N129" i="7"/>
  <c r="Q129" i="7" s="1"/>
  <c r="N140" i="7"/>
  <c r="Q140" i="7" s="1"/>
  <c r="P113" i="7"/>
  <c r="N45" i="7"/>
  <c r="P110" i="7"/>
  <c r="O130" i="7"/>
  <c r="N28" i="7"/>
  <c r="Q28" i="7" s="1"/>
  <c r="P115" i="7"/>
  <c r="P193" i="7"/>
  <c r="P57" i="7"/>
  <c r="P64" i="7"/>
  <c r="P163" i="7"/>
  <c r="P66" i="7"/>
  <c r="AU132" i="5"/>
  <c r="AT132" i="5"/>
  <c r="AT151" i="5"/>
  <c r="AU151" i="5"/>
  <c r="G174" i="5"/>
  <c r="G129" i="5"/>
  <c r="G21" i="5"/>
  <c r="Q45" i="5"/>
  <c r="L157" i="8"/>
  <c r="AS48" i="5"/>
  <c r="AS135" i="5"/>
  <c r="AS7" i="5"/>
  <c r="AQ181" i="5"/>
  <c r="AT181" i="5" s="1"/>
  <c r="AQ99" i="5"/>
  <c r="AQ117" i="5"/>
  <c r="AT117" i="5" s="1"/>
  <c r="AS104" i="5"/>
  <c r="AS171" i="5"/>
  <c r="AS199" i="5"/>
  <c r="AS39" i="5"/>
  <c r="AS74" i="5"/>
  <c r="AQ189" i="5"/>
  <c r="AS129" i="5"/>
  <c r="AS174" i="5"/>
  <c r="AS180" i="5"/>
  <c r="AQ44" i="5"/>
  <c r="AT44" i="5" s="1"/>
  <c r="AQ75" i="5"/>
  <c r="G18" i="5"/>
  <c r="L161" i="8"/>
  <c r="AS148" i="5"/>
  <c r="AQ20" i="5"/>
  <c r="AT20" i="5" s="1"/>
  <c r="AS44" i="5"/>
  <c r="G176" i="5"/>
  <c r="Q27" i="5"/>
  <c r="AS103" i="5"/>
  <c r="AQ67" i="5"/>
  <c r="AS72" i="5"/>
  <c r="AS66" i="5"/>
  <c r="AQ91" i="5"/>
  <c r="AQ59" i="5"/>
  <c r="AQ157" i="5"/>
  <c r="F29" i="5"/>
  <c r="G29" i="5"/>
  <c r="F170" i="5"/>
  <c r="G170" i="5"/>
  <c r="F46" i="5"/>
  <c r="G46" i="5"/>
  <c r="M39" i="8"/>
  <c r="L39" i="8"/>
  <c r="BE87" i="5"/>
  <c r="L123" i="8"/>
  <c r="O123" i="8" s="1"/>
  <c r="AQ160" i="5"/>
  <c r="AT160" i="5" s="1"/>
  <c r="AQ108" i="5"/>
  <c r="AT108" i="5" s="1"/>
  <c r="AQ24" i="5"/>
  <c r="AT24" i="5" s="1"/>
  <c r="AQ183" i="5"/>
  <c r="AT183" i="5" s="1"/>
  <c r="AQ119" i="5"/>
  <c r="AQ106" i="5"/>
  <c r="AQ46" i="5"/>
  <c r="AT46" i="5" s="1"/>
  <c r="AQ14" i="5"/>
  <c r="AQ141" i="5"/>
  <c r="AT141" i="5" s="1"/>
  <c r="AS140" i="5"/>
  <c r="AS88" i="5"/>
  <c r="AS195" i="5"/>
  <c r="AS131" i="5"/>
  <c r="AS182" i="5"/>
  <c r="AS102" i="5"/>
  <c r="AS6" i="5"/>
  <c r="AS165" i="5"/>
  <c r="AQ176" i="5"/>
  <c r="AT176" i="5" s="1"/>
  <c r="AQ96" i="5"/>
  <c r="AT96" i="5" s="1"/>
  <c r="AQ40" i="5"/>
  <c r="AT40" i="5" s="1"/>
  <c r="AQ191" i="5"/>
  <c r="AQ127" i="5"/>
  <c r="AS111" i="5"/>
  <c r="AS79" i="5"/>
  <c r="AS47" i="5"/>
  <c r="AS15" i="5"/>
  <c r="AS126" i="5"/>
  <c r="AQ86" i="5"/>
  <c r="AT86" i="5" s="1"/>
  <c r="AS201" i="5"/>
  <c r="AS177" i="5"/>
  <c r="AS161" i="5"/>
  <c r="AS149" i="5"/>
  <c r="AS97" i="5"/>
  <c r="AS81" i="5"/>
  <c r="AS82" i="5"/>
  <c r="AQ18" i="5"/>
  <c r="AS193" i="5"/>
  <c r="AQ186" i="5"/>
  <c r="AT186" i="5" s="1"/>
  <c r="AQ54" i="5"/>
  <c r="AT54" i="5" s="1"/>
  <c r="AS141" i="5"/>
  <c r="AQ172" i="5"/>
  <c r="AQ92" i="5"/>
  <c r="AQ60" i="5"/>
  <c r="AT60" i="5" s="1"/>
  <c r="AQ147" i="5"/>
  <c r="AT147" i="5" s="1"/>
  <c r="AS99" i="5"/>
  <c r="AS67" i="5"/>
  <c r="AS35" i="5"/>
  <c r="AQ142" i="5"/>
  <c r="AT142" i="5" s="1"/>
  <c r="AQ42" i="5"/>
  <c r="AT42" i="5" s="1"/>
  <c r="AS121" i="5"/>
  <c r="AS176" i="5"/>
  <c r="AQ124" i="5"/>
  <c r="AS96" i="5"/>
  <c r="AQ64" i="5"/>
  <c r="AS127" i="5"/>
  <c r="AS158" i="5"/>
  <c r="AQ130" i="5"/>
  <c r="AS86" i="5"/>
  <c r="AQ38" i="5"/>
  <c r="AQ101" i="5"/>
  <c r="AT101" i="5" s="1"/>
  <c r="AQ85" i="5"/>
  <c r="AT85" i="5" s="1"/>
  <c r="AQ69" i="5"/>
  <c r="AT69" i="5" s="1"/>
  <c r="AQ144" i="5"/>
  <c r="AT144" i="5" s="1"/>
  <c r="AQ187" i="5"/>
  <c r="AS118" i="5"/>
  <c r="AQ90" i="5"/>
  <c r="AT90" i="5" s="1"/>
  <c r="AS18" i="5"/>
  <c r="AQ109" i="5"/>
  <c r="AQ53" i="5"/>
  <c r="AT53" i="5" s="1"/>
  <c r="AQ37" i="5"/>
  <c r="AT37" i="5" s="1"/>
  <c r="AQ21" i="5"/>
  <c r="AT21" i="5" s="1"/>
  <c r="AQ5" i="5"/>
  <c r="AS128" i="5"/>
  <c r="AQ200" i="5"/>
  <c r="AQ120" i="5"/>
  <c r="AQ84" i="5"/>
  <c r="AQ179" i="5"/>
  <c r="AQ115" i="5"/>
  <c r="AQ178" i="5"/>
  <c r="AT178" i="5" s="1"/>
  <c r="AQ94" i="5"/>
  <c r="AT94" i="5" s="1"/>
  <c r="AS42" i="5"/>
  <c r="AQ111" i="5"/>
  <c r="AQ79" i="5"/>
  <c r="AQ174" i="5"/>
  <c r="AQ161" i="5"/>
  <c r="AQ125" i="5"/>
  <c r="AQ93" i="5"/>
  <c r="AS85" i="5"/>
  <c r="AQ77" i="5"/>
  <c r="AT77" i="5" s="1"/>
  <c r="AS100" i="5"/>
  <c r="AS36" i="5"/>
  <c r="AS155" i="5"/>
  <c r="AS91" i="5"/>
  <c r="AS170" i="5"/>
  <c r="AQ150" i="5"/>
  <c r="AQ30" i="5"/>
  <c r="AS133" i="5"/>
  <c r="AS61" i="5"/>
  <c r="AS45" i="5"/>
  <c r="AS29" i="5"/>
  <c r="AS13" i="5"/>
  <c r="AQ188" i="5"/>
  <c r="AT188" i="5" s="1"/>
  <c r="F49" i="5"/>
  <c r="G49" i="5"/>
  <c r="F72" i="5"/>
  <c r="G72" i="5"/>
  <c r="F201" i="5"/>
  <c r="G201" i="5"/>
  <c r="F17" i="5"/>
  <c r="G17" i="5"/>
  <c r="Q23" i="5"/>
  <c r="M189" i="8"/>
  <c r="L189" i="8"/>
  <c r="O189" i="8" s="1"/>
  <c r="M129" i="8"/>
  <c r="L129" i="8"/>
  <c r="Q40" i="5"/>
  <c r="P202" i="7"/>
  <c r="AS152" i="5"/>
  <c r="AQ152" i="5"/>
  <c r="AT152" i="5" s="1"/>
  <c r="AS76" i="5"/>
  <c r="AQ76" i="5"/>
  <c r="AU76" i="5" s="1"/>
  <c r="AS12" i="5"/>
  <c r="AQ12" i="5"/>
  <c r="AT12" i="5" s="1"/>
  <c r="AR107" i="5"/>
  <c r="AS107" i="5"/>
  <c r="AQ107" i="5"/>
  <c r="AS43" i="5"/>
  <c r="AQ43" i="5"/>
  <c r="L131" i="8"/>
  <c r="O131" i="8" s="1"/>
  <c r="AQ136" i="5"/>
  <c r="AQ56" i="5"/>
  <c r="AQ16" i="5"/>
  <c r="AQ167" i="5"/>
  <c r="AT167" i="5" s="1"/>
  <c r="AS87" i="5"/>
  <c r="AQ55" i="5"/>
  <c r="AS23" i="5"/>
  <c r="AQ154" i="5"/>
  <c r="AQ50" i="5"/>
  <c r="AQ22" i="5"/>
  <c r="AT22" i="5" s="1"/>
  <c r="AS185" i="5"/>
  <c r="N187" i="7"/>
  <c r="Q187" i="7" s="1"/>
  <c r="N82" i="7"/>
  <c r="Q82" i="7" s="1"/>
  <c r="N195" i="7"/>
  <c r="Q195" i="7" s="1"/>
  <c r="N143" i="7"/>
  <c r="Q143" i="7" s="1"/>
  <c r="N149" i="7"/>
  <c r="N81" i="7"/>
  <c r="Q81" i="7" s="1"/>
  <c r="N5" i="7"/>
  <c r="Q5" i="7" s="1"/>
  <c r="N100" i="7"/>
  <c r="N36" i="7"/>
  <c r="P20" i="7"/>
  <c r="N120" i="7"/>
  <c r="Q120" i="7" s="1"/>
  <c r="N38" i="7"/>
  <c r="Q38" i="7" s="1"/>
  <c r="N31" i="7"/>
  <c r="Q31" i="7" s="1"/>
  <c r="AQ192" i="5"/>
  <c r="AQ112" i="5"/>
  <c r="AQ80" i="5"/>
  <c r="AQ163" i="5"/>
  <c r="AT163" i="5" s="1"/>
  <c r="AS83" i="5"/>
  <c r="AQ51" i="5"/>
  <c r="AT51" i="5" s="1"/>
  <c r="AS19" i="5"/>
  <c r="AQ146" i="5"/>
  <c r="AT146" i="5" s="1"/>
  <c r="AQ70" i="5"/>
  <c r="AT70" i="5" s="1"/>
  <c r="AQ169" i="5"/>
  <c r="AQ196" i="5"/>
  <c r="AT196" i="5" s="1"/>
  <c r="AQ184" i="5"/>
  <c r="AT184" i="5" s="1"/>
  <c r="AQ116" i="5"/>
  <c r="AQ52" i="5"/>
  <c r="AT52" i="5" s="1"/>
  <c r="AQ8" i="5"/>
  <c r="AQ143" i="5"/>
  <c r="AQ95" i="5"/>
  <c r="AS63" i="5"/>
  <c r="AQ31" i="5"/>
  <c r="AT31" i="5" s="1"/>
  <c r="AQ138" i="5"/>
  <c r="AT138" i="5" s="1"/>
  <c r="AQ134" i="5"/>
  <c r="AT134" i="5" s="1"/>
  <c r="AQ122" i="5"/>
  <c r="AT122" i="5" s="1"/>
  <c r="AQ98" i="5"/>
  <c r="AT98" i="5" s="1"/>
  <c r="AS197" i="5"/>
  <c r="AQ173" i="5"/>
  <c r="AS153" i="5"/>
  <c r="AQ105" i="5"/>
  <c r="AT105" i="5" s="1"/>
  <c r="AQ89" i="5"/>
  <c r="AQ73" i="5"/>
  <c r="N167" i="7"/>
  <c r="Q167" i="7" s="1"/>
  <c r="N127" i="7"/>
  <c r="Q127" i="7" s="1"/>
  <c r="N114" i="7"/>
  <c r="Q114" i="7" s="1"/>
  <c r="N54" i="7"/>
  <c r="Q54" i="7" s="1"/>
  <c r="P135" i="7"/>
  <c r="N173" i="7"/>
  <c r="Q173" i="7" s="1"/>
  <c r="N105" i="7"/>
  <c r="Q105" i="7" s="1"/>
  <c r="N33" i="7"/>
  <c r="Q33" i="7" s="1"/>
  <c r="N132" i="7"/>
  <c r="Q132" i="7" s="1"/>
  <c r="N60" i="7"/>
  <c r="Q60" i="7" s="1"/>
  <c r="P12" i="7"/>
  <c r="N184" i="7"/>
  <c r="Q184" i="7" s="1"/>
  <c r="P130" i="7"/>
  <c r="N62" i="7"/>
  <c r="Q62" i="7" s="1"/>
  <c r="N15" i="7"/>
  <c r="Q15" i="7" s="1"/>
  <c r="AR68" i="5"/>
  <c r="AS68" i="5"/>
  <c r="AS136" i="5"/>
  <c r="AS154" i="5"/>
  <c r="AS50" i="5"/>
  <c r="AS192" i="5"/>
  <c r="AS70" i="5"/>
  <c r="AS98" i="5"/>
  <c r="AS89" i="5"/>
  <c r="N154" i="7"/>
  <c r="Q154" i="7" s="1"/>
  <c r="P111" i="7"/>
  <c r="L173" i="8"/>
  <c r="P173" i="8" s="1"/>
  <c r="AS108" i="5"/>
  <c r="AS119" i="5"/>
  <c r="AQ87" i="5"/>
  <c r="AQ74" i="5"/>
  <c r="AT74" i="5" s="1"/>
  <c r="AS54" i="5"/>
  <c r="AQ88" i="5"/>
  <c r="AT88" i="5" s="1"/>
  <c r="AQ131" i="5"/>
  <c r="AS115" i="5"/>
  <c r="AQ83" i="5"/>
  <c r="AQ182" i="5"/>
  <c r="AQ102" i="5"/>
  <c r="AT102" i="5" s="1"/>
  <c r="AQ148" i="5"/>
  <c r="AT148" i="5" s="1"/>
  <c r="AS64" i="5"/>
  <c r="AS159" i="5"/>
  <c r="AS95" i="5"/>
  <c r="AQ63" i="5"/>
  <c r="AQ158" i="5"/>
  <c r="AQ97" i="5"/>
  <c r="AT97" i="5" s="1"/>
  <c r="AS93" i="5"/>
  <c r="P192" i="7"/>
  <c r="N170" i="7"/>
  <c r="Q170" i="7" s="1"/>
  <c r="P102" i="7"/>
  <c r="AS123" i="5"/>
  <c r="AS59" i="5"/>
  <c r="AS194" i="5"/>
  <c r="AQ166" i="5"/>
  <c r="AS162" i="5"/>
  <c r="AQ114" i="5"/>
  <c r="AS110" i="5"/>
  <c r="AQ78" i="5"/>
  <c r="AT78" i="5" s="1"/>
  <c r="AS62" i="5"/>
  <c r="AQ113" i="5"/>
  <c r="AQ57" i="5"/>
  <c r="AT57" i="5" s="1"/>
  <c r="AQ41" i="5"/>
  <c r="AQ25" i="5"/>
  <c r="AT25" i="5" s="1"/>
  <c r="AQ9" i="5"/>
  <c r="AT9" i="5" s="1"/>
  <c r="P50" i="7"/>
  <c r="N155" i="7"/>
  <c r="N153" i="7"/>
  <c r="Q153" i="7" s="1"/>
  <c r="N85" i="7"/>
  <c r="Q85" i="7" s="1"/>
  <c r="N9" i="7"/>
  <c r="N124" i="7"/>
  <c r="N56" i="7"/>
  <c r="Q56" i="7" s="1"/>
  <c r="N160" i="7"/>
  <c r="Q160" i="7" s="1"/>
  <c r="N190" i="7"/>
  <c r="Q190" i="7" s="1"/>
  <c r="N94" i="7"/>
  <c r="Q94" i="7" s="1"/>
  <c r="P35" i="7"/>
  <c r="N144" i="7"/>
  <c r="Q144" i="7" s="1"/>
  <c r="P179" i="7"/>
  <c r="N161" i="7"/>
  <c r="N21" i="7"/>
  <c r="Q21" i="7" s="1"/>
  <c r="N32" i="7"/>
  <c r="Q32" i="7" s="1"/>
  <c r="P191" i="7"/>
  <c r="N77" i="7"/>
  <c r="Q77" i="7" s="1"/>
  <c r="N177" i="7"/>
  <c r="Q177" i="7" s="1"/>
  <c r="N37" i="7"/>
  <c r="Q37" i="7" s="1"/>
  <c r="N80" i="7"/>
  <c r="Q80" i="7" s="1"/>
  <c r="N42" i="7"/>
  <c r="Q42" i="7" s="1"/>
  <c r="P198" i="7"/>
  <c r="N134" i="7"/>
  <c r="P51" i="7"/>
  <c r="AS75" i="5"/>
  <c r="AS11" i="5"/>
  <c r="AQ170" i="5"/>
  <c r="AS166" i="5"/>
  <c r="AQ82" i="5"/>
  <c r="AT82" i="5" s="1"/>
  <c r="AQ58" i="5"/>
  <c r="AQ61" i="5"/>
  <c r="AU61" i="5" s="1"/>
  <c r="AQ45" i="5"/>
  <c r="AS41" i="5"/>
  <c r="N18" i="7"/>
  <c r="Q18" i="7" s="1"/>
  <c r="N73" i="7"/>
  <c r="Q73" i="7" s="1"/>
  <c r="N112" i="7"/>
  <c r="Q112" i="7" s="1"/>
  <c r="N106" i="7"/>
  <c r="Q106" i="7" s="1"/>
  <c r="N158" i="7"/>
  <c r="Q158" i="7" s="1"/>
  <c r="N30" i="7"/>
  <c r="Q30" i="7" s="1"/>
  <c r="N174" i="7"/>
  <c r="Q174" i="7" s="1"/>
  <c r="N70" i="7"/>
  <c r="Q70" i="7" s="1"/>
  <c r="N19" i="7"/>
  <c r="Q19" i="7" s="1"/>
  <c r="AQ194" i="5"/>
  <c r="AQ162" i="5"/>
  <c r="AK152" i="5"/>
  <c r="AK136" i="5"/>
  <c r="AK68" i="5"/>
  <c r="AK34" i="5"/>
  <c r="AK189" i="5"/>
  <c r="W26" i="7"/>
  <c r="Z26" i="7" s="1"/>
  <c r="W100" i="7"/>
  <c r="Z100" i="7" s="1"/>
  <c r="X157" i="7"/>
  <c r="W157" i="7"/>
  <c r="Z157" i="7" s="1"/>
  <c r="W122" i="7"/>
  <c r="Z122" i="7" s="1"/>
  <c r="X76" i="7"/>
  <c r="W76" i="7"/>
  <c r="Z76" i="7" s="1"/>
  <c r="X41" i="7"/>
  <c r="W41" i="7"/>
  <c r="Z41" i="7" s="1"/>
  <c r="W45" i="7"/>
  <c r="Z45" i="7" s="1"/>
  <c r="X74" i="7"/>
  <c r="W74" i="7"/>
  <c r="Z74" i="7" s="1"/>
  <c r="W28" i="7"/>
  <c r="Z28" i="7" s="1"/>
  <c r="X185" i="7"/>
  <c r="W185" i="7"/>
  <c r="Z185" i="7" s="1"/>
  <c r="X105" i="7"/>
  <c r="W105" i="7"/>
  <c r="Z105" i="7" s="1"/>
  <c r="X68" i="7"/>
  <c r="W68" i="7"/>
  <c r="Z68" i="7" s="1"/>
  <c r="W90" i="7"/>
  <c r="Z90" i="7" s="1"/>
  <c r="X193" i="7"/>
  <c r="W193" i="7"/>
  <c r="Z193" i="7" s="1"/>
  <c r="W22" i="7"/>
  <c r="Z22" i="7" s="1"/>
  <c r="X72" i="7"/>
  <c r="W72" i="7"/>
  <c r="Z72" i="7" s="1"/>
  <c r="X192" i="7"/>
  <c r="W192" i="7"/>
  <c r="Z192" i="7" s="1"/>
  <c r="X153" i="7"/>
  <c r="W153" i="7"/>
  <c r="Z153" i="7" s="1"/>
  <c r="W124" i="7"/>
  <c r="Z124" i="7" s="1"/>
  <c r="W104" i="7"/>
  <c r="Z104" i="7" s="1"/>
  <c r="X28" i="7"/>
  <c r="X45" i="7"/>
  <c r="X90" i="7"/>
  <c r="F92" i="5"/>
  <c r="G92" i="5"/>
  <c r="F8" i="5"/>
  <c r="G8" i="5"/>
  <c r="X88" i="8"/>
  <c r="Y88" i="8"/>
  <c r="X16" i="8"/>
  <c r="Y16" i="8"/>
  <c r="BM199" i="5"/>
  <c r="BN199" i="5"/>
  <c r="AP179" i="8"/>
  <c r="AQ179" i="8"/>
  <c r="AH167" i="8"/>
  <c r="AG167" i="8"/>
  <c r="AP143" i="8"/>
  <c r="AQ143" i="8"/>
  <c r="X123" i="8"/>
  <c r="Y123" i="8"/>
  <c r="X91" i="8"/>
  <c r="Y91" i="8"/>
  <c r="F51" i="8"/>
  <c r="G51" i="8"/>
  <c r="AG39" i="8"/>
  <c r="AH39" i="8"/>
  <c r="BM194" i="5"/>
  <c r="BN194" i="5"/>
  <c r="O186" i="8"/>
  <c r="P186" i="8"/>
  <c r="AP170" i="8"/>
  <c r="AQ170" i="8"/>
  <c r="AH126" i="8"/>
  <c r="AG126" i="8"/>
  <c r="O106" i="8"/>
  <c r="P106" i="8"/>
  <c r="AP90" i="8"/>
  <c r="AQ90" i="8"/>
  <c r="O82" i="8"/>
  <c r="P82" i="8"/>
  <c r="BM193" i="5"/>
  <c r="BN193" i="5"/>
  <c r="BM157" i="5"/>
  <c r="BN157" i="5"/>
  <c r="AP137" i="8"/>
  <c r="AQ137" i="8"/>
  <c r="X121" i="8"/>
  <c r="Y121" i="8"/>
  <c r="BY192" i="5"/>
  <c r="BX192" i="5"/>
  <c r="BY172" i="5"/>
  <c r="BX172" i="5"/>
  <c r="F164" i="8"/>
  <c r="G164" i="8"/>
  <c r="X144" i="8"/>
  <c r="Y144" i="8"/>
  <c r="AH195" i="8"/>
  <c r="AG195" i="8"/>
  <c r="BN91" i="5"/>
  <c r="BM91" i="5"/>
  <c r="AH79" i="8"/>
  <c r="AG79" i="8"/>
  <c r="X55" i="8"/>
  <c r="Y55" i="8"/>
  <c r="BN43" i="5"/>
  <c r="BM43" i="5"/>
  <c r="AH31" i="8"/>
  <c r="AG31" i="8"/>
  <c r="AP194" i="8"/>
  <c r="AQ194" i="8"/>
  <c r="X182" i="8"/>
  <c r="Y182" i="8"/>
  <c r="AG158" i="8"/>
  <c r="AH158" i="8"/>
  <c r="BM142" i="5"/>
  <c r="BN142" i="5"/>
  <c r="O34" i="8"/>
  <c r="P34" i="8"/>
  <c r="X18" i="8"/>
  <c r="Y18" i="8"/>
  <c r="X201" i="8"/>
  <c r="Y201" i="8"/>
  <c r="BY185" i="5"/>
  <c r="BX185" i="5"/>
  <c r="AJ180" i="5"/>
  <c r="AK180" i="5"/>
  <c r="AG164" i="8"/>
  <c r="AH164" i="8"/>
  <c r="AH124" i="8"/>
  <c r="AG124" i="8"/>
  <c r="AP112" i="8"/>
  <c r="AQ112" i="8"/>
  <c r="BY28" i="5"/>
  <c r="BX28" i="5"/>
  <c r="X163" i="8"/>
  <c r="Y163" i="8"/>
  <c r="AP155" i="8"/>
  <c r="AQ155" i="8"/>
  <c r="BM178" i="5"/>
  <c r="BN178" i="5"/>
  <c r="BM176" i="5"/>
  <c r="BN176" i="5"/>
  <c r="X168" i="8"/>
  <c r="Y168" i="8"/>
  <c r="BY156" i="5"/>
  <c r="BX156" i="5"/>
  <c r="AP144" i="8"/>
  <c r="AQ144" i="8"/>
  <c r="X132" i="8"/>
  <c r="Y132" i="8"/>
  <c r="AG116" i="8"/>
  <c r="AH116" i="8"/>
  <c r="G76" i="8"/>
  <c r="F76" i="8"/>
  <c r="BX68" i="5"/>
  <c r="BY68" i="5"/>
  <c r="BN60" i="5"/>
  <c r="BM60" i="5"/>
  <c r="BM175" i="5"/>
  <c r="BN175" i="5"/>
  <c r="AH171" i="8"/>
  <c r="AG171" i="8"/>
  <c r="BY143" i="5"/>
  <c r="BX143" i="5"/>
  <c r="AG139" i="8"/>
  <c r="AH139" i="8"/>
  <c r="BY27" i="5"/>
  <c r="BX27" i="5"/>
  <c r="AP202" i="8"/>
  <c r="AQ202" i="8"/>
  <c r="BY194" i="5"/>
  <c r="BX194" i="5"/>
  <c r="X186" i="8"/>
  <c r="Y186" i="8"/>
  <c r="BY162" i="5"/>
  <c r="BX162" i="5"/>
  <c r="X154" i="8"/>
  <c r="Y154" i="8"/>
  <c r="F150" i="8"/>
  <c r="G150" i="8"/>
  <c r="O122" i="8"/>
  <c r="P122" i="8"/>
  <c r="BY70" i="5"/>
  <c r="BX70" i="5"/>
  <c r="AP66" i="8"/>
  <c r="AQ66" i="8"/>
  <c r="X62" i="8"/>
  <c r="Y62" i="8"/>
  <c r="X54" i="8"/>
  <c r="Y54" i="8"/>
  <c r="AG46" i="8"/>
  <c r="AH46" i="8"/>
  <c r="BM137" i="5"/>
  <c r="BN137" i="5"/>
  <c r="O97" i="8"/>
  <c r="P97" i="8"/>
  <c r="AH89" i="8"/>
  <c r="AG89" i="8"/>
  <c r="BY81" i="5"/>
  <c r="BX81" i="5"/>
  <c r="BN57" i="5"/>
  <c r="BM57" i="5"/>
  <c r="X33" i="8"/>
  <c r="Y33" i="8"/>
  <c r="G17" i="8"/>
  <c r="F17" i="8"/>
  <c r="F9" i="8"/>
  <c r="G9" i="8"/>
  <c r="F5" i="8"/>
  <c r="G5" i="8"/>
  <c r="F97" i="5"/>
  <c r="G97" i="5"/>
  <c r="F14" i="5"/>
  <c r="G14" i="5"/>
  <c r="F60" i="5"/>
  <c r="G60" i="5"/>
  <c r="F96" i="8"/>
  <c r="G96" i="8"/>
  <c r="AG76" i="8"/>
  <c r="AH76" i="8"/>
  <c r="AQ4" i="8"/>
  <c r="AP4" i="8"/>
  <c r="BY167" i="5"/>
  <c r="BX167" i="5"/>
  <c r="AP147" i="8"/>
  <c r="AQ147" i="8"/>
  <c r="AH135" i="8"/>
  <c r="AG135" i="8"/>
  <c r="X107" i="8"/>
  <c r="Y107" i="8"/>
  <c r="X75" i="8"/>
  <c r="Y75" i="8"/>
  <c r="AG55" i="8"/>
  <c r="AH55" i="8"/>
  <c r="BY39" i="5"/>
  <c r="BX39" i="5"/>
  <c r="X27" i="8"/>
  <c r="Y27" i="8"/>
  <c r="AG7" i="8"/>
  <c r="AH7" i="8"/>
  <c r="BX186" i="5"/>
  <c r="BY186" i="5"/>
  <c r="O162" i="8"/>
  <c r="P162" i="8"/>
  <c r="G142" i="8"/>
  <c r="F142" i="8"/>
  <c r="O114" i="8"/>
  <c r="P114" i="8"/>
  <c r="AG58" i="8"/>
  <c r="AH58" i="8"/>
  <c r="X46" i="8"/>
  <c r="Y46" i="8"/>
  <c r="BY38" i="5"/>
  <c r="BX38" i="5"/>
  <c r="AP34" i="8"/>
  <c r="AQ34" i="8"/>
  <c r="AG26" i="8"/>
  <c r="AH26" i="8"/>
  <c r="O22" i="8"/>
  <c r="P22" i="8"/>
  <c r="BM14" i="5"/>
  <c r="BN14" i="5"/>
  <c r="AJ10" i="5"/>
  <c r="AK10" i="5"/>
  <c r="BN113" i="5"/>
  <c r="BM113" i="5"/>
  <c r="BY164" i="5"/>
  <c r="BX164" i="5"/>
  <c r="X148" i="8"/>
  <c r="Y148" i="8"/>
  <c r="AP132" i="8"/>
  <c r="AQ132" i="8"/>
  <c r="X71" i="8"/>
  <c r="Y71" i="8"/>
  <c r="O59" i="8"/>
  <c r="P59" i="8"/>
  <c r="AG198" i="8"/>
  <c r="AH198" i="8"/>
  <c r="BY182" i="5"/>
  <c r="BX182" i="5"/>
  <c r="AQ162" i="8"/>
  <c r="AP162" i="8"/>
  <c r="BY146" i="5"/>
  <c r="BX146" i="5"/>
  <c r="AH130" i="8"/>
  <c r="AG130" i="8"/>
  <c r="AJ26" i="5"/>
  <c r="AK26" i="5"/>
  <c r="BM189" i="5"/>
  <c r="BN189" i="5"/>
  <c r="G177" i="8"/>
  <c r="F177" i="8"/>
  <c r="X172" i="8"/>
  <c r="Y172" i="8"/>
  <c r="O152" i="8"/>
  <c r="P152" i="8"/>
  <c r="BY124" i="5"/>
  <c r="BX124" i="5"/>
  <c r="F116" i="8"/>
  <c r="G116" i="8"/>
  <c r="AP48" i="8"/>
  <c r="AQ48" i="8"/>
  <c r="X32" i="8"/>
  <c r="Y32" i="8"/>
  <c r="BY179" i="5"/>
  <c r="BX179" i="5"/>
  <c r="X175" i="8"/>
  <c r="Y175" i="8"/>
  <c r="BN131" i="5"/>
  <c r="BM131" i="5"/>
  <c r="X127" i="8"/>
  <c r="Y127" i="8"/>
  <c r="O103" i="8"/>
  <c r="P103" i="8"/>
  <c r="F190" i="8"/>
  <c r="G190" i="8"/>
  <c r="O174" i="8"/>
  <c r="P174" i="8"/>
  <c r="F166" i="8"/>
  <c r="G166" i="8"/>
  <c r="X158" i="8"/>
  <c r="Y158" i="8"/>
  <c r="X134" i="8"/>
  <c r="Y134" i="8"/>
  <c r="O126" i="8"/>
  <c r="P126" i="8"/>
  <c r="AH118" i="8"/>
  <c r="AG118" i="8"/>
  <c r="X110" i="8"/>
  <c r="Y110" i="8"/>
  <c r="AP152" i="8"/>
  <c r="AQ152" i="8"/>
  <c r="BY116" i="5"/>
  <c r="BX116" i="5"/>
  <c r="G108" i="8"/>
  <c r="F108" i="8"/>
  <c r="BN100" i="5"/>
  <c r="BM100" i="5"/>
  <c r="BN92" i="5"/>
  <c r="BM92" i="5"/>
  <c r="BX52" i="5"/>
  <c r="BY52" i="5"/>
  <c r="AG48" i="8"/>
  <c r="AH48" i="8"/>
  <c r="BY40" i="5"/>
  <c r="BX40" i="5"/>
  <c r="BX32" i="5"/>
  <c r="BY32" i="5"/>
  <c r="BX20" i="5"/>
  <c r="BY20" i="5"/>
  <c r="AH16" i="8"/>
  <c r="AG16" i="8"/>
  <c r="BN8" i="5"/>
  <c r="BM8" i="5"/>
  <c r="AK3" i="5"/>
  <c r="AJ3" i="5"/>
  <c r="G23" i="8"/>
  <c r="F23" i="8"/>
  <c r="BY11" i="5"/>
  <c r="BX11" i="5"/>
  <c r="BM170" i="5"/>
  <c r="BN170" i="5"/>
  <c r="O130" i="8"/>
  <c r="P130" i="8"/>
  <c r="BY114" i="5"/>
  <c r="BX114" i="5"/>
  <c r="X106" i="8"/>
  <c r="Y106" i="8"/>
  <c r="BM30" i="5"/>
  <c r="BN30" i="5"/>
  <c r="O113" i="8"/>
  <c r="P113" i="8"/>
  <c r="AP105" i="8"/>
  <c r="AQ105" i="8"/>
  <c r="BY97" i="5"/>
  <c r="BX97" i="5"/>
  <c r="BX69" i="5"/>
  <c r="BY69" i="5"/>
  <c r="AH45" i="8"/>
  <c r="AG45" i="8"/>
  <c r="AJ9" i="5"/>
  <c r="AK9" i="5"/>
  <c r="F166" i="5"/>
  <c r="G166" i="5"/>
  <c r="F101" i="5"/>
  <c r="G101" i="5"/>
  <c r="F154" i="5"/>
  <c r="G154" i="5"/>
  <c r="F200" i="5"/>
  <c r="G200" i="5"/>
  <c r="BN96" i="5"/>
  <c r="BM96" i="5"/>
  <c r="BY76" i="5"/>
  <c r="BX76" i="5"/>
  <c r="X24" i="8"/>
  <c r="Y24" i="8"/>
  <c r="G8" i="8"/>
  <c r="F8" i="8"/>
  <c r="X187" i="8"/>
  <c r="Y187" i="8"/>
  <c r="BM171" i="5"/>
  <c r="BN171" i="5"/>
  <c r="BY135" i="5"/>
  <c r="BX135" i="5"/>
  <c r="AP115" i="8"/>
  <c r="AQ115" i="8"/>
  <c r="AP79" i="8"/>
  <c r="AQ79" i="8"/>
  <c r="BY55" i="5"/>
  <c r="BX55" i="5"/>
  <c r="BY43" i="5"/>
  <c r="BX43" i="5"/>
  <c r="AP31" i="8"/>
  <c r="AQ31" i="8"/>
  <c r="BN7" i="5"/>
  <c r="BM7" i="5"/>
  <c r="AQ190" i="8"/>
  <c r="AP190" i="8"/>
  <c r="G178" i="8"/>
  <c r="F178" i="8"/>
  <c r="BM162" i="5"/>
  <c r="BN162" i="5"/>
  <c r="X150" i="8"/>
  <c r="Y150" i="8"/>
  <c r="AP130" i="8"/>
  <c r="AQ130" i="8"/>
  <c r="AP122" i="8"/>
  <c r="AQ122" i="8"/>
  <c r="BM114" i="5"/>
  <c r="BN114" i="5"/>
  <c r="BM106" i="5"/>
  <c r="BN106" i="5"/>
  <c r="F102" i="8"/>
  <c r="G102" i="8"/>
  <c r="BM82" i="5"/>
  <c r="BN82" i="5"/>
  <c r="O62" i="8"/>
  <c r="P62" i="8"/>
  <c r="BM46" i="5"/>
  <c r="BN46" i="5"/>
  <c r="AJ173" i="5"/>
  <c r="AK173" i="5"/>
  <c r="O145" i="8"/>
  <c r="P145" i="8"/>
  <c r="X129" i="8"/>
  <c r="Y129" i="8"/>
  <c r="AG125" i="8"/>
  <c r="AH125" i="8"/>
  <c r="AG117" i="8"/>
  <c r="AH117" i="8"/>
  <c r="X184" i="8"/>
  <c r="Y184" i="8"/>
  <c r="AP168" i="8"/>
  <c r="AQ168" i="8"/>
  <c r="O156" i="8"/>
  <c r="P156" i="8"/>
  <c r="F136" i="8"/>
  <c r="G136" i="8"/>
  <c r="X87" i="8"/>
  <c r="Y87" i="8"/>
  <c r="O75" i="8"/>
  <c r="P75" i="8"/>
  <c r="BN59" i="5"/>
  <c r="BM59" i="5"/>
  <c r="AG47" i="8"/>
  <c r="AH47" i="8"/>
  <c r="X39" i="8"/>
  <c r="Y39" i="8"/>
  <c r="BM186" i="5"/>
  <c r="BN186" i="5"/>
  <c r="G174" i="8"/>
  <c r="F174" i="8"/>
  <c r="AG134" i="8"/>
  <c r="AH134" i="8"/>
  <c r="X94" i="8"/>
  <c r="Y94" i="8"/>
  <c r="BM26" i="5"/>
  <c r="BN26" i="5"/>
  <c r="AP10" i="8"/>
  <c r="AQ10" i="8"/>
  <c r="AP193" i="8"/>
  <c r="AQ193" i="8"/>
  <c r="O188" i="8"/>
  <c r="P188" i="8"/>
  <c r="BM172" i="5"/>
  <c r="BN172" i="5"/>
  <c r="F156" i="8"/>
  <c r="G156" i="8"/>
  <c r="BN116" i="5"/>
  <c r="BM116" i="5"/>
  <c r="AP150" i="8"/>
  <c r="AQ150" i="8"/>
  <c r="BM134" i="5"/>
  <c r="BN134" i="5"/>
  <c r="X77" i="8"/>
  <c r="Y77" i="8"/>
  <c r="G176" i="8"/>
  <c r="F176" i="8"/>
  <c r="O140" i="8"/>
  <c r="P140" i="8"/>
  <c r="X128" i="8"/>
  <c r="Y128" i="8"/>
  <c r="AH80" i="8"/>
  <c r="AG80" i="8"/>
  <c r="AP72" i="8"/>
  <c r="AQ72" i="8"/>
  <c r="O68" i="8"/>
  <c r="P68" i="8"/>
  <c r="BY171" i="5"/>
  <c r="BX171" i="5"/>
  <c r="BY139" i="5"/>
  <c r="BX139" i="5"/>
  <c r="G135" i="8"/>
  <c r="F135" i="8"/>
  <c r="O35" i="8"/>
  <c r="P35" i="8"/>
  <c r="AH27" i="8"/>
  <c r="AG27" i="8"/>
  <c r="G7" i="8"/>
  <c r="F7" i="8"/>
  <c r="AJ198" i="5"/>
  <c r="AK198" i="5"/>
  <c r="BX190" i="5"/>
  <c r="BY190" i="5"/>
  <c r="AP182" i="8"/>
  <c r="AQ182" i="8"/>
  <c r="AP174" i="8"/>
  <c r="AQ174" i="8"/>
  <c r="BM158" i="5"/>
  <c r="BN158" i="5"/>
  <c r="BY150" i="5"/>
  <c r="BX150" i="5"/>
  <c r="AP138" i="8"/>
  <c r="AQ138" i="8"/>
  <c r="BM130" i="5"/>
  <c r="BN130" i="5"/>
  <c r="BM122" i="5"/>
  <c r="BN122" i="5"/>
  <c r="AP70" i="8"/>
  <c r="AQ70" i="8"/>
  <c r="BM62" i="5"/>
  <c r="BN62" i="5"/>
  <c r="AG50" i="8"/>
  <c r="AH50" i="8"/>
  <c r="BY42" i="5"/>
  <c r="BX42" i="5"/>
  <c r="F137" i="8"/>
  <c r="G137" i="8"/>
  <c r="BN125" i="5"/>
  <c r="BM125" i="5"/>
  <c r="BY113" i="5"/>
  <c r="BX113" i="5"/>
  <c r="O93" i="8"/>
  <c r="P93" i="8"/>
  <c r="BY85" i="5"/>
  <c r="BX85" i="5"/>
  <c r="X61" i="8"/>
  <c r="Y61" i="8"/>
  <c r="F57" i="8"/>
  <c r="G57" i="8"/>
  <c r="AJ29" i="5"/>
  <c r="AK29" i="5"/>
  <c r="AJ17" i="5"/>
  <c r="AK17" i="5"/>
  <c r="AH13" i="8"/>
  <c r="AG13" i="8"/>
  <c r="F198" i="5"/>
  <c r="G198" i="5"/>
  <c r="F89" i="5"/>
  <c r="G89" i="5"/>
  <c r="AP100" i="8"/>
  <c r="AQ100" i="8"/>
  <c r="BY8" i="5"/>
  <c r="BX8" i="5"/>
  <c r="AH199" i="8"/>
  <c r="AG199" i="8"/>
  <c r="AP175" i="8"/>
  <c r="AQ175" i="8"/>
  <c r="X155" i="8"/>
  <c r="Y155" i="8"/>
  <c r="BN139" i="5"/>
  <c r="BM139" i="5"/>
  <c r="AP99" i="8"/>
  <c r="AQ99" i="8"/>
  <c r="BN95" i="5"/>
  <c r="BM95" i="5"/>
  <c r="BN63" i="5"/>
  <c r="BM63" i="5"/>
  <c r="AP47" i="8"/>
  <c r="AQ47" i="8"/>
  <c r="G35" i="8"/>
  <c r="F35" i="8"/>
  <c r="BN15" i="5"/>
  <c r="BM15" i="5"/>
  <c r="O194" i="8"/>
  <c r="P194" i="8"/>
  <c r="F182" i="8"/>
  <c r="G182" i="8"/>
  <c r="BM150" i="5"/>
  <c r="BN150" i="5"/>
  <c r="AP110" i="8"/>
  <c r="AQ110" i="8"/>
  <c r="BY50" i="5"/>
  <c r="BX50" i="5"/>
  <c r="AP38" i="8"/>
  <c r="AQ38" i="8"/>
  <c r="O30" i="8"/>
  <c r="P30" i="8"/>
  <c r="BM22" i="5"/>
  <c r="BN22" i="5"/>
  <c r="BY18" i="5"/>
  <c r="BX18" i="5"/>
  <c r="X14" i="8"/>
  <c r="Y14" i="8"/>
  <c r="G6" i="8"/>
  <c r="F6" i="8"/>
  <c r="O193" i="8"/>
  <c r="P193" i="8"/>
  <c r="AG177" i="8"/>
  <c r="AH177" i="8"/>
  <c r="BY145" i="5"/>
  <c r="BX145" i="5"/>
  <c r="AH172" i="8"/>
  <c r="AG172" i="8"/>
  <c r="AP160" i="8"/>
  <c r="AQ160" i="8"/>
  <c r="BY136" i="5"/>
  <c r="BX136" i="5"/>
  <c r="G191" i="8"/>
  <c r="F191" i="8"/>
  <c r="O91" i="8"/>
  <c r="P91" i="8"/>
  <c r="BN75" i="5"/>
  <c r="BM75" i="5"/>
  <c r="AG63" i="8"/>
  <c r="AH63" i="8"/>
  <c r="O43" i="8"/>
  <c r="P43" i="8"/>
  <c r="AH190" i="8"/>
  <c r="AG190" i="8"/>
  <c r="X178" i="8"/>
  <c r="Y178" i="8"/>
  <c r="BX154" i="5"/>
  <c r="BY154" i="5"/>
  <c r="X138" i="8"/>
  <c r="Y138" i="8"/>
  <c r="AP30" i="8"/>
  <c r="AQ30" i="8"/>
  <c r="BM10" i="5"/>
  <c r="BN10" i="5"/>
  <c r="AG197" i="8"/>
  <c r="AH197" i="8"/>
  <c r="BY181" i="5"/>
  <c r="BX181" i="5"/>
  <c r="BY176" i="5"/>
  <c r="BX176" i="5"/>
  <c r="AH160" i="8"/>
  <c r="AG160" i="8"/>
  <c r="O144" i="8"/>
  <c r="P144" i="8"/>
  <c r="AP120" i="8"/>
  <c r="AQ120" i="8"/>
  <c r="O44" i="8"/>
  <c r="P44" i="8"/>
  <c r="BY24" i="5"/>
  <c r="BX24" i="5"/>
  <c r="BY175" i="5"/>
  <c r="BX175" i="5"/>
  <c r="BY127" i="5"/>
  <c r="BX127" i="5"/>
  <c r="F123" i="8"/>
  <c r="G123" i="8"/>
  <c r="X99" i="8"/>
  <c r="Y99" i="8"/>
  <c r="O178" i="8"/>
  <c r="P178" i="8"/>
  <c r="G170" i="8"/>
  <c r="F170" i="8"/>
  <c r="F162" i="8"/>
  <c r="G162" i="8"/>
  <c r="AH154" i="8"/>
  <c r="AG154" i="8"/>
  <c r="BX142" i="5"/>
  <c r="BY142" i="5"/>
  <c r="X130" i="8"/>
  <c r="Y130" i="8"/>
  <c r="X122" i="8"/>
  <c r="Y122" i="8"/>
  <c r="AH114" i="8"/>
  <c r="AG114" i="8"/>
  <c r="BN105" i="5"/>
  <c r="BM105" i="5"/>
  <c r="X101" i="8"/>
  <c r="Y101" i="8"/>
  <c r="AH156" i="8"/>
  <c r="AG156" i="8"/>
  <c r="BM148" i="5"/>
  <c r="BN148" i="5"/>
  <c r="AG112" i="8"/>
  <c r="AH112" i="8"/>
  <c r="AJ104" i="5"/>
  <c r="AK104" i="5"/>
  <c r="O100" i="8"/>
  <c r="P100" i="8"/>
  <c r="X92" i="8"/>
  <c r="Y92" i="8"/>
  <c r="BY80" i="5"/>
  <c r="BX80" i="5"/>
  <c r="X60" i="8"/>
  <c r="Y60" i="8"/>
  <c r="AH52" i="8"/>
  <c r="AG52" i="8"/>
  <c r="AQ44" i="8"/>
  <c r="AP44" i="8"/>
  <c r="AG20" i="8"/>
  <c r="AH20" i="8"/>
  <c r="AP12" i="8"/>
  <c r="AQ12" i="8"/>
  <c r="O4" i="8"/>
  <c r="P4" i="8"/>
  <c r="AP199" i="8"/>
  <c r="AQ199" i="8"/>
  <c r="AP183" i="8"/>
  <c r="AQ183" i="8"/>
  <c r="AP151" i="8"/>
  <c r="AQ151" i="8"/>
  <c r="O19" i="8"/>
  <c r="P19" i="8"/>
  <c r="AG11" i="8"/>
  <c r="AH11" i="8"/>
  <c r="O170" i="8"/>
  <c r="P170" i="8"/>
  <c r="AP126" i="8"/>
  <c r="AQ126" i="8"/>
  <c r="BM110" i="5"/>
  <c r="BN110" i="5"/>
  <c r="BY34" i="5"/>
  <c r="BX34" i="5"/>
  <c r="X30" i="8"/>
  <c r="Y30" i="8"/>
  <c r="AH73" i="8"/>
  <c r="AG73" i="8"/>
  <c r="O65" i="8"/>
  <c r="P65" i="8"/>
  <c r="F49" i="8"/>
  <c r="G49" i="8"/>
  <c r="O21" i="8"/>
  <c r="P21" i="8"/>
  <c r="O5" i="8"/>
  <c r="P5" i="8"/>
  <c r="W200" i="8"/>
  <c r="V200" i="8"/>
  <c r="AI192" i="5"/>
  <c r="AH192" i="5"/>
  <c r="BL188" i="5"/>
  <c r="BK188" i="5"/>
  <c r="AE188" i="8"/>
  <c r="AF188" i="8"/>
  <c r="AF184" i="8"/>
  <c r="AE184" i="8"/>
  <c r="AF176" i="8"/>
  <c r="AE176" i="8"/>
  <c r="E172" i="8"/>
  <c r="D172" i="8"/>
  <c r="AI168" i="5"/>
  <c r="AH168" i="5"/>
  <c r="BL164" i="5"/>
  <c r="BK164" i="5"/>
  <c r="N164" i="8"/>
  <c r="M164" i="8"/>
  <c r="N160" i="8"/>
  <c r="M160" i="8"/>
  <c r="AI156" i="5"/>
  <c r="AH156" i="5"/>
  <c r="BW152" i="5"/>
  <c r="BV152" i="5"/>
  <c r="AF152" i="8"/>
  <c r="AE152" i="8"/>
  <c r="AF148" i="8"/>
  <c r="AE148" i="8"/>
  <c r="AO140" i="8"/>
  <c r="AN140" i="8"/>
  <c r="BL136" i="5"/>
  <c r="BK136" i="5"/>
  <c r="N136" i="8"/>
  <c r="M136" i="8"/>
  <c r="AI132" i="5"/>
  <c r="AH132" i="5"/>
  <c r="BW128" i="5"/>
  <c r="BV128" i="5"/>
  <c r="N124" i="8"/>
  <c r="M124" i="8"/>
  <c r="V116" i="8"/>
  <c r="W116" i="8"/>
  <c r="V112" i="8"/>
  <c r="W112" i="8"/>
  <c r="BL104" i="5"/>
  <c r="BK104" i="5"/>
  <c r="BL68" i="5"/>
  <c r="BK68" i="5"/>
  <c r="E68" i="8"/>
  <c r="D68" i="8"/>
  <c r="AO64" i="8"/>
  <c r="AN64" i="8"/>
  <c r="N60" i="8"/>
  <c r="M60" i="8"/>
  <c r="AI48" i="5"/>
  <c r="AH48" i="5"/>
  <c r="V48" i="8"/>
  <c r="W48" i="8"/>
  <c r="AF44" i="8"/>
  <c r="AE44" i="8"/>
  <c r="AO40" i="8"/>
  <c r="AN40" i="8"/>
  <c r="BL36" i="5"/>
  <c r="BK36" i="5"/>
  <c r="E36" i="8"/>
  <c r="D36" i="8"/>
  <c r="AO32" i="8"/>
  <c r="AN32" i="8"/>
  <c r="C195" i="8"/>
  <c r="D195" i="8"/>
  <c r="E195" i="8"/>
  <c r="C163" i="8"/>
  <c r="E163" i="8"/>
  <c r="D163" i="8"/>
  <c r="C131" i="8"/>
  <c r="E131" i="8"/>
  <c r="D131" i="8"/>
  <c r="F99" i="8"/>
  <c r="G99" i="8"/>
  <c r="AO95" i="8"/>
  <c r="AN95" i="8"/>
  <c r="BW91" i="5"/>
  <c r="BV91" i="5"/>
  <c r="BW87" i="5"/>
  <c r="BV87" i="5"/>
  <c r="AF87" i="8"/>
  <c r="AE87" i="8"/>
  <c r="D83" i="8"/>
  <c r="E83" i="8"/>
  <c r="W142" i="8"/>
  <c r="V142" i="8"/>
  <c r="AF138" i="8"/>
  <c r="AE138" i="8"/>
  <c r="AO134" i="8"/>
  <c r="AN134" i="8"/>
  <c r="AI130" i="5"/>
  <c r="AH130" i="5"/>
  <c r="AI126" i="5"/>
  <c r="AH126" i="5"/>
  <c r="BW118" i="5"/>
  <c r="BV118" i="5"/>
  <c r="N118" i="8"/>
  <c r="M118" i="8"/>
  <c r="BW110" i="5"/>
  <c r="BV110" i="5"/>
  <c r="AI106" i="5"/>
  <c r="AH106" i="5"/>
  <c r="AF102" i="8"/>
  <c r="AE102" i="8"/>
  <c r="AO98" i="8"/>
  <c r="AN98" i="8"/>
  <c r="AF94" i="8"/>
  <c r="AE94" i="8"/>
  <c r="AF90" i="8"/>
  <c r="AE90" i="8"/>
  <c r="AI86" i="5"/>
  <c r="AH86" i="5"/>
  <c r="AO82" i="8"/>
  <c r="AN82" i="8"/>
  <c r="AO78" i="8"/>
  <c r="AN78" i="8"/>
  <c r="BL74" i="5"/>
  <c r="BK74" i="5"/>
  <c r="W70" i="8"/>
  <c r="V70" i="8"/>
  <c r="F42" i="8"/>
  <c r="G42" i="8"/>
  <c r="W38" i="8"/>
  <c r="V38" i="8"/>
  <c r="BL34" i="5"/>
  <c r="BK34" i="5"/>
  <c r="V34" i="8"/>
  <c r="W34" i="8"/>
  <c r="BW26" i="5"/>
  <c r="BV26" i="5"/>
  <c r="AO26" i="8"/>
  <c r="AN26" i="8"/>
  <c r="AI22" i="5"/>
  <c r="AH22" i="5"/>
  <c r="BL18" i="5"/>
  <c r="BK18" i="5"/>
  <c r="AF18" i="8"/>
  <c r="AE18" i="8"/>
  <c r="AI14" i="5"/>
  <c r="AH14" i="5"/>
  <c r="BW10" i="5"/>
  <c r="BV10" i="5"/>
  <c r="V6" i="8"/>
  <c r="W6" i="8"/>
  <c r="AF201" i="8"/>
  <c r="AE201" i="8"/>
  <c r="AO197" i="8"/>
  <c r="AN197" i="8"/>
  <c r="BW189" i="5"/>
  <c r="BV189" i="5"/>
  <c r="E189" i="8"/>
  <c r="D189" i="8"/>
  <c r="L185" i="8"/>
  <c r="N185" i="8"/>
  <c r="W181" i="8"/>
  <c r="V181" i="8"/>
  <c r="L141" i="8"/>
  <c r="AI125" i="5"/>
  <c r="AH125" i="5"/>
  <c r="AI121" i="5"/>
  <c r="AH121" i="5"/>
  <c r="AO113" i="8"/>
  <c r="AN113" i="8"/>
  <c r="BL109" i="5"/>
  <c r="BK109" i="5"/>
  <c r="AF105" i="8"/>
  <c r="AE105" i="8"/>
  <c r="AO101" i="8"/>
  <c r="AN101" i="8"/>
  <c r="AO97" i="8"/>
  <c r="AN97" i="8"/>
  <c r="BL93" i="5"/>
  <c r="BK93" i="5"/>
  <c r="AO85" i="8"/>
  <c r="AN85" i="8"/>
  <c r="AF81" i="8"/>
  <c r="AE81" i="8"/>
  <c r="AO77" i="8"/>
  <c r="AN77" i="8"/>
  <c r="V73" i="8"/>
  <c r="W73" i="8"/>
  <c r="BC69" i="5"/>
  <c r="BB69" i="5"/>
  <c r="AO69" i="8"/>
  <c r="AN69" i="8"/>
  <c r="BW61" i="5"/>
  <c r="BV61" i="5"/>
  <c r="BW57" i="5"/>
  <c r="BV57" i="5"/>
  <c r="BW53" i="5"/>
  <c r="BV53" i="5"/>
  <c r="AO53" i="8"/>
  <c r="AN53" i="8"/>
  <c r="BW45" i="5"/>
  <c r="BV45" i="5"/>
  <c r="BW41" i="5"/>
  <c r="BV41" i="5"/>
  <c r="BW37" i="5"/>
  <c r="BV37" i="5"/>
  <c r="BW33" i="5"/>
  <c r="BV33" i="5"/>
  <c r="N33" i="8"/>
  <c r="M33" i="8"/>
  <c r="BC29" i="5"/>
  <c r="BB29" i="5"/>
  <c r="BW25" i="5"/>
  <c r="BV25" i="5"/>
  <c r="BW21" i="5"/>
  <c r="BV21" i="5"/>
  <c r="BW17" i="5"/>
  <c r="BV17" i="5"/>
  <c r="BW13" i="5"/>
  <c r="BV13" i="5"/>
  <c r="BW9" i="5"/>
  <c r="BV9" i="5"/>
  <c r="BW5" i="5"/>
  <c r="BV5" i="5"/>
  <c r="F132" i="8"/>
  <c r="G132" i="8"/>
  <c r="AO128" i="8"/>
  <c r="AN128" i="8"/>
  <c r="AO124" i="8"/>
  <c r="AN124" i="8"/>
  <c r="BL120" i="5"/>
  <c r="BK120" i="5"/>
  <c r="N120" i="8"/>
  <c r="M120" i="8"/>
  <c r="N116" i="8"/>
  <c r="M116" i="8"/>
  <c r="N112" i="8"/>
  <c r="M112" i="8"/>
  <c r="AI108" i="5"/>
  <c r="AH108" i="5"/>
  <c r="AO92" i="8"/>
  <c r="AN92" i="8"/>
  <c r="BL88" i="5"/>
  <c r="BK88" i="5"/>
  <c r="N88" i="8"/>
  <c r="M88" i="8"/>
  <c r="AO84" i="8"/>
  <c r="AN84" i="8"/>
  <c r="N80" i="8"/>
  <c r="M80" i="8"/>
  <c r="AI76" i="5"/>
  <c r="AH76" i="5"/>
  <c r="BL64" i="5"/>
  <c r="BK64" i="5"/>
  <c r="AI60" i="5"/>
  <c r="AH60" i="5"/>
  <c r="D60" i="8"/>
  <c r="E60" i="8"/>
  <c r="N56" i="8"/>
  <c r="M56" i="8"/>
  <c r="N48" i="8"/>
  <c r="M48" i="8"/>
  <c r="AF40" i="8"/>
  <c r="AE40" i="8"/>
  <c r="BW36" i="5"/>
  <c r="BV36" i="5"/>
  <c r="BL32" i="5"/>
  <c r="BK32" i="5"/>
  <c r="D28" i="8"/>
  <c r="E28" i="8"/>
  <c r="N24" i="8"/>
  <c r="M24" i="8"/>
  <c r="BL12" i="5"/>
  <c r="BK12" i="5"/>
  <c r="W12" i="8"/>
  <c r="V12" i="8"/>
  <c r="AF8" i="8"/>
  <c r="AE8" i="8"/>
  <c r="BL4" i="5"/>
  <c r="BK4" i="5"/>
  <c r="BW199" i="5"/>
  <c r="BV199" i="5"/>
  <c r="BW183" i="5"/>
  <c r="BV183" i="5"/>
  <c r="BL179" i="5"/>
  <c r="BK179" i="5"/>
  <c r="AF179" i="8"/>
  <c r="AE179" i="8"/>
  <c r="W167" i="8"/>
  <c r="V167" i="8"/>
  <c r="AI163" i="5"/>
  <c r="AH163" i="5"/>
  <c r="AF159" i="8"/>
  <c r="AE159" i="8"/>
  <c r="BL151" i="5"/>
  <c r="BK151" i="5"/>
  <c r="BW147" i="5"/>
  <c r="BV147" i="5"/>
  <c r="AF147" i="8"/>
  <c r="AE147" i="8"/>
  <c r="D143" i="8"/>
  <c r="E143" i="8"/>
  <c r="V135" i="8"/>
  <c r="W135" i="8"/>
  <c r="AI131" i="5"/>
  <c r="AH131" i="5"/>
  <c r="AE127" i="8"/>
  <c r="AF127" i="8"/>
  <c r="BL119" i="5"/>
  <c r="BK119" i="5"/>
  <c r="BL115" i="5"/>
  <c r="BK115" i="5"/>
  <c r="AF115" i="8"/>
  <c r="AE115" i="8"/>
  <c r="F111" i="8"/>
  <c r="G111" i="8"/>
  <c r="N107" i="8"/>
  <c r="M107" i="8"/>
  <c r="V103" i="8"/>
  <c r="W103" i="8"/>
  <c r="AI99" i="5"/>
  <c r="AH99" i="5"/>
  <c r="AF95" i="8"/>
  <c r="AE95" i="8"/>
  <c r="G31" i="8"/>
  <c r="F31" i="8"/>
  <c r="AO27" i="8"/>
  <c r="AN27" i="8"/>
  <c r="BW23" i="5"/>
  <c r="BV23" i="5"/>
  <c r="BW19" i="5"/>
  <c r="BV19" i="5"/>
  <c r="AF19" i="8"/>
  <c r="AE19" i="8"/>
  <c r="F15" i="8"/>
  <c r="G15" i="8"/>
  <c r="AO11" i="8"/>
  <c r="AN11" i="8"/>
  <c r="BW7" i="5"/>
  <c r="BV7" i="5"/>
  <c r="G130" i="8"/>
  <c r="F130" i="8"/>
  <c r="E126" i="8"/>
  <c r="D126" i="8"/>
  <c r="AO114" i="8"/>
  <c r="AN114" i="8"/>
  <c r="AF110" i="8"/>
  <c r="AE110" i="8"/>
  <c r="BW106" i="5"/>
  <c r="BV106" i="5"/>
  <c r="BL102" i="5"/>
  <c r="BK102" i="5"/>
  <c r="W102" i="8"/>
  <c r="V102" i="8"/>
  <c r="F94" i="8"/>
  <c r="G94" i="8"/>
  <c r="W90" i="8"/>
  <c r="V90" i="8"/>
  <c r="AF86" i="8"/>
  <c r="AE86" i="8"/>
  <c r="BW78" i="5"/>
  <c r="BV78" i="5"/>
  <c r="AI78" i="5"/>
  <c r="AH78" i="5"/>
  <c r="AO74" i="8"/>
  <c r="AN74" i="8"/>
  <c r="AF66" i="8"/>
  <c r="AE66" i="8"/>
  <c r="BW62" i="5"/>
  <c r="BV62" i="5"/>
  <c r="AO58" i="8"/>
  <c r="AN58" i="8"/>
  <c r="BL50" i="5"/>
  <c r="BK50" i="5"/>
  <c r="N50" i="8"/>
  <c r="M50" i="8"/>
  <c r="BL42" i="5"/>
  <c r="BK42" i="5"/>
  <c r="AO42" i="8"/>
  <c r="AN42" i="8"/>
  <c r="L181" i="8"/>
  <c r="C173" i="8"/>
  <c r="D173" i="8"/>
  <c r="E173" i="8"/>
  <c r="L169" i="8"/>
  <c r="N169" i="8"/>
  <c r="W165" i="8"/>
  <c r="V165" i="8"/>
  <c r="V161" i="8"/>
  <c r="W161" i="8"/>
  <c r="AF157" i="8"/>
  <c r="AE157" i="8"/>
  <c r="V153" i="8"/>
  <c r="W153" i="8"/>
  <c r="AF149" i="8"/>
  <c r="AE149" i="8"/>
  <c r="BL145" i="5"/>
  <c r="BK145" i="5"/>
  <c r="AI145" i="5"/>
  <c r="AH145" i="5"/>
  <c r="AO141" i="8"/>
  <c r="AN141" i="8"/>
  <c r="AF137" i="8"/>
  <c r="AE137" i="8"/>
  <c r="AO133" i="8"/>
  <c r="AN133" i="8"/>
  <c r="W125" i="8"/>
  <c r="V125" i="8"/>
  <c r="BL121" i="5"/>
  <c r="BK121" i="5"/>
  <c r="E121" i="8"/>
  <c r="D121" i="8"/>
  <c r="V117" i="8"/>
  <c r="W117" i="8"/>
  <c r="AF113" i="8"/>
  <c r="AE113" i="8"/>
  <c r="AI109" i="5"/>
  <c r="AH109" i="5"/>
  <c r="AI105" i="5"/>
  <c r="AH105" i="5"/>
  <c r="AF93" i="8"/>
  <c r="AE93" i="8"/>
  <c r="N89" i="8"/>
  <c r="M89" i="8"/>
  <c r="W85" i="8"/>
  <c r="V85" i="8"/>
  <c r="W81" i="8"/>
  <c r="V81" i="8"/>
  <c r="AF77" i="8"/>
  <c r="AE77" i="8"/>
  <c r="N73" i="8"/>
  <c r="M73" i="8"/>
  <c r="V69" i="8"/>
  <c r="W69" i="8"/>
  <c r="BL65" i="5"/>
  <c r="BK65" i="5"/>
  <c r="BL61" i="5"/>
  <c r="BK61" i="5"/>
  <c r="AO57" i="8"/>
  <c r="AN57" i="8"/>
  <c r="AI53" i="5"/>
  <c r="AH53" i="5"/>
  <c r="AF49" i="8"/>
  <c r="AE49" i="8"/>
  <c r="N45" i="8"/>
  <c r="M45" i="8"/>
  <c r="AE41" i="8"/>
  <c r="AF41" i="8"/>
  <c r="BC37" i="5"/>
  <c r="BB37" i="5"/>
  <c r="AO37" i="8"/>
  <c r="AN37" i="8"/>
  <c r="N29" i="8"/>
  <c r="M29" i="8"/>
  <c r="AF25" i="8"/>
  <c r="AE25" i="8"/>
  <c r="BC21" i="5"/>
  <c r="BB21" i="5"/>
  <c r="AO21" i="8"/>
  <c r="AN21" i="8"/>
  <c r="M13" i="8"/>
  <c r="N13" i="8"/>
  <c r="AO9" i="8"/>
  <c r="AN9" i="8"/>
  <c r="AO5" i="8"/>
  <c r="AN5" i="8"/>
  <c r="AO200" i="8"/>
  <c r="AN200" i="8"/>
  <c r="BL196" i="5"/>
  <c r="BK196" i="5"/>
  <c r="E196" i="8"/>
  <c r="D196" i="8"/>
  <c r="AO192" i="8"/>
  <c r="AN192" i="8"/>
  <c r="F112" i="8"/>
  <c r="G112" i="8"/>
  <c r="W104" i="8"/>
  <c r="V104" i="8"/>
  <c r="BW96" i="5"/>
  <c r="BV96" i="5"/>
  <c r="W96" i="8"/>
  <c r="V96" i="8"/>
  <c r="AI88" i="5"/>
  <c r="AH88" i="5"/>
  <c r="BL84" i="5"/>
  <c r="BK84" i="5"/>
  <c r="D84" i="8"/>
  <c r="E84" i="8"/>
  <c r="AO80" i="8"/>
  <c r="AN80" i="8"/>
  <c r="N76" i="8"/>
  <c r="M76" i="8"/>
  <c r="W72" i="8"/>
  <c r="V72" i="8"/>
  <c r="AI64" i="5"/>
  <c r="AH64" i="5"/>
  <c r="W64" i="8"/>
  <c r="V64" i="8"/>
  <c r="AF60" i="8"/>
  <c r="AE60" i="8"/>
  <c r="AO56" i="8"/>
  <c r="AN56" i="8"/>
  <c r="AI52" i="5"/>
  <c r="AH52" i="5"/>
  <c r="F24" i="8"/>
  <c r="G24" i="8"/>
  <c r="AP20" i="8"/>
  <c r="AQ20" i="8"/>
  <c r="BX16" i="5"/>
  <c r="BY16" i="5"/>
  <c r="G16" i="8"/>
  <c r="F16" i="8"/>
  <c r="X8" i="8"/>
  <c r="Y8" i="8"/>
  <c r="AP3" i="8"/>
  <c r="AQ3" i="8"/>
  <c r="O199" i="8"/>
  <c r="P199" i="8"/>
  <c r="X195" i="8"/>
  <c r="Y195" i="8"/>
  <c r="AP187" i="8"/>
  <c r="AQ187" i="8"/>
  <c r="F187" i="8"/>
  <c r="G187" i="8"/>
  <c r="W179" i="8"/>
  <c r="V179" i="8"/>
  <c r="AI175" i="5"/>
  <c r="AH175" i="5"/>
  <c r="AO171" i="8"/>
  <c r="AN171" i="8"/>
  <c r="BW163" i="5"/>
  <c r="BV163" i="5"/>
  <c r="BW159" i="5"/>
  <c r="BV159" i="5"/>
  <c r="W159" i="8"/>
  <c r="V159" i="8"/>
  <c r="O151" i="8"/>
  <c r="P151" i="8"/>
  <c r="X147" i="8"/>
  <c r="Y147" i="8"/>
  <c r="AP139" i="8"/>
  <c r="AQ139" i="8"/>
  <c r="N139" i="8"/>
  <c r="W131" i="8"/>
  <c r="V131" i="8"/>
  <c r="AI127" i="5"/>
  <c r="AH127" i="5"/>
  <c r="AO123" i="8"/>
  <c r="AN123" i="8"/>
  <c r="BY115" i="5"/>
  <c r="BX115" i="5"/>
  <c r="BY111" i="5"/>
  <c r="BX111" i="5"/>
  <c r="X111" i="8"/>
  <c r="Y111" i="8"/>
  <c r="BW99" i="5"/>
  <c r="BV99" i="5"/>
  <c r="BW95" i="5"/>
  <c r="BV95" i="5"/>
  <c r="V95" i="8"/>
  <c r="W95" i="8"/>
  <c r="O87" i="8"/>
  <c r="P87" i="8"/>
  <c r="X83" i="8"/>
  <c r="Y83" i="8"/>
  <c r="X79" i="8"/>
  <c r="Y79" i="8"/>
  <c r="G75" i="8"/>
  <c r="F75" i="8"/>
  <c r="O71" i="8"/>
  <c r="P71" i="8"/>
  <c r="X67" i="8"/>
  <c r="Y67" i="8"/>
  <c r="X63" i="8"/>
  <c r="Y63" i="8"/>
  <c r="F59" i="8"/>
  <c r="G59" i="8"/>
  <c r="O55" i="8"/>
  <c r="P55" i="8"/>
  <c r="X51" i="8"/>
  <c r="Y51" i="8"/>
  <c r="X47" i="8"/>
  <c r="Y47" i="8"/>
  <c r="G43" i="8"/>
  <c r="F43" i="8"/>
  <c r="O39" i="8"/>
  <c r="P39" i="8"/>
  <c r="X35" i="8"/>
  <c r="Y35" i="8"/>
  <c r="AP23" i="8"/>
  <c r="AQ23" i="8"/>
  <c r="BN19" i="5"/>
  <c r="BM19" i="5"/>
  <c r="BY15" i="5"/>
  <c r="BX15" i="5"/>
  <c r="X15" i="8"/>
  <c r="Y15" i="8"/>
  <c r="E11" i="8"/>
  <c r="D11" i="8"/>
  <c r="O7" i="8"/>
  <c r="P7" i="8"/>
  <c r="BY198" i="5"/>
  <c r="BX198" i="5"/>
  <c r="X198" i="8"/>
  <c r="Y198" i="8"/>
  <c r="W190" i="8"/>
  <c r="V190" i="8"/>
  <c r="AF186" i="8"/>
  <c r="AE186" i="8"/>
  <c r="BL182" i="5"/>
  <c r="BK182" i="5"/>
  <c r="N182" i="8"/>
  <c r="M182" i="8"/>
  <c r="BL174" i="5"/>
  <c r="BK174" i="5"/>
  <c r="W170" i="8"/>
  <c r="V170" i="8"/>
  <c r="AF166" i="8"/>
  <c r="AE166" i="8"/>
  <c r="AF162" i="8"/>
  <c r="AE162" i="8"/>
  <c r="BW158" i="5"/>
  <c r="BV158" i="5"/>
  <c r="E158" i="8"/>
  <c r="D158" i="8"/>
  <c r="BL146" i="5"/>
  <c r="BK146" i="5"/>
  <c r="M146" i="8"/>
  <c r="N146" i="8"/>
  <c r="AO142" i="8"/>
  <c r="AN142" i="8"/>
  <c r="BL138" i="5"/>
  <c r="BK138" i="5"/>
  <c r="N138" i="8"/>
  <c r="M138" i="8"/>
  <c r="BW130" i="5"/>
  <c r="BV130" i="5"/>
  <c r="BL126" i="5"/>
  <c r="BK126" i="5"/>
  <c r="BW122" i="5"/>
  <c r="BV122" i="5"/>
  <c r="D122" i="8"/>
  <c r="E122" i="8"/>
  <c r="E118" i="8"/>
  <c r="D118" i="8"/>
  <c r="D114" i="8"/>
  <c r="E114" i="8"/>
  <c r="BY98" i="5"/>
  <c r="BX98" i="5"/>
  <c r="BM94" i="5"/>
  <c r="BN94" i="5"/>
  <c r="O90" i="8"/>
  <c r="P90" i="8"/>
  <c r="BY86" i="5"/>
  <c r="BX86" i="5"/>
  <c r="G86" i="8"/>
  <c r="F86" i="8"/>
  <c r="G82" i="8"/>
  <c r="F82" i="8"/>
  <c r="F78" i="8"/>
  <c r="G78" i="8"/>
  <c r="X74" i="8"/>
  <c r="Y74" i="8"/>
  <c r="X66" i="8"/>
  <c r="Y66" i="8"/>
  <c r="G62" i="8"/>
  <c r="F62" i="8"/>
  <c r="AG54" i="8"/>
  <c r="AH54" i="8"/>
  <c r="BY46" i="5"/>
  <c r="BX46" i="5"/>
  <c r="AF30" i="8"/>
  <c r="AE30" i="8"/>
  <c r="O26" i="8"/>
  <c r="P26" i="8"/>
  <c r="BY22" i="5"/>
  <c r="BX22" i="5"/>
  <c r="AP22" i="8"/>
  <c r="AQ22" i="8"/>
  <c r="O18" i="8"/>
  <c r="P18" i="8"/>
  <c r="AP14" i="8"/>
  <c r="AQ14" i="8"/>
  <c r="X10" i="8"/>
  <c r="Y10" i="8"/>
  <c r="BM6" i="5"/>
  <c r="BN6" i="5"/>
  <c r="BM201" i="5"/>
  <c r="BN201" i="5"/>
  <c r="G201" i="8"/>
  <c r="F201" i="8"/>
  <c r="X197" i="8"/>
  <c r="Y197" i="8"/>
  <c r="AG193" i="8"/>
  <c r="AH193" i="8"/>
  <c r="BY177" i="5"/>
  <c r="BX177" i="5"/>
  <c r="O177" i="8"/>
  <c r="P177" i="8"/>
  <c r="O173" i="8"/>
  <c r="AQ169" i="8"/>
  <c r="AP169" i="8"/>
  <c r="BY161" i="5"/>
  <c r="BX161" i="5"/>
  <c r="O161" i="8"/>
  <c r="P161" i="8"/>
  <c r="F157" i="8"/>
  <c r="G157" i="8"/>
  <c r="BL153" i="5"/>
  <c r="BK153" i="5"/>
  <c r="D153" i="8"/>
  <c r="E153" i="8"/>
  <c r="X149" i="8"/>
  <c r="Y149" i="8"/>
  <c r="AG145" i="8"/>
  <c r="AH145" i="8"/>
  <c r="X137" i="8"/>
  <c r="Y137" i="8"/>
  <c r="AH133" i="8"/>
  <c r="AG133" i="8"/>
  <c r="BM129" i="5"/>
  <c r="BN129" i="5"/>
  <c r="O125" i="8"/>
  <c r="P125" i="8"/>
  <c r="AP121" i="8"/>
  <c r="AQ121" i="8"/>
  <c r="X113" i="8"/>
  <c r="Y113" i="8"/>
  <c r="X109" i="8"/>
  <c r="Y109" i="8"/>
  <c r="BL101" i="5"/>
  <c r="BK101" i="5"/>
  <c r="F97" i="8"/>
  <c r="G97" i="8"/>
  <c r="F93" i="8"/>
  <c r="G93" i="8"/>
  <c r="F89" i="8"/>
  <c r="G89" i="8"/>
  <c r="O85" i="8"/>
  <c r="P85" i="8"/>
  <c r="O81" i="8"/>
  <c r="E77" i="8"/>
  <c r="D77" i="8"/>
  <c r="G73" i="8"/>
  <c r="F73" i="8"/>
  <c r="O69" i="8"/>
  <c r="P69" i="8"/>
  <c r="X65" i="8"/>
  <c r="Y65" i="8"/>
  <c r="AG61" i="8"/>
  <c r="AH61" i="8"/>
  <c r="O57" i="8"/>
  <c r="P57" i="8"/>
  <c r="O53" i="8"/>
  <c r="P53" i="8"/>
  <c r="X49" i="8"/>
  <c r="Y49" i="8"/>
  <c r="AP45" i="8"/>
  <c r="AQ45" i="8"/>
  <c r="X41" i="8"/>
  <c r="Y41" i="8"/>
  <c r="X37" i="8"/>
  <c r="Y37" i="8"/>
  <c r="AH33" i="8"/>
  <c r="AG33" i="8"/>
  <c r="AP29" i="8"/>
  <c r="AQ29" i="8"/>
  <c r="X25" i="8"/>
  <c r="Y25" i="8"/>
  <c r="X21" i="8"/>
  <c r="Y21" i="8"/>
  <c r="AH17" i="8"/>
  <c r="AG17" i="8"/>
  <c r="AP13" i="8"/>
  <c r="AQ13" i="8"/>
  <c r="X9" i="8"/>
  <c r="Y9" i="8"/>
  <c r="X5" i="8"/>
  <c r="Y5" i="8"/>
  <c r="BY196" i="5"/>
  <c r="BX196" i="5"/>
  <c r="AH196" i="8"/>
  <c r="AG196" i="8"/>
  <c r="AH192" i="8"/>
  <c r="AG192" i="8"/>
  <c r="AQ188" i="8"/>
  <c r="AP188" i="8"/>
  <c r="BY184" i="5"/>
  <c r="BX184" i="5"/>
  <c r="F184" i="8"/>
  <c r="G184" i="8"/>
  <c r="AP180" i="8"/>
  <c r="AQ180" i="8"/>
  <c r="F180" i="8"/>
  <c r="G180" i="8"/>
  <c r="AO176" i="8"/>
  <c r="AN176" i="8"/>
  <c r="N172" i="8"/>
  <c r="M172" i="8"/>
  <c r="W164" i="8"/>
  <c r="V164" i="8"/>
  <c r="W160" i="8"/>
  <c r="V160" i="8"/>
  <c r="BL152" i="5"/>
  <c r="BK152" i="5"/>
  <c r="E152" i="8"/>
  <c r="D152" i="8"/>
  <c r="AO148" i="8"/>
  <c r="AN148" i="8"/>
  <c r="BL144" i="5"/>
  <c r="BK144" i="5"/>
  <c r="D144" i="8"/>
  <c r="E144" i="8"/>
  <c r="V136" i="8"/>
  <c r="W136" i="8"/>
  <c r="AI128" i="5"/>
  <c r="AH128" i="5"/>
  <c r="BL124" i="5"/>
  <c r="BK124" i="5"/>
  <c r="W124" i="8"/>
  <c r="V124" i="8"/>
  <c r="AF120" i="8"/>
  <c r="AE120" i="8"/>
  <c r="AO108" i="8"/>
  <c r="AN108" i="8"/>
  <c r="BW104" i="5"/>
  <c r="BV104" i="5"/>
  <c r="N104" i="8"/>
  <c r="M104" i="8"/>
  <c r="AI100" i="5"/>
  <c r="AH100" i="5"/>
  <c r="N96" i="8"/>
  <c r="M96" i="8"/>
  <c r="AI92" i="5"/>
  <c r="AH92" i="5"/>
  <c r="BW88" i="5"/>
  <c r="BV88" i="5"/>
  <c r="AF88" i="8"/>
  <c r="AE88" i="8"/>
  <c r="AF84" i="8"/>
  <c r="AE84" i="8"/>
  <c r="AO76" i="8"/>
  <c r="AN76" i="8"/>
  <c r="BW72" i="5"/>
  <c r="BV72" i="5"/>
  <c r="N72" i="8"/>
  <c r="M72" i="8"/>
  <c r="AO68" i="8"/>
  <c r="AN68" i="8"/>
  <c r="N64" i="8"/>
  <c r="M64" i="8"/>
  <c r="AF56" i="8"/>
  <c r="AE56" i="8"/>
  <c r="BL52" i="5"/>
  <c r="BK52" i="5"/>
  <c r="BL48" i="5"/>
  <c r="BK48" i="5"/>
  <c r="AI44" i="5"/>
  <c r="AH44" i="5"/>
  <c r="E44" i="8"/>
  <c r="D44" i="8"/>
  <c r="N40" i="8"/>
  <c r="M40" i="8"/>
  <c r="N36" i="8"/>
  <c r="M36" i="8"/>
  <c r="N32" i="8"/>
  <c r="M32" i="8"/>
  <c r="W28" i="8"/>
  <c r="V28" i="8"/>
  <c r="AF24" i="8"/>
  <c r="AE24" i="8"/>
  <c r="BL20" i="5"/>
  <c r="BK20" i="5"/>
  <c r="BL16" i="5"/>
  <c r="BK16" i="5"/>
  <c r="AI12" i="5"/>
  <c r="AH12" i="5"/>
  <c r="E12" i="8"/>
  <c r="D12" i="8"/>
  <c r="N8" i="8"/>
  <c r="M8" i="8"/>
  <c r="BW3" i="5"/>
  <c r="BV3" i="5"/>
  <c r="AF3" i="8"/>
  <c r="AE3" i="8"/>
  <c r="D199" i="8"/>
  <c r="E199" i="8"/>
  <c r="BL191" i="5"/>
  <c r="BK191" i="5"/>
  <c r="BW187" i="5"/>
  <c r="BV187" i="5"/>
  <c r="AF187" i="8"/>
  <c r="AE187" i="8"/>
  <c r="N183" i="8"/>
  <c r="AI171" i="5"/>
  <c r="AH171" i="5"/>
  <c r="AO167" i="8"/>
  <c r="AN167" i="8"/>
  <c r="BL159" i="5"/>
  <c r="BK159" i="5"/>
  <c r="BW155" i="5"/>
  <c r="BV155" i="5"/>
  <c r="AF155" i="8"/>
  <c r="AE155" i="8"/>
  <c r="E151" i="8"/>
  <c r="D151" i="8"/>
  <c r="M147" i="8"/>
  <c r="N147" i="8"/>
  <c r="N143" i="8"/>
  <c r="M143" i="8"/>
  <c r="AI139" i="5"/>
  <c r="AH139" i="5"/>
  <c r="AO135" i="8"/>
  <c r="AN135" i="8"/>
  <c r="BN127" i="5"/>
  <c r="BM127" i="5"/>
  <c r="BY123" i="5"/>
  <c r="BX123" i="5"/>
  <c r="AG123" i="8"/>
  <c r="AH123" i="8"/>
  <c r="F119" i="8"/>
  <c r="G119" i="8"/>
  <c r="O115" i="8"/>
  <c r="P115" i="8"/>
  <c r="O111" i="8"/>
  <c r="P111" i="8"/>
  <c r="AP103" i="8"/>
  <c r="AQ103" i="8"/>
  <c r="O95" i="8"/>
  <c r="P95" i="8"/>
  <c r="AH91" i="8"/>
  <c r="AG91" i="8"/>
  <c r="F87" i="8"/>
  <c r="G87" i="8"/>
  <c r="O79" i="8"/>
  <c r="P79" i="8"/>
  <c r="AP67" i="8"/>
  <c r="AQ67" i="8"/>
  <c r="BY63" i="5"/>
  <c r="BX63" i="5"/>
  <c r="BY59" i="5"/>
  <c r="BX59" i="5"/>
  <c r="AG59" i="8"/>
  <c r="AH59" i="8"/>
  <c r="F55" i="8"/>
  <c r="G55" i="8"/>
  <c r="O51" i="8"/>
  <c r="P51" i="8"/>
  <c r="O47" i="8"/>
  <c r="P47" i="8"/>
  <c r="AG43" i="8"/>
  <c r="AH43" i="8"/>
  <c r="F39" i="8"/>
  <c r="G39" i="8"/>
  <c r="AO35" i="8"/>
  <c r="AN35" i="8"/>
  <c r="N31" i="8"/>
  <c r="M31" i="8"/>
  <c r="AI27" i="5"/>
  <c r="AH27" i="5"/>
  <c r="AO19" i="8"/>
  <c r="AN19" i="8"/>
  <c r="M15" i="8"/>
  <c r="N15" i="8"/>
  <c r="AI11" i="5"/>
  <c r="AH11" i="5"/>
  <c r="BL202" i="5"/>
  <c r="BK202" i="5"/>
  <c r="BL198" i="5"/>
  <c r="BK198" i="5"/>
  <c r="M198" i="8"/>
  <c r="N198" i="8"/>
  <c r="W194" i="8"/>
  <c r="V194" i="8"/>
  <c r="N190" i="8"/>
  <c r="M190" i="8"/>
  <c r="E186" i="8"/>
  <c r="D186" i="8"/>
  <c r="AO178" i="8"/>
  <c r="AN178" i="8"/>
  <c r="BW174" i="5"/>
  <c r="BV174" i="5"/>
  <c r="AI170" i="5"/>
  <c r="AH170" i="5"/>
  <c r="BL166" i="5"/>
  <c r="BK166" i="5"/>
  <c r="W166" i="8"/>
  <c r="V166" i="8"/>
  <c r="W162" i="8"/>
  <c r="V162" i="8"/>
  <c r="N158" i="8"/>
  <c r="M158" i="8"/>
  <c r="E154" i="8"/>
  <c r="D154" i="8"/>
  <c r="AF150" i="8"/>
  <c r="AE150" i="8"/>
  <c r="AO146" i="8"/>
  <c r="AN146" i="8"/>
  <c r="AF142" i="8"/>
  <c r="AE142" i="8"/>
  <c r="BW138" i="5"/>
  <c r="BV138" i="5"/>
  <c r="BW134" i="5"/>
  <c r="BV134" i="5"/>
  <c r="N134" i="8"/>
  <c r="M134" i="8"/>
  <c r="BW126" i="5"/>
  <c r="BV126" i="5"/>
  <c r="AI122" i="5"/>
  <c r="AH122" i="5"/>
  <c r="BL118" i="5"/>
  <c r="BK118" i="5"/>
  <c r="V118" i="8"/>
  <c r="W118" i="8"/>
  <c r="W114" i="8"/>
  <c r="V114" i="8"/>
  <c r="N110" i="8"/>
  <c r="M110" i="8"/>
  <c r="BM98" i="5"/>
  <c r="BN98" i="5"/>
  <c r="O98" i="8"/>
  <c r="P98" i="8"/>
  <c r="BY82" i="5"/>
  <c r="BX82" i="5"/>
  <c r="BM78" i="5"/>
  <c r="BN78" i="5"/>
  <c r="O74" i="8"/>
  <c r="P74" i="8"/>
  <c r="F74" i="8"/>
  <c r="G74" i="8"/>
  <c r="AF70" i="8"/>
  <c r="AE70" i="8"/>
  <c r="BL66" i="5"/>
  <c r="BK66" i="5"/>
  <c r="N66" i="8"/>
  <c r="M66" i="8"/>
  <c r="AI62" i="5"/>
  <c r="AH62" i="5"/>
  <c r="BW58" i="5"/>
  <c r="BV58" i="5"/>
  <c r="D58" i="8"/>
  <c r="E58" i="8"/>
  <c r="D54" i="8"/>
  <c r="E54" i="8"/>
  <c r="D50" i="8"/>
  <c r="E50" i="8"/>
  <c r="E46" i="8"/>
  <c r="D46" i="8"/>
  <c r="N42" i="8"/>
  <c r="M42" i="8"/>
  <c r="AF38" i="8"/>
  <c r="AE38" i="8"/>
  <c r="AF34" i="8"/>
  <c r="AE34" i="8"/>
  <c r="AI30" i="5"/>
  <c r="AH30" i="5"/>
  <c r="X22" i="8"/>
  <c r="Y22" i="8"/>
  <c r="G18" i="8"/>
  <c r="F18" i="8"/>
  <c r="F14" i="8"/>
  <c r="G14" i="8"/>
  <c r="O10" i="8"/>
  <c r="P10" i="8"/>
  <c r="AH6" i="8"/>
  <c r="AG6" i="8"/>
  <c r="BY201" i="5"/>
  <c r="BX201" i="5"/>
  <c r="BY197" i="5"/>
  <c r="BX197" i="5"/>
  <c r="O197" i="8"/>
  <c r="P197" i="8"/>
  <c r="X193" i="8"/>
  <c r="Y193" i="8"/>
  <c r="AH189" i="8"/>
  <c r="AG189" i="8"/>
  <c r="X185" i="8"/>
  <c r="Y185" i="8"/>
  <c r="AG181" i="8"/>
  <c r="AH181" i="8"/>
  <c r="BM177" i="5"/>
  <c r="BN177" i="5"/>
  <c r="AP173" i="8"/>
  <c r="AQ173" i="8"/>
  <c r="AH169" i="8"/>
  <c r="AG169" i="8"/>
  <c r="AP165" i="8"/>
  <c r="AQ165" i="8"/>
  <c r="AP161" i="8"/>
  <c r="AQ161" i="8"/>
  <c r="BY157" i="5"/>
  <c r="BX157" i="5"/>
  <c r="BY153" i="5"/>
  <c r="BX153" i="5"/>
  <c r="BY149" i="5"/>
  <c r="BX149" i="5"/>
  <c r="O149" i="8"/>
  <c r="P149" i="8"/>
  <c r="X145" i="8"/>
  <c r="Y145" i="8"/>
  <c r="X141" i="8"/>
  <c r="Y141" i="8"/>
  <c r="N141" i="8"/>
  <c r="BM133" i="5"/>
  <c r="BN133" i="5"/>
  <c r="F133" i="8"/>
  <c r="G133" i="8"/>
  <c r="AF129" i="8"/>
  <c r="AE129" i="8"/>
  <c r="AO125" i="8"/>
  <c r="AN125" i="8"/>
  <c r="AF121" i="8"/>
  <c r="AE121" i="8"/>
  <c r="AO117" i="8"/>
  <c r="AN117" i="8"/>
  <c r="BW109" i="5"/>
  <c r="BV109" i="5"/>
  <c r="BW105" i="5"/>
  <c r="BV105" i="5"/>
  <c r="BW101" i="5"/>
  <c r="BV101" i="5"/>
  <c r="N101" i="8"/>
  <c r="M101" i="8"/>
  <c r="BW93" i="5"/>
  <c r="BV93" i="5"/>
  <c r="BW89" i="5"/>
  <c r="BV89" i="5"/>
  <c r="AO89" i="8"/>
  <c r="AN89" i="8"/>
  <c r="AI85" i="5"/>
  <c r="AH85" i="5"/>
  <c r="BW77" i="5"/>
  <c r="BV77" i="5"/>
  <c r="BW73" i="5"/>
  <c r="BV73" i="5"/>
  <c r="AO73" i="8"/>
  <c r="AN73" i="8"/>
  <c r="AI69" i="5"/>
  <c r="AH69" i="5"/>
  <c r="F65" i="8"/>
  <c r="G65" i="8"/>
  <c r="D61" i="8"/>
  <c r="E61" i="8"/>
  <c r="AI57" i="5"/>
  <c r="AH57" i="5"/>
  <c r="BL53" i="5"/>
  <c r="BK53" i="5"/>
  <c r="M49" i="8"/>
  <c r="N49" i="8"/>
  <c r="AI45" i="5"/>
  <c r="AH45" i="5"/>
  <c r="E45" i="8"/>
  <c r="D45" i="8"/>
  <c r="N41" i="8"/>
  <c r="M41" i="8"/>
  <c r="AI33" i="5"/>
  <c r="AH33" i="5"/>
  <c r="D33" i="8"/>
  <c r="E33" i="8"/>
  <c r="AF29" i="8"/>
  <c r="AE29" i="8"/>
  <c r="AI21" i="5"/>
  <c r="AH21" i="5"/>
  <c r="F21" i="8"/>
  <c r="G21" i="8"/>
  <c r="W17" i="8"/>
  <c r="V17" i="8"/>
  <c r="AI13" i="5"/>
  <c r="AH13" i="5"/>
  <c r="E13" i="8"/>
  <c r="D13" i="8"/>
  <c r="M9" i="8"/>
  <c r="N9" i="8"/>
  <c r="AI5" i="5"/>
  <c r="AH5" i="5"/>
  <c r="X196" i="8"/>
  <c r="Y196" i="8"/>
  <c r="X192" i="8"/>
  <c r="Y192" i="8"/>
  <c r="BY180" i="5"/>
  <c r="BX180" i="5"/>
  <c r="AG180" i="8"/>
  <c r="AH180" i="8"/>
  <c r="AP172" i="8"/>
  <c r="AQ172" i="8"/>
  <c r="BY168" i="5"/>
  <c r="BX168" i="5"/>
  <c r="O168" i="8"/>
  <c r="P168" i="8"/>
  <c r="BY160" i="5"/>
  <c r="BX160" i="5"/>
  <c r="BM156" i="5"/>
  <c r="BN156" i="5"/>
  <c r="X156" i="8"/>
  <c r="Y156" i="8"/>
  <c r="BY144" i="5"/>
  <c r="BX144" i="5"/>
  <c r="AG144" i="8"/>
  <c r="AH144" i="8"/>
  <c r="F140" i="8"/>
  <c r="G140" i="8"/>
  <c r="BY132" i="5"/>
  <c r="BX132" i="5"/>
  <c r="O132" i="8"/>
  <c r="P132" i="8"/>
  <c r="O128" i="8"/>
  <c r="P128" i="8"/>
  <c r="X120" i="8"/>
  <c r="Y120" i="8"/>
  <c r="BY108" i="5"/>
  <c r="BX108" i="5"/>
  <c r="AG108" i="8"/>
  <c r="AH108" i="8"/>
  <c r="AP104" i="8"/>
  <c r="AQ104" i="8"/>
  <c r="F104" i="8"/>
  <c r="G104" i="8"/>
  <c r="AO100" i="8"/>
  <c r="AN100" i="8"/>
  <c r="BL96" i="5"/>
  <c r="BK96" i="5"/>
  <c r="E96" i="8"/>
  <c r="D96" i="8"/>
  <c r="W88" i="8"/>
  <c r="V88" i="8"/>
  <c r="AI80" i="5"/>
  <c r="AH80" i="5"/>
  <c r="BW76" i="5"/>
  <c r="BV76" i="5"/>
  <c r="AE76" i="8"/>
  <c r="AF76" i="8"/>
  <c r="BX64" i="5"/>
  <c r="BY64" i="5"/>
  <c r="D64" i="8"/>
  <c r="E64" i="8"/>
  <c r="X56" i="8"/>
  <c r="Y56" i="8"/>
  <c r="X52" i="8"/>
  <c r="Y52" i="8"/>
  <c r="BY44" i="5"/>
  <c r="BX44" i="5"/>
  <c r="BN40" i="5"/>
  <c r="BM40" i="5"/>
  <c r="G40" i="8"/>
  <c r="F40" i="8"/>
  <c r="AP36" i="8"/>
  <c r="AQ36" i="8"/>
  <c r="AI28" i="5"/>
  <c r="AH28" i="5"/>
  <c r="AI24" i="5"/>
  <c r="AH24" i="5"/>
  <c r="V24" i="8"/>
  <c r="W24" i="8"/>
  <c r="AI16" i="5"/>
  <c r="AH16" i="5"/>
  <c r="V16" i="8"/>
  <c r="W16" i="8"/>
  <c r="BW8" i="5"/>
  <c r="BV8" i="5"/>
  <c r="E8" i="8"/>
  <c r="D8" i="8"/>
  <c r="AO4" i="8"/>
  <c r="AN4" i="8"/>
  <c r="BM3" i="5"/>
  <c r="BN3" i="5"/>
  <c r="BL199" i="5"/>
  <c r="BK199" i="5"/>
  <c r="AE199" i="8"/>
  <c r="AF199" i="8"/>
  <c r="W187" i="8"/>
  <c r="V187" i="8"/>
  <c r="AI183" i="5"/>
  <c r="AH183" i="5"/>
  <c r="AO179" i="8"/>
  <c r="AN179" i="8"/>
  <c r="AO175" i="8"/>
  <c r="AN175" i="8"/>
  <c r="BL171" i="5"/>
  <c r="BK171" i="5"/>
  <c r="BW167" i="5"/>
  <c r="BV167" i="5"/>
  <c r="AF167" i="8"/>
  <c r="AE167" i="8"/>
  <c r="W155" i="8"/>
  <c r="V155" i="8"/>
  <c r="AI151" i="5"/>
  <c r="AH151" i="5"/>
  <c r="AO147" i="8"/>
  <c r="AN147" i="8"/>
  <c r="AO143" i="8"/>
  <c r="AN143" i="8"/>
  <c r="BL139" i="5"/>
  <c r="BK139" i="5"/>
  <c r="BW135" i="5"/>
  <c r="BV135" i="5"/>
  <c r="AF135" i="8"/>
  <c r="AE135" i="8"/>
  <c r="W123" i="8"/>
  <c r="V123" i="8"/>
  <c r="AI119" i="5"/>
  <c r="AH119" i="5"/>
  <c r="AO115" i="8"/>
  <c r="AN115" i="8"/>
  <c r="W107" i="8"/>
  <c r="V107" i="8"/>
  <c r="AI103" i="5"/>
  <c r="AH103" i="5"/>
  <c r="AO99" i="8"/>
  <c r="AN99" i="8"/>
  <c r="AO79" i="8"/>
  <c r="AN79" i="8"/>
  <c r="W75" i="8"/>
  <c r="V75" i="8"/>
  <c r="AI71" i="5"/>
  <c r="AH71" i="5"/>
  <c r="BL63" i="5"/>
  <c r="BK63" i="5"/>
  <c r="BW55" i="5"/>
  <c r="BV55" i="5"/>
  <c r="AE55" i="8"/>
  <c r="AF55" i="8"/>
  <c r="D51" i="8"/>
  <c r="E51" i="8"/>
  <c r="AO47" i="8"/>
  <c r="AN47" i="8"/>
  <c r="BW43" i="5"/>
  <c r="BV43" i="5"/>
  <c r="BW39" i="5"/>
  <c r="BV39" i="5"/>
  <c r="AF39" i="8"/>
  <c r="AE39" i="8"/>
  <c r="E35" i="8"/>
  <c r="D35" i="8"/>
  <c r="AO31" i="8"/>
  <c r="AN31" i="8"/>
  <c r="V27" i="8"/>
  <c r="W27" i="8"/>
  <c r="AI23" i="5"/>
  <c r="AH23" i="5"/>
  <c r="BL15" i="5"/>
  <c r="BK15" i="5"/>
  <c r="BL7" i="5"/>
  <c r="BK7" i="5"/>
  <c r="AF7" i="8"/>
  <c r="AE7" i="8"/>
  <c r="BL194" i="5"/>
  <c r="BK194" i="5"/>
  <c r="N194" i="8"/>
  <c r="M194" i="8"/>
  <c r="AO190" i="8"/>
  <c r="AN190" i="8"/>
  <c r="BW186" i="5"/>
  <c r="BV186" i="5"/>
  <c r="N186" i="8"/>
  <c r="M186" i="8"/>
  <c r="D182" i="8"/>
  <c r="E182" i="8"/>
  <c r="E178" i="8"/>
  <c r="D178" i="8"/>
  <c r="AI174" i="5"/>
  <c r="AH174" i="5"/>
  <c r="AO170" i="8"/>
  <c r="AN170" i="8"/>
  <c r="AI166" i="5"/>
  <c r="AH166" i="5"/>
  <c r="BL162" i="5"/>
  <c r="BK162" i="5"/>
  <c r="N162" i="8"/>
  <c r="M162" i="8"/>
  <c r="AI154" i="5"/>
  <c r="AH154" i="5"/>
  <c r="BL150" i="5"/>
  <c r="BK150" i="5"/>
  <c r="W150" i="8"/>
  <c r="V150" i="8"/>
  <c r="N62" i="8"/>
  <c r="M62" i="8"/>
  <c r="AF58" i="8"/>
  <c r="AE58" i="8"/>
  <c r="AI54" i="5"/>
  <c r="AH54" i="5"/>
  <c r="BW50" i="5"/>
  <c r="BV50" i="5"/>
  <c r="BL46" i="5"/>
  <c r="BK46" i="5"/>
  <c r="W46" i="8"/>
  <c r="V46" i="8"/>
  <c r="X189" i="8"/>
  <c r="Y189" i="8"/>
  <c r="BM181" i="5"/>
  <c r="BN181" i="5"/>
  <c r="G181" i="8"/>
  <c r="F181" i="8"/>
  <c r="AF177" i="8"/>
  <c r="AE177" i="8"/>
  <c r="AI173" i="5"/>
  <c r="AH173" i="5"/>
  <c r="AI169" i="5"/>
  <c r="AH169" i="5"/>
  <c r="BL157" i="5"/>
  <c r="BK157" i="5"/>
  <c r="BW145" i="5"/>
  <c r="BV145" i="5"/>
  <c r="N145" i="8"/>
  <c r="M145" i="8"/>
  <c r="AO137" i="8"/>
  <c r="AN137" i="8"/>
  <c r="AI133" i="5"/>
  <c r="AH133" i="5"/>
  <c r="W129" i="8"/>
  <c r="V129" i="8"/>
  <c r="AQ109" i="8"/>
  <c r="AP109" i="8"/>
  <c r="BD105" i="5"/>
  <c r="BE105" i="5"/>
  <c r="BN97" i="5"/>
  <c r="BM97" i="5"/>
  <c r="AP93" i="8"/>
  <c r="AQ93" i="8"/>
  <c r="X89" i="8"/>
  <c r="Y89" i="8"/>
  <c r="AH85" i="8"/>
  <c r="AG85" i="8"/>
  <c r="BN81" i="5"/>
  <c r="BM81" i="5"/>
  <c r="BN77" i="5"/>
  <c r="BM77" i="5"/>
  <c r="AG69" i="8"/>
  <c r="AH69" i="8"/>
  <c r="BY65" i="5"/>
  <c r="BX65" i="5"/>
  <c r="O61" i="8"/>
  <c r="P61" i="8"/>
  <c r="AG57" i="8"/>
  <c r="AH57" i="8"/>
  <c r="AG53" i="8"/>
  <c r="AH53" i="8"/>
  <c r="BY49" i="5"/>
  <c r="BX49" i="5"/>
  <c r="X45" i="8"/>
  <c r="Y45" i="8"/>
  <c r="BN41" i="5"/>
  <c r="BM41" i="5"/>
  <c r="BN37" i="5"/>
  <c r="BM37" i="5"/>
  <c r="BD33" i="5"/>
  <c r="BE33" i="5"/>
  <c r="BY29" i="5"/>
  <c r="BX29" i="5"/>
  <c r="X29" i="8"/>
  <c r="Y29" i="8"/>
  <c r="BN25" i="5"/>
  <c r="BM25" i="5"/>
  <c r="BN21" i="5"/>
  <c r="BM21" i="5"/>
  <c r="O17" i="8"/>
  <c r="P17" i="8"/>
  <c r="X13" i="8"/>
  <c r="Y13" i="8"/>
  <c r="BN9" i="5"/>
  <c r="BM9" i="5"/>
  <c r="BN5" i="5"/>
  <c r="BM5" i="5"/>
  <c r="AI200" i="5"/>
  <c r="AH200" i="5"/>
  <c r="AI196" i="5"/>
  <c r="AH196" i="5"/>
  <c r="BW192" i="5"/>
  <c r="BV192" i="5"/>
  <c r="AI188" i="5"/>
  <c r="AH188" i="5"/>
  <c r="W184" i="8"/>
  <c r="V184" i="8"/>
  <c r="AI176" i="5"/>
  <c r="AH176" i="5"/>
  <c r="BW172" i="5"/>
  <c r="BV172" i="5"/>
  <c r="AF172" i="8"/>
  <c r="AE172" i="8"/>
  <c r="AO168" i="8"/>
  <c r="AN168" i="8"/>
  <c r="BW164" i="5"/>
  <c r="BV164" i="5"/>
  <c r="E164" i="8"/>
  <c r="D164" i="8"/>
  <c r="AO160" i="8"/>
  <c r="AN160" i="8"/>
  <c r="M156" i="8"/>
  <c r="N156" i="8"/>
  <c r="W148" i="8"/>
  <c r="V148" i="8"/>
  <c r="V144" i="8"/>
  <c r="W144" i="8"/>
  <c r="BW136" i="5"/>
  <c r="BV136" i="5"/>
  <c r="D136" i="8"/>
  <c r="E136" i="8"/>
  <c r="AO132" i="8"/>
  <c r="AN132" i="8"/>
  <c r="BN128" i="5"/>
  <c r="BM128" i="5"/>
  <c r="G128" i="8"/>
  <c r="F128" i="8"/>
  <c r="G124" i="8"/>
  <c r="F124" i="8"/>
  <c r="BY112" i="5"/>
  <c r="BX112" i="5"/>
  <c r="BN108" i="5"/>
  <c r="BM108" i="5"/>
  <c r="X108" i="8"/>
  <c r="Y108" i="8"/>
  <c r="AH104" i="8"/>
  <c r="AG104" i="8"/>
  <c r="AG100" i="8"/>
  <c r="AH100" i="8"/>
  <c r="AH96" i="8"/>
  <c r="AG96" i="8"/>
  <c r="F92" i="8"/>
  <c r="G92" i="8"/>
  <c r="AP88" i="8"/>
  <c r="AQ88" i="8"/>
  <c r="BY84" i="5"/>
  <c r="BX84" i="5"/>
  <c r="O84" i="8"/>
  <c r="P84" i="8"/>
  <c r="BN76" i="5"/>
  <c r="BM76" i="5"/>
  <c r="X76" i="8"/>
  <c r="Y76" i="8"/>
  <c r="AH72" i="8"/>
  <c r="AG72" i="8"/>
  <c r="AG68" i="8"/>
  <c r="AH68" i="8"/>
  <c r="AG64" i="8"/>
  <c r="AH64" i="8"/>
  <c r="AP60" i="8"/>
  <c r="AQ60" i="8"/>
  <c r="BN56" i="5"/>
  <c r="BM56" i="5"/>
  <c r="O52" i="8"/>
  <c r="P52" i="8"/>
  <c r="BN44" i="5"/>
  <c r="BM44" i="5"/>
  <c r="X44" i="8"/>
  <c r="Y44" i="8"/>
  <c r="AG36" i="8"/>
  <c r="AH36" i="8"/>
  <c r="AH32" i="8"/>
  <c r="AG32" i="8"/>
  <c r="AP28" i="8"/>
  <c r="AQ28" i="8"/>
  <c r="BN24" i="5"/>
  <c r="BM24" i="5"/>
  <c r="O20" i="8"/>
  <c r="P20" i="8"/>
  <c r="O16" i="8"/>
  <c r="P16" i="8"/>
  <c r="BX4" i="5"/>
  <c r="BY4" i="5"/>
  <c r="AG4" i="8"/>
  <c r="AH4" i="8"/>
  <c r="X199" i="8"/>
  <c r="Y199" i="8"/>
  <c r="BM195" i="5"/>
  <c r="BN195" i="5"/>
  <c r="AF195" i="8"/>
  <c r="AE195" i="8"/>
  <c r="E191" i="8"/>
  <c r="D191" i="8"/>
  <c r="O187" i="8"/>
  <c r="P187" i="8"/>
  <c r="X183" i="8"/>
  <c r="Y183" i="8"/>
  <c r="AH175" i="8"/>
  <c r="AG175" i="8"/>
  <c r="BM167" i="5"/>
  <c r="BN167" i="5"/>
  <c r="BM163" i="5"/>
  <c r="BN163" i="5"/>
  <c r="AG163" i="8"/>
  <c r="AH163" i="8"/>
  <c r="C159" i="8"/>
  <c r="D159" i="8"/>
  <c r="E159" i="8"/>
  <c r="O155" i="8"/>
  <c r="P155" i="8"/>
  <c r="X151" i="8"/>
  <c r="Y151" i="8"/>
  <c r="AH143" i="8"/>
  <c r="AG143" i="8"/>
  <c r="BN135" i="5"/>
  <c r="BM135" i="5"/>
  <c r="BY131" i="5"/>
  <c r="BX131" i="5"/>
  <c r="AH131" i="8"/>
  <c r="AG131" i="8"/>
  <c r="F127" i="8"/>
  <c r="G127" i="8"/>
  <c r="P123" i="8"/>
  <c r="X119" i="8"/>
  <c r="Y119" i="8"/>
  <c r="AG111" i="8"/>
  <c r="AH111" i="8"/>
  <c r="BN103" i="5"/>
  <c r="BM103" i="5"/>
  <c r="BN99" i="5"/>
  <c r="BM99" i="5"/>
  <c r="AG99" i="8"/>
  <c r="AH99" i="8"/>
  <c r="BL91" i="5"/>
  <c r="BK91" i="5"/>
  <c r="N91" i="8"/>
  <c r="M91" i="8"/>
  <c r="W87" i="8"/>
  <c r="V87" i="8"/>
  <c r="AI83" i="5"/>
  <c r="AH83" i="5"/>
  <c r="AF79" i="8"/>
  <c r="AE79" i="8"/>
  <c r="BL75" i="5"/>
  <c r="BK75" i="5"/>
  <c r="N75" i="8"/>
  <c r="M75" i="8"/>
  <c r="V71" i="8"/>
  <c r="W71" i="8"/>
  <c r="AI67" i="5"/>
  <c r="AH67" i="5"/>
  <c r="AF63" i="8"/>
  <c r="AE63" i="8"/>
  <c r="BL59" i="5"/>
  <c r="BK59" i="5"/>
  <c r="N59" i="8"/>
  <c r="M59" i="8"/>
  <c r="V55" i="8"/>
  <c r="W55" i="8"/>
  <c r="AI51" i="5"/>
  <c r="AH51" i="5"/>
  <c r="AF47" i="8"/>
  <c r="AE47" i="8"/>
  <c r="BL43" i="5"/>
  <c r="BK43" i="5"/>
  <c r="N43" i="8"/>
  <c r="M43" i="8"/>
  <c r="W39" i="8"/>
  <c r="V39" i="8"/>
  <c r="AI35" i="5"/>
  <c r="AH35" i="5"/>
  <c r="AF31" i="8"/>
  <c r="AE31" i="8"/>
  <c r="BN27" i="5"/>
  <c r="BM27" i="5"/>
  <c r="O27" i="8"/>
  <c r="P27" i="8"/>
  <c r="X23" i="8"/>
  <c r="Y23" i="8"/>
  <c r="AH15" i="8"/>
  <c r="AG15" i="8"/>
  <c r="BN11" i="5"/>
  <c r="BM11" i="5"/>
  <c r="O11" i="8"/>
  <c r="P11" i="8"/>
  <c r="X7" i="8"/>
  <c r="Y7" i="8"/>
  <c r="X202" i="8"/>
  <c r="Y202" i="8"/>
  <c r="F202" i="8"/>
  <c r="G202" i="8"/>
  <c r="AF198" i="8"/>
  <c r="AE198" i="8"/>
  <c r="AO194" i="8"/>
  <c r="AN194" i="8"/>
  <c r="AE190" i="8"/>
  <c r="AF190" i="8"/>
  <c r="BL186" i="5"/>
  <c r="BK186" i="5"/>
  <c r="BW182" i="5"/>
  <c r="BV182" i="5"/>
  <c r="W182" i="8"/>
  <c r="V182" i="8"/>
  <c r="W178" i="8"/>
  <c r="V178" i="8"/>
  <c r="E174" i="8"/>
  <c r="D174" i="8"/>
  <c r="AO162" i="8"/>
  <c r="AN162" i="8"/>
  <c r="AE158" i="8"/>
  <c r="AF158" i="8"/>
  <c r="BW154" i="5"/>
  <c r="BV154" i="5"/>
  <c r="AI150" i="5"/>
  <c r="AH150" i="5"/>
  <c r="BW146" i="5"/>
  <c r="BV146" i="5"/>
  <c r="BL142" i="5"/>
  <c r="BK142" i="5"/>
  <c r="V138" i="8"/>
  <c r="W138" i="8"/>
  <c r="AF134" i="8"/>
  <c r="AE134" i="8"/>
  <c r="AF130" i="8"/>
  <c r="AE130" i="8"/>
  <c r="X126" i="8"/>
  <c r="Y126" i="8"/>
  <c r="AH122" i="8"/>
  <c r="AG122" i="8"/>
  <c r="AP118" i="8"/>
  <c r="AQ118" i="8"/>
  <c r="AQ106" i="8"/>
  <c r="AP106" i="8"/>
  <c r="AH98" i="8"/>
  <c r="AG98" i="8"/>
  <c r="F98" i="8"/>
  <c r="G98" i="8"/>
  <c r="W94" i="8"/>
  <c r="V94" i="8"/>
  <c r="BX90" i="5"/>
  <c r="BY90" i="5"/>
  <c r="AP86" i="8"/>
  <c r="AQ86" i="8"/>
  <c r="AF78" i="8"/>
  <c r="AE78" i="8"/>
  <c r="AH74" i="8"/>
  <c r="AG74" i="8"/>
  <c r="BM70" i="5"/>
  <c r="BN70" i="5"/>
  <c r="O70" i="8"/>
  <c r="P70" i="8"/>
  <c r="F66" i="8"/>
  <c r="G66" i="8"/>
  <c r="AP62" i="8"/>
  <c r="AQ62" i="8"/>
  <c r="X58" i="8"/>
  <c r="Y58" i="8"/>
  <c r="AP50" i="8"/>
  <c r="AQ50" i="8"/>
  <c r="O46" i="8"/>
  <c r="P46" i="8"/>
  <c r="AG42" i="8"/>
  <c r="AH42" i="8"/>
  <c r="O38" i="8"/>
  <c r="P38" i="8"/>
  <c r="F38" i="8"/>
  <c r="G38" i="8"/>
  <c r="N34" i="8"/>
  <c r="M34" i="8"/>
  <c r="AO30" i="8"/>
  <c r="AN30" i="8"/>
  <c r="BL26" i="5"/>
  <c r="BK26" i="5"/>
  <c r="AI26" i="5"/>
  <c r="AH26" i="5"/>
  <c r="W18" i="8"/>
  <c r="V18" i="8"/>
  <c r="BL10" i="5"/>
  <c r="BK10" i="5"/>
  <c r="AO10" i="8"/>
  <c r="AN10" i="8"/>
  <c r="AI6" i="5"/>
  <c r="AH6" i="5"/>
  <c r="W201" i="8"/>
  <c r="V201" i="8"/>
  <c r="AF197" i="8"/>
  <c r="AE197" i="8"/>
  <c r="AO193" i="8"/>
  <c r="AN193" i="8"/>
  <c r="BL189" i="5"/>
  <c r="BK189" i="5"/>
  <c r="BW185" i="5"/>
  <c r="BV185" i="5"/>
  <c r="BW181" i="5"/>
  <c r="BV181" i="5"/>
  <c r="E177" i="8"/>
  <c r="D177" i="8"/>
  <c r="BM165" i="5"/>
  <c r="BN165" i="5"/>
  <c r="F165" i="8"/>
  <c r="G165" i="8"/>
  <c r="C161" i="8"/>
  <c r="E161" i="8"/>
  <c r="D161" i="8"/>
  <c r="AP145" i="8"/>
  <c r="AQ145" i="8"/>
  <c r="BM141" i="5"/>
  <c r="BN141" i="5"/>
  <c r="BY129" i="5"/>
  <c r="BX129" i="5"/>
  <c r="O129" i="8"/>
  <c r="P129" i="8"/>
  <c r="F125" i="8"/>
  <c r="G125" i="8"/>
  <c r="O121" i="8"/>
  <c r="P121" i="8"/>
  <c r="BN117" i="5"/>
  <c r="BM117" i="5"/>
  <c r="G117" i="8"/>
  <c r="F117" i="8"/>
  <c r="AH109" i="8"/>
  <c r="AG109" i="8"/>
  <c r="X105" i="8"/>
  <c r="Y105" i="8"/>
  <c r="AG101" i="8"/>
  <c r="AH101" i="8"/>
  <c r="AH97" i="8"/>
  <c r="AG97" i="8"/>
  <c r="AP81" i="8"/>
  <c r="AQ81" i="8"/>
  <c r="AG65" i="8"/>
  <c r="AH65" i="8"/>
  <c r="AP61" i="8"/>
  <c r="AQ61" i="8"/>
  <c r="X57" i="8"/>
  <c r="Y57" i="8"/>
  <c r="X53" i="8"/>
  <c r="Y53" i="8"/>
  <c r="BN49" i="5"/>
  <c r="BM49" i="5"/>
  <c r="BN45" i="5"/>
  <c r="BM45" i="5"/>
  <c r="BE41" i="5"/>
  <c r="BD41" i="5"/>
  <c r="AP41" i="8"/>
  <c r="AQ41" i="8"/>
  <c r="AH37" i="8"/>
  <c r="AG37" i="8"/>
  <c r="BN33" i="5"/>
  <c r="BM33" i="5"/>
  <c r="BN29" i="5"/>
  <c r="BM29" i="5"/>
  <c r="BD25" i="5"/>
  <c r="BE25" i="5"/>
  <c r="AP25" i="8"/>
  <c r="AQ25" i="8"/>
  <c r="AH21" i="8"/>
  <c r="AG21" i="8"/>
  <c r="BN17" i="5"/>
  <c r="BM17" i="5"/>
  <c r="BN13" i="5"/>
  <c r="BM13" i="5"/>
  <c r="AH9" i="8"/>
  <c r="AG9" i="8"/>
  <c r="AH5" i="8"/>
  <c r="AG5" i="8"/>
  <c r="BY200" i="5"/>
  <c r="BX200" i="5"/>
  <c r="G200" i="8"/>
  <c r="F200" i="8"/>
  <c r="AP196" i="8"/>
  <c r="AQ196" i="8"/>
  <c r="BM192" i="5"/>
  <c r="BN192" i="5"/>
  <c r="N188" i="8"/>
  <c r="M188" i="8"/>
  <c r="AI184" i="5"/>
  <c r="AH184" i="5"/>
  <c r="AI180" i="5"/>
  <c r="AH180" i="5"/>
  <c r="BW176" i="5"/>
  <c r="BV176" i="5"/>
  <c r="BL172" i="5"/>
  <c r="BK172" i="5"/>
  <c r="W172" i="8"/>
  <c r="V172" i="8"/>
  <c r="AF164" i="8"/>
  <c r="AE164" i="8"/>
  <c r="AF160" i="8"/>
  <c r="AE160" i="8"/>
  <c r="D156" i="8"/>
  <c r="E156" i="8"/>
  <c r="N152" i="8"/>
  <c r="M152" i="8"/>
  <c r="AI148" i="5"/>
  <c r="AH148" i="5"/>
  <c r="M144" i="8"/>
  <c r="N144" i="8"/>
  <c r="AI140" i="5"/>
  <c r="AH140" i="5"/>
  <c r="BW124" i="5"/>
  <c r="BV124" i="5"/>
  <c r="AE124" i="8"/>
  <c r="AF124" i="8"/>
  <c r="AO120" i="8"/>
  <c r="AN120" i="8"/>
  <c r="BL116" i="5"/>
  <c r="BK116" i="5"/>
  <c r="D116" i="8"/>
  <c r="E116" i="8"/>
  <c r="AO112" i="8"/>
  <c r="AN112" i="8"/>
  <c r="O108" i="8"/>
  <c r="P108" i="8"/>
  <c r="X100" i="8"/>
  <c r="Y100" i="8"/>
  <c r="BY92" i="5"/>
  <c r="BX92" i="5"/>
  <c r="AH92" i="8"/>
  <c r="AG92" i="8"/>
  <c r="F88" i="8"/>
  <c r="G88" i="8"/>
  <c r="BN80" i="5"/>
  <c r="BM80" i="5"/>
  <c r="F80" i="8"/>
  <c r="G80" i="8"/>
  <c r="BN72" i="5"/>
  <c r="BM72" i="5"/>
  <c r="X68" i="8"/>
  <c r="Y68" i="8"/>
  <c r="BY60" i="5"/>
  <c r="BX60" i="5"/>
  <c r="BY56" i="5"/>
  <c r="BX56" i="5"/>
  <c r="F56" i="8"/>
  <c r="G56" i="8"/>
  <c r="AQ52" i="8"/>
  <c r="AP52" i="8"/>
  <c r="F52" i="8"/>
  <c r="G52" i="8"/>
  <c r="AO48" i="8"/>
  <c r="AN48" i="8"/>
  <c r="M44" i="8"/>
  <c r="N44" i="8"/>
  <c r="AI32" i="5"/>
  <c r="AH32" i="5"/>
  <c r="W32" i="8"/>
  <c r="V32" i="8"/>
  <c r="BW28" i="5"/>
  <c r="BV28" i="5"/>
  <c r="BW24" i="5"/>
  <c r="BV24" i="5"/>
  <c r="E24" i="8"/>
  <c r="D24" i="8"/>
  <c r="AO20" i="8"/>
  <c r="AN20" i="8"/>
  <c r="BW16" i="5"/>
  <c r="BV16" i="5"/>
  <c r="E16" i="8"/>
  <c r="D16" i="8"/>
  <c r="AI8" i="5"/>
  <c r="AH8" i="5"/>
  <c r="V8" i="8"/>
  <c r="W8" i="8"/>
  <c r="AO3" i="8"/>
  <c r="AN3" i="8"/>
  <c r="M199" i="8"/>
  <c r="N199" i="8"/>
  <c r="W195" i="8"/>
  <c r="V195" i="8"/>
  <c r="AI191" i="5"/>
  <c r="AH191" i="5"/>
  <c r="AO187" i="8"/>
  <c r="AN187" i="8"/>
  <c r="C171" i="8"/>
  <c r="D171" i="8"/>
  <c r="E171" i="8"/>
  <c r="L167" i="8"/>
  <c r="F155" i="8"/>
  <c r="G155" i="8"/>
  <c r="N151" i="8"/>
  <c r="M151" i="8"/>
  <c r="V147" i="8"/>
  <c r="W147" i="8"/>
  <c r="AI143" i="5"/>
  <c r="AH143" i="5"/>
  <c r="AO139" i="8"/>
  <c r="AN139" i="8"/>
  <c r="BW115" i="5"/>
  <c r="BV115" i="5"/>
  <c r="BW111" i="5"/>
  <c r="BV111" i="5"/>
  <c r="W111" i="8"/>
  <c r="V111" i="8"/>
  <c r="F91" i="8"/>
  <c r="G91" i="8"/>
  <c r="N87" i="8"/>
  <c r="M87" i="8"/>
  <c r="W83" i="8"/>
  <c r="V83" i="8"/>
  <c r="W79" i="8"/>
  <c r="V79" i="8"/>
  <c r="D75" i="8"/>
  <c r="E75" i="8"/>
  <c r="M71" i="8"/>
  <c r="N71" i="8"/>
  <c r="W67" i="8"/>
  <c r="V67" i="8"/>
  <c r="W63" i="8"/>
  <c r="V63" i="8"/>
  <c r="D59" i="8"/>
  <c r="E59" i="8"/>
  <c r="M55" i="8"/>
  <c r="N55" i="8"/>
  <c r="W51" i="8"/>
  <c r="V51" i="8"/>
  <c r="V47" i="8"/>
  <c r="W47" i="8"/>
  <c r="E43" i="8"/>
  <c r="D43" i="8"/>
  <c r="W35" i="8"/>
  <c r="V35" i="8"/>
  <c r="AI31" i="5"/>
  <c r="AH31" i="5"/>
  <c r="AO23" i="8"/>
  <c r="AN23" i="8"/>
  <c r="BL19" i="5"/>
  <c r="BK19" i="5"/>
  <c r="BW15" i="5"/>
  <c r="BV15" i="5"/>
  <c r="V15" i="8"/>
  <c r="W15" i="8"/>
  <c r="C11" i="8"/>
  <c r="N7" i="8"/>
  <c r="M7" i="8"/>
  <c r="AI202" i="5"/>
  <c r="AH202" i="5"/>
  <c r="BW198" i="5"/>
  <c r="BV198" i="5"/>
  <c r="W198" i="8"/>
  <c r="V198" i="8"/>
  <c r="F110" i="8"/>
  <c r="G110" i="8"/>
  <c r="AI102" i="5"/>
  <c r="AH102" i="5"/>
  <c r="BW98" i="5"/>
  <c r="BV98" i="5"/>
  <c r="BL94" i="5"/>
  <c r="BK94" i="5"/>
  <c r="N90" i="8"/>
  <c r="M90" i="8"/>
  <c r="BW86" i="5"/>
  <c r="BV86" i="5"/>
  <c r="D86" i="8"/>
  <c r="E86" i="8"/>
  <c r="D82" i="8"/>
  <c r="E82" i="8"/>
  <c r="D78" i="8"/>
  <c r="E78" i="8"/>
  <c r="V74" i="8"/>
  <c r="W74" i="8"/>
  <c r="AI70" i="5"/>
  <c r="AH70" i="5"/>
  <c r="V66" i="8"/>
  <c r="W66" i="8"/>
  <c r="E62" i="8"/>
  <c r="D62" i="8"/>
  <c r="AF54" i="8"/>
  <c r="AE54" i="8"/>
  <c r="BW46" i="5"/>
  <c r="BV46" i="5"/>
  <c r="AI42" i="5"/>
  <c r="AH42" i="5"/>
  <c r="M26" i="8"/>
  <c r="N26" i="8"/>
  <c r="BW22" i="5"/>
  <c r="BV22" i="5"/>
  <c r="AO22" i="8"/>
  <c r="AN22" i="8"/>
  <c r="M18" i="8"/>
  <c r="N18" i="8"/>
  <c r="AO14" i="8"/>
  <c r="AN14" i="8"/>
  <c r="V10" i="8"/>
  <c r="W10" i="8"/>
  <c r="BL6" i="5"/>
  <c r="BK6" i="5"/>
  <c r="BL201" i="5"/>
  <c r="BK201" i="5"/>
  <c r="D201" i="8"/>
  <c r="E201" i="8"/>
  <c r="W197" i="8"/>
  <c r="V197" i="8"/>
  <c r="AF193" i="8"/>
  <c r="AE193" i="8"/>
  <c r="BW177" i="5"/>
  <c r="BV177" i="5"/>
  <c r="N177" i="8"/>
  <c r="M177" i="8"/>
  <c r="AO169" i="8"/>
  <c r="AN169" i="8"/>
  <c r="AI165" i="5"/>
  <c r="AH165" i="5"/>
  <c r="BW161" i="5"/>
  <c r="BV161" i="5"/>
  <c r="E157" i="8"/>
  <c r="D157" i="8"/>
  <c r="L153" i="8"/>
  <c r="N153" i="8"/>
  <c r="V149" i="8"/>
  <c r="W149" i="8"/>
  <c r="AE145" i="8"/>
  <c r="AF145" i="8"/>
  <c r="AI141" i="5"/>
  <c r="AH141" i="5"/>
  <c r="W137" i="8"/>
  <c r="V137" i="8"/>
  <c r="AF133" i="8"/>
  <c r="AE133" i="8"/>
  <c r="BL129" i="5"/>
  <c r="BK129" i="5"/>
  <c r="AI129" i="5"/>
  <c r="AH129" i="5"/>
  <c r="N125" i="8"/>
  <c r="M125" i="8"/>
  <c r="AO121" i="8"/>
  <c r="AN121" i="8"/>
  <c r="AI117" i="5"/>
  <c r="AH117" i="5"/>
  <c r="W113" i="8"/>
  <c r="V113" i="8"/>
  <c r="W109" i="8"/>
  <c r="V109" i="8"/>
  <c r="C105" i="8"/>
  <c r="D105" i="8"/>
  <c r="E105" i="8"/>
  <c r="G101" i="8"/>
  <c r="F101" i="8"/>
  <c r="D97" i="8"/>
  <c r="E97" i="8"/>
  <c r="D93" i="8"/>
  <c r="E93" i="8"/>
  <c r="D89" i="8"/>
  <c r="E89" i="8"/>
  <c r="N85" i="8"/>
  <c r="M85" i="8"/>
  <c r="D73" i="8"/>
  <c r="E73" i="8"/>
  <c r="N69" i="8"/>
  <c r="M69" i="8"/>
  <c r="W65" i="8"/>
  <c r="V65" i="8"/>
  <c r="AF61" i="8"/>
  <c r="AE61" i="8"/>
  <c r="N57" i="8"/>
  <c r="M57" i="8"/>
  <c r="N53" i="8"/>
  <c r="M53" i="8"/>
  <c r="V49" i="8"/>
  <c r="W49" i="8"/>
  <c r="AO45" i="8"/>
  <c r="AN45" i="8"/>
  <c r="V41" i="8"/>
  <c r="W41" i="8"/>
  <c r="W37" i="8"/>
  <c r="V37" i="8"/>
  <c r="AF33" i="8"/>
  <c r="AE33" i="8"/>
  <c r="AO29" i="8"/>
  <c r="AN29" i="8"/>
  <c r="W25" i="8"/>
  <c r="V25" i="8"/>
  <c r="W21" i="8"/>
  <c r="V21" i="8"/>
  <c r="AF17" i="8"/>
  <c r="AE17" i="8"/>
  <c r="AO13" i="8"/>
  <c r="AN13" i="8"/>
  <c r="W9" i="8"/>
  <c r="V9" i="8"/>
  <c r="W5" i="8"/>
  <c r="V5" i="8"/>
  <c r="BW196" i="5"/>
  <c r="BV196" i="5"/>
  <c r="AF196" i="8"/>
  <c r="AE196" i="8"/>
  <c r="AF192" i="8"/>
  <c r="AE192" i="8"/>
  <c r="AO188" i="8"/>
  <c r="AN188" i="8"/>
  <c r="BW184" i="5"/>
  <c r="BV184" i="5"/>
  <c r="E184" i="8"/>
  <c r="D184" i="8"/>
  <c r="AO180" i="8"/>
  <c r="AN180" i="8"/>
  <c r="D148" i="8"/>
  <c r="E148" i="8"/>
  <c r="L195" i="8"/>
  <c r="L191" i="8"/>
  <c r="C167" i="8"/>
  <c r="D167" i="8"/>
  <c r="E167" i="8"/>
  <c r="L163" i="8"/>
  <c r="L159" i="8"/>
  <c r="BL127" i="5"/>
  <c r="BK127" i="5"/>
  <c r="BW123" i="5"/>
  <c r="BV123" i="5"/>
  <c r="AF123" i="8"/>
  <c r="AE123" i="8"/>
  <c r="D119" i="8"/>
  <c r="E119" i="8"/>
  <c r="N115" i="8"/>
  <c r="M115" i="8"/>
  <c r="N111" i="8"/>
  <c r="M111" i="8"/>
  <c r="AI107" i="5"/>
  <c r="AH107" i="5"/>
  <c r="AO103" i="8"/>
  <c r="AN103" i="8"/>
  <c r="N95" i="8"/>
  <c r="M95" i="8"/>
  <c r="AF91" i="8"/>
  <c r="AE91" i="8"/>
  <c r="D87" i="8"/>
  <c r="E87" i="8"/>
  <c r="N79" i="8"/>
  <c r="M79" i="8"/>
  <c r="AI75" i="5"/>
  <c r="AH75" i="5"/>
  <c r="AO67" i="8"/>
  <c r="AN67" i="8"/>
  <c r="BW63" i="5"/>
  <c r="BV63" i="5"/>
  <c r="BW59" i="5"/>
  <c r="BV59" i="5"/>
  <c r="AF59" i="8"/>
  <c r="AE59" i="8"/>
  <c r="D55" i="8"/>
  <c r="E55" i="8"/>
  <c r="N51" i="8"/>
  <c r="M51" i="8"/>
  <c r="M47" i="8"/>
  <c r="N47" i="8"/>
  <c r="AF43" i="8"/>
  <c r="AE43" i="8"/>
  <c r="E39" i="8"/>
  <c r="D39" i="8"/>
  <c r="F106" i="8"/>
  <c r="G106" i="8"/>
  <c r="BL98" i="5"/>
  <c r="BK98" i="5"/>
  <c r="N98" i="8"/>
  <c r="M98" i="8"/>
  <c r="AI90" i="5"/>
  <c r="AH90" i="5"/>
  <c r="BW82" i="5"/>
  <c r="BV82" i="5"/>
  <c r="BL78" i="5"/>
  <c r="BK78" i="5"/>
  <c r="N74" i="8"/>
  <c r="M74" i="8"/>
  <c r="W22" i="8"/>
  <c r="V22" i="8"/>
  <c r="AI18" i="5"/>
  <c r="AH18" i="5"/>
  <c r="D18" i="8"/>
  <c r="E18" i="8"/>
  <c r="D14" i="8"/>
  <c r="E14" i="8"/>
  <c r="N10" i="8"/>
  <c r="M10" i="8"/>
  <c r="AF6" i="8"/>
  <c r="AE6" i="8"/>
  <c r="BW201" i="5"/>
  <c r="BV201" i="5"/>
  <c r="BW197" i="5"/>
  <c r="BV197" i="5"/>
  <c r="N197" i="8"/>
  <c r="M197" i="8"/>
  <c r="V193" i="8"/>
  <c r="W193" i="8"/>
  <c r="AF189" i="8"/>
  <c r="AE189" i="8"/>
  <c r="W185" i="8"/>
  <c r="V185" i="8"/>
  <c r="AF181" i="8"/>
  <c r="AE181" i="8"/>
  <c r="BL177" i="5"/>
  <c r="BK177" i="5"/>
  <c r="AI177" i="5"/>
  <c r="AH177" i="5"/>
  <c r="AO173" i="8"/>
  <c r="AN173" i="8"/>
  <c r="AF169" i="8"/>
  <c r="AE169" i="8"/>
  <c r="AO165" i="8"/>
  <c r="AN165" i="8"/>
  <c r="AO161" i="8"/>
  <c r="AN161" i="8"/>
  <c r="BW157" i="5"/>
  <c r="BV157" i="5"/>
  <c r="BW153" i="5"/>
  <c r="BV153" i="5"/>
  <c r="BW149" i="5"/>
  <c r="BV149" i="5"/>
  <c r="M149" i="8"/>
  <c r="N149" i="8"/>
  <c r="W145" i="8"/>
  <c r="V145" i="8"/>
  <c r="W141" i="8"/>
  <c r="V141" i="8"/>
  <c r="BL133" i="5"/>
  <c r="BK133" i="5"/>
  <c r="D133" i="8"/>
  <c r="E133" i="8"/>
  <c r="L109" i="8"/>
  <c r="L77" i="8"/>
  <c r="D53" i="8"/>
  <c r="E53" i="8"/>
  <c r="AI37" i="5"/>
  <c r="AH37" i="5"/>
  <c r="AI25" i="5"/>
  <c r="AH25" i="5"/>
  <c r="W192" i="8"/>
  <c r="V192" i="8"/>
  <c r="BW180" i="5"/>
  <c r="BV180" i="5"/>
  <c r="AO172" i="8"/>
  <c r="AN172" i="8"/>
  <c r="N168" i="8"/>
  <c r="M168" i="8"/>
  <c r="BW160" i="5"/>
  <c r="BV160" i="5"/>
  <c r="BL156" i="5"/>
  <c r="BK156" i="5"/>
  <c r="BW144" i="5"/>
  <c r="BV144" i="5"/>
  <c r="AI136" i="5"/>
  <c r="AH136" i="5"/>
  <c r="BW132" i="5"/>
  <c r="BV132" i="5"/>
  <c r="N128" i="8"/>
  <c r="M128" i="8"/>
  <c r="AI112" i="5"/>
  <c r="AH112" i="5"/>
  <c r="BW108" i="5"/>
  <c r="BV108" i="5"/>
  <c r="AO104" i="8"/>
  <c r="AN104" i="8"/>
  <c r="F100" i="8"/>
  <c r="G100" i="8"/>
  <c r="O92" i="8"/>
  <c r="P92" i="8"/>
  <c r="X80" i="8"/>
  <c r="Y80" i="8"/>
  <c r="F72" i="8"/>
  <c r="G72" i="8"/>
  <c r="BW64" i="5"/>
  <c r="BV64" i="5"/>
  <c r="C64" i="8"/>
  <c r="V56" i="8"/>
  <c r="W56" i="8"/>
  <c r="V52" i="8"/>
  <c r="W52" i="8"/>
  <c r="BW44" i="5"/>
  <c r="BV44" i="5"/>
  <c r="BL40" i="5"/>
  <c r="BK40" i="5"/>
  <c r="E40" i="8"/>
  <c r="D40" i="8"/>
  <c r="AO36" i="8"/>
  <c r="AN36" i="8"/>
  <c r="O28" i="8"/>
  <c r="P28" i="8"/>
  <c r="X20" i="8"/>
  <c r="Y20" i="8"/>
  <c r="BY12" i="5"/>
  <c r="BX12" i="5"/>
  <c r="AG12" i="8"/>
  <c r="AH12" i="8"/>
  <c r="AP8" i="8"/>
  <c r="AQ8" i="8"/>
  <c r="G4" i="8"/>
  <c r="F4" i="8"/>
  <c r="X3" i="8"/>
  <c r="Y3" i="8"/>
  <c r="AP195" i="8"/>
  <c r="AQ195" i="8"/>
  <c r="AP191" i="8"/>
  <c r="AQ191" i="8"/>
  <c r="BM187" i="5"/>
  <c r="BN187" i="5"/>
  <c r="BM183" i="5"/>
  <c r="BN183" i="5"/>
  <c r="AG183" i="8"/>
  <c r="AH183" i="8"/>
  <c r="C179" i="8"/>
  <c r="D179" i="8"/>
  <c r="E179" i="8"/>
  <c r="X171" i="8"/>
  <c r="Y171" i="8"/>
  <c r="AP163" i="8"/>
  <c r="AQ163" i="8"/>
  <c r="AP159" i="8"/>
  <c r="AQ159" i="8"/>
  <c r="BM155" i="5"/>
  <c r="BN155" i="5"/>
  <c r="BY151" i="5"/>
  <c r="BX151" i="5"/>
  <c r="AH151" i="8"/>
  <c r="AG151" i="8"/>
  <c r="G147" i="8"/>
  <c r="F147" i="8"/>
  <c r="X139" i="8"/>
  <c r="Y139" i="8"/>
  <c r="AP131" i="8"/>
  <c r="AQ131" i="8"/>
  <c r="AP127" i="8"/>
  <c r="AQ127" i="8"/>
  <c r="BN123" i="5"/>
  <c r="BM123" i="5"/>
  <c r="BY119" i="5"/>
  <c r="BX119" i="5"/>
  <c r="AG119" i="8"/>
  <c r="AH119" i="8"/>
  <c r="F115" i="8"/>
  <c r="G115" i="8"/>
  <c r="AQ111" i="8"/>
  <c r="AP111" i="8"/>
  <c r="BN107" i="5"/>
  <c r="BM107" i="5"/>
  <c r="BY103" i="5"/>
  <c r="BX103" i="5"/>
  <c r="AG103" i="8"/>
  <c r="AH103" i="8"/>
  <c r="BL95" i="5"/>
  <c r="BK95" i="5"/>
  <c r="W91" i="8"/>
  <c r="V91" i="8"/>
  <c r="AI87" i="5"/>
  <c r="AH87" i="5"/>
  <c r="BY79" i="5"/>
  <c r="BX79" i="5"/>
  <c r="BY71" i="5"/>
  <c r="BX71" i="5"/>
  <c r="AG71" i="8"/>
  <c r="AH71" i="8"/>
  <c r="F67" i="8"/>
  <c r="G67" i="8"/>
  <c r="AP63" i="8"/>
  <c r="AQ63" i="8"/>
  <c r="X59" i="8"/>
  <c r="Y59" i="8"/>
  <c r="BN47" i="5"/>
  <c r="BM47" i="5"/>
  <c r="X43" i="8"/>
  <c r="Y43" i="8"/>
  <c r="BN31" i="5"/>
  <c r="BM31" i="5"/>
  <c r="BN23" i="5"/>
  <c r="BM23" i="5"/>
  <c r="AG23" i="8"/>
  <c r="AH23" i="8"/>
  <c r="F19" i="8"/>
  <c r="G19" i="8"/>
  <c r="AP15" i="8"/>
  <c r="AQ15" i="8"/>
  <c r="X11" i="8"/>
  <c r="Y11" i="8"/>
  <c r="AH202" i="8"/>
  <c r="AG202" i="8"/>
  <c r="AP198" i="8"/>
  <c r="AQ198" i="8"/>
  <c r="BM190" i="5"/>
  <c r="BN190" i="5"/>
  <c r="AH182" i="8"/>
  <c r="AG182" i="8"/>
  <c r="AG178" i="8"/>
  <c r="AH178" i="8"/>
  <c r="AH174" i="8"/>
  <c r="AG174" i="8"/>
  <c r="BX170" i="5"/>
  <c r="BY170" i="5"/>
  <c r="BY166" i="5"/>
  <c r="BX166" i="5"/>
  <c r="O166" i="8"/>
  <c r="P166" i="8"/>
  <c r="AP158" i="8"/>
  <c r="AQ158" i="8"/>
  <c r="BM154" i="5"/>
  <c r="BN154" i="5"/>
  <c r="O154" i="8"/>
  <c r="P154" i="8"/>
  <c r="AG146" i="8"/>
  <c r="AH146" i="8"/>
  <c r="G146" i="8"/>
  <c r="F146" i="8"/>
  <c r="E142" i="8"/>
  <c r="D142" i="8"/>
  <c r="AO130" i="8"/>
  <c r="AN130" i="8"/>
  <c r="AF126" i="8"/>
  <c r="AE126" i="8"/>
  <c r="AO122" i="8"/>
  <c r="AN122" i="8"/>
  <c r="AI118" i="5"/>
  <c r="AH118" i="5"/>
  <c r="BL114" i="5"/>
  <c r="BK114" i="5"/>
  <c r="N114" i="8"/>
  <c r="M114" i="8"/>
  <c r="AO110" i="8"/>
  <c r="AN110" i="8"/>
  <c r="BL106" i="5"/>
  <c r="BK106" i="5"/>
  <c r="M106" i="8"/>
  <c r="N106" i="8"/>
  <c r="E102" i="8"/>
  <c r="D102" i="8"/>
  <c r="AI98" i="5"/>
  <c r="AH98" i="5"/>
  <c r="AI94" i="5"/>
  <c r="AH94" i="5"/>
  <c r="AO90" i="8"/>
  <c r="AN90" i="8"/>
  <c r="BL82" i="5"/>
  <c r="BK82" i="5"/>
  <c r="M82" i="8"/>
  <c r="N82" i="8"/>
  <c r="AI74" i="5"/>
  <c r="AH74" i="5"/>
  <c r="BM58" i="5"/>
  <c r="BN58" i="5"/>
  <c r="BM54" i="5"/>
  <c r="BN54" i="5"/>
  <c r="O54" i="8"/>
  <c r="P54" i="8"/>
  <c r="X50" i="8"/>
  <c r="Y50" i="8"/>
  <c r="BW38" i="5"/>
  <c r="BV38" i="5"/>
  <c r="AO38" i="8"/>
  <c r="AN38" i="8"/>
  <c r="AO34" i="8"/>
  <c r="AN34" i="8"/>
  <c r="N30" i="8"/>
  <c r="M30" i="8"/>
  <c r="AF26" i="8"/>
  <c r="AE26" i="8"/>
  <c r="BL22" i="5"/>
  <c r="BK22" i="5"/>
  <c r="M22" i="8"/>
  <c r="N22" i="8"/>
  <c r="BW18" i="5"/>
  <c r="BV18" i="5"/>
  <c r="BL14" i="5"/>
  <c r="BK14" i="5"/>
  <c r="V14" i="8"/>
  <c r="W14" i="8"/>
  <c r="AI10" i="5"/>
  <c r="AH10" i="5"/>
  <c r="D6" i="8"/>
  <c r="E6" i="8"/>
  <c r="BL193" i="5"/>
  <c r="BK193" i="5"/>
  <c r="N193" i="8"/>
  <c r="M193" i="8"/>
  <c r="W189" i="8"/>
  <c r="V189" i="8"/>
  <c r="BM185" i="5"/>
  <c r="BN185" i="5"/>
  <c r="F185" i="8"/>
  <c r="G185" i="8"/>
  <c r="BL181" i="5"/>
  <c r="BK181" i="5"/>
  <c r="D181" i="8"/>
  <c r="E181" i="8"/>
  <c r="AG173" i="8"/>
  <c r="AH173" i="8"/>
  <c r="X169" i="8"/>
  <c r="Y169" i="8"/>
  <c r="AG165" i="8"/>
  <c r="AH165" i="8"/>
  <c r="AG161" i="8"/>
  <c r="AH161" i="8"/>
  <c r="AP157" i="8"/>
  <c r="AQ157" i="8"/>
  <c r="AG153" i="8"/>
  <c r="AH153" i="8"/>
  <c r="AP149" i="8"/>
  <c r="AQ149" i="8"/>
  <c r="BY141" i="5"/>
  <c r="BX141" i="5"/>
  <c r="BY137" i="5"/>
  <c r="BX137" i="5"/>
  <c r="BY133" i="5"/>
  <c r="BX133" i="5"/>
  <c r="O133" i="8"/>
  <c r="P133" i="8"/>
  <c r="F129" i="8"/>
  <c r="G129" i="8"/>
  <c r="AF125" i="8"/>
  <c r="AE125" i="8"/>
  <c r="W121" i="8"/>
  <c r="V121" i="8"/>
  <c r="AF117" i="8"/>
  <c r="AE117" i="8"/>
  <c r="BL113" i="5"/>
  <c r="BK113" i="5"/>
  <c r="AI113" i="5"/>
  <c r="AH113" i="5"/>
  <c r="AO109" i="8"/>
  <c r="AN109" i="8"/>
  <c r="BC105" i="5"/>
  <c r="BB105" i="5"/>
  <c r="BL97" i="5"/>
  <c r="BK97" i="5"/>
  <c r="AI97" i="5"/>
  <c r="AH97" i="5"/>
  <c r="AO93" i="8"/>
  <c r="AN93" i="8"/>
  <c r="V89" i="8"/>
  <c r="W89" i="8"/>
  <c r="AF85" i="8"/>
  <c r="AE85" i="8"/>
  <c r="BL81" i="5"/>
  <c r="BK81" i="5"/>
  <c r="BL77" i="5"/>
  <c r="BK77" i="5"/>
  <c r="AF69" i="8"/>
  <c r="AE69" i="8"/>
  <c r="BW65" i="5"/>
  <c r="BV65" i="5"/>
  <c r="AI65" i="5"/>
  <c r="AH65" i="5"/>
  <c r="N61" i="8"/>
  <c r="M61" i="8"/>
  <c r="AF57" i="8"/>
  <c r="AE57" i="8"/>
  <c r="AF53" i="8"/>
  <c r="AE53" i="8"/>
  <c r="BW49" i="5"/>
  <c r="BV49" i="5"/>
  <c r="AI49" i="5"/>
  <c r="AH49" i="5"/>
  <c r="W45" i="8"/>
  <c r="V45" i="8"/>
  <c r="BL41" i="5"/>
  <c r="BK41" i="5"/>
  <c r="BL37" i="5"/>
  <c r="BK37" i="5"/>
  <c r="BC33" i="5"/>
  <c r="BB33" i="5"/>
  <c r="BW29" i="5"/>
  <c r="BV29" i="5"/>
  <c r="W29" i="8"/>
  <c r="V29" i="8"/>
  <c r="BL25" i="5"/>
  <c r="BK25" i="5"/>
  <c r="BL21" i="5"/>
  <c r="BK21" i="5"/>
  <c r="N17" i="8"/>
  <c r="M17" i="8"/>
  <c r="W13" i="8"/>
  <c r="V13" i="8"/>
  <c r="BL9" i="5"/>
  <c r="BK9" i="5"/>
  <c r="BL5" i="5"/>
  <c r="BK5" i="5"/>
  <c r="BM200" i="5"/>
  <c r="BN200" i="5"/>
  <c r="O200" i="8"/>
  <c r="P200" i="8"/>
  <c r="O196" i="8"/>
  <c r="P196" i="8"/>
  <c r="O192" i="8"/>
  <c r="P192" i="8"/>
  <c r="X188" i="8"/>
  <c r="Y188" i="8"/>
  <c r="X180" i="8"/>
  <c r="Y180" i="8"/>
  <c r="X176" i="8"/>
  <c r="Y176" i="8"/>
  <c r="BM168" i="5"/>
  <c r="BN168" i="5"/>
  <c r="F168" i="8"/>
  <c r="G168" i="8"/>
  <c r="AP164" i="8"/>
  <c r="AQ164" i="8"/>
  <c r="BM160" i="5"/>
  <c r="BN160" i="5"/>
  <c r="F160" i="8"/>
  <c r="G160" i="8"/>
  <c r="X152" i="8"/>
  <c r="Y152" i="8"/>
  <c r="BY140" i="5"/>
  <c r="BX140" i="5"/>
  <c r="AG140" i="8"/>
  <c r="AH140" i="8"/>
  <c r="AP136" i="8"/>
  <c r="AQ136" i="8"/>
  <c r="BM132" i="5"/>
  <c r="BN132" i="5"/>
  <c r="BL128" i="5"/>
  <c r="BK128" i="5"/>
  <c r="D128" i="8"/>
  <c r="E128" i="8"/>
  <c r="E124" i="8"/>
  <c r="D124" i="8"/>
  <c r="AI120" i="5"/>
  <c r="AH120" i="5"/>
  <c r="AI116" i="5"/>
  <c r="AH116" i="5"/>
  <c r="BW112" i="5"/>
  <c r="BV112" i="5"/>
  <c r="BL108" i="5"/>
  <c r="BK108" i="5"/>
  <c r="W108" i="8"/>
  <c r="V108" i="8"/>
  <c r="AF104" i="8"/>
  <c r="AE104" i="8"/>
  <c r="AF100" i="8"/>
  <c r="AE100" i="8"/>
  <c r="AE96" i="8"/>
  <c r="AF96" i="8"/>
  <c r="E92" i="8"/>
  <c r="D92" i="8"/>
  <c r="AO88" i="8"/>
  <c r="AN88" i="8"/>
  <c r="BW84" i="5"/>
  <c r="BV84" i="5"/>
  <c r="N84" i="8"/>
  <c r="M84" i="8"/>
  <c r="BL76" i="5"/>
  <c r="BK76" i="5"/>
  <c r="W76" i="8"/>
  <c r="V76" i="8"/>
  <c r="AF72" i="8"/>
  <c r="AE72" i="8"/>
  <c r="AF68" i="8"/>
  <c r="AE68" i="8"/>
  <c r="AE64" i="8"/>
  <c r="AF64" i="8"/>
  <c r="AO60" i="8"/>
  <c r="AN60" i="8"/>
  <c r="BL56" i="5"/>
  <c r="BK56" i="5"/>
  <c r="N52" i="8"/>
  <c r="M52" i="8"/>
  <c r="BL44" i="5"/>
  <c r="BK44" i="5"/>
  <c r="W44" i="8"/>
  <c r="V44" i="8"/>
  <c r="AF36" i="8"/>
  <c r="AE36" i="8"/>
  <c r="AF32" i="8"/>
  <c r="AE32" i="8"/>
  <c r="AO28" i="8"/>
  <c r="AN28" i="8"/>
  <c r="BL24" i="5"/>
  <c r="BK24" i="5"/>
  <c r="N20" i="8"/>
  <c r="M20" i="8"/>
  <c r="N16" i="8"/>
  <c r="M16" i="8"/>
  <c r="BW4" i="5"/>
  <c r="BV4" i="5"/>
  <c r="AF4" i="8"/>
  <c r="AE4" i="8"/>
  <c r="W199" i="8"/>
  <c r="V199" i="8"/>
  <c r="AH191" i="8"/>
  <c r="AG191" i="8"/>
  <c r="N187" i="8"/>
  <c r="M187" i="8"/>
  <c r="W183" i="8"/>
  <c r="V183" i="8"/>
  <c r="AI179" i="5"/>
  <c r="AH179" i="5"/>
  <c r="AF175" i="8"/>
  <c r="AE175" i="8"/>
  <c r="BL167" i="5"/>
  <c r="BK167" i="5"/>
  <c r="BL163" i="5"/>
  <c r="BK163" i="5"/>
  <c r="AF163" i="8"/>
  <c r="AE163" i="8"/>
  <c r="N155" i="8"/>
  <c r="M155" i="8"/>
  <c r="W151" i="8"/>
  <c r="V151" i="8"/>
  <c r="AI147" i="5"/>
  <c r="AH147" i="5"/>
  <c r="AF143" i="8"/>
  <c r="AE143" i="8"/>
  <c r="BL135" i="5"/>
  <c r="BK135" i="5"/>
  <c r="BW131" i="5"/>
  <c r="BV131" i="5"/>
  <c r="AF131" i="8"/>
  <c r="AE131" i="8"/>
  <c r="E127" i="8"/>
  <c r="D127" i="8"/>
  <c r="W119" i="8"/>
  <c r="V119" i="8"/>
  <c r="AI115" i="5"/>
  <c r="AH115" i="5"/>
  <c r="AE111" i="8"/>
  <c r="AF111" i="8"/>
  <c r="BL103" i="5"/>
  <c r="BK103" i="5"/>
  <c r="BL99" i="5"/>
  <c r="BK99" i="5"/>
  <c r="AF99" i="8"/>
  <c r="AE99" i="8"/>
  <c r="AP91" i="8"/>
  <c r="AQ91" i="8"/>
  <c r="BN87" i="5"/>
  <c r="BM87" i="5"/>
  <c r="BY83" i="5"/>
  <c r="BX83" i="5"/>
  <c r="AG83" i="8"/>
  <c r="AH83" i="8"/>
  <c r="F79" i="8"/>
  <c r="G79" i="8"/>
  <c r="AP75" i="8"/>
  <c r="AQ75" i="8"/>
  <c r="BN71" i="5"/>
  <c r="BM71" i="5"/>
  <c r="BY67" i="5"/>
  <c r="BX67" i="5"/>
  <c r="AG67" i="8"/>
  <c r="AH67" i="8"/>
  <c r="F63" i="8"/>
  <c r="G63" i="8"/>
  <c r="AP59" i="8"/>
  <c r="AQ59" i="8"/>
  <c r="BN55" i="5"/>
  <c r="BM55" i="5"/>
  <c r="BN51" i="5"/>
  <c r="BM51" i="5"/>
  <c r="AH51" i="8"/>
  <c r="AG51" i="8"/>
  <c r="E47" i="8"/>
  <c r="D47" i="8"/>
  <c r="AP43" i="8"/>
  <c r="AQ43" i="8"/>
  <c r="BN39" i="5"/>
  <c r="BM39" i="5"/>
  <c r="BN35" i="5"/>
  <c r="BM35" i="5"/>
  <c r="AG35" i="8"/>
  <c r="AH35" i="8"/>
  <c r="BL27" i="5"/>
  <c r="BK27" i="5"/>
  <c r="N27" i="8"/>
  <c r="M27" i="8"/>
  <c r="V23" i="8"/>
  <c r="W23" i="8"/>
  <c r="AI19" i="5"/>
  <c r="AH19" i="5"/>
  <c r="AF15" i="8"/>
  <c r="AE15" i="8"/>
  <c r="BL11" i="5"/>
  <c r="BK11" i="5"/>
  <c r="M11" i="8"/>
  <c r="N11" i="8"/>
  <c r="W7" i="8"/>
  <c r="V7" i="8"/>
  <c r="W202" i="8"/>
  <c r="V202" i="8"/>
  <c r="G198" i="8"/>
  <c r="F198" i="8"/>
  <c r="AP186" i="8"/>
  <c r="AQ186" i="8"/>
  <c r="BY178" i="5"/>
  <c r="BX178" i="5"/>
  <c r="X174" i="8"/>
  <c r="Y174" i="8"/>
  <c r="AH170" i="8"/>
  <c r="AG170" i="8"/>
  <c r="AP166" i="8"/>
  <c r="AQ166" i="8"/>
  <c r="AP154" i="8"/>
  <c r="AQ154" i="8"/>
  <c r="O150" i="8"/>
  <c r="P150" i="8"/>
  <c r="X146" i="8"/>
  <c r="Y146" i="8"/>
  <c r="O142" i="8"/>
  <c r="P142" i="8"/>
  <c r="F138" i="8"/>
  <c r="G138" i="8"/>
  <c r="G134" i="8"/>
  <c r="F134" i="8"/>
  <c r="W126" i="8"/>
  <c r="V126" i="8"/>
  <c r="AF122" i="8"/>
  <c r="AE122" i="8"/>
  <c r="AO118" i="8"/>
  <c r="AN118" i="8"/>
  <c r="AI114" i="5"/>
  <c r="AH114" i="5"/>
  <c r="AI110" i="5"/>
  <c r="AH110" i="5"/>
  <c r="AO106" i="8"/>
  <c r="AN106" i="8"/>
  <c r="AE98" i="8"/>
  <c r="AF98" i="8"/>
  <c r="BX94" i="5"/>
  <c r="BY94" i="5"/>
  <c r="BW90" i="5"/>
  <c r="BV90" i="5"/>
  <c r="AO86" i="8"/>
  <c r="AN86" i="8"/>
  <c r="AI82" i="5"/>
  <c r="AH82" i="5"/>
  <c r="AD78" i="8"/>
  <c r="AF74" i="8"/>
  <c r="AE74" i="8"/>
  <c r="BL70" i="5"/>
  <c r="BK70" i="5"/>
  <c r="N70" i="8"/>
  <c r="M70" i="8"/>
  <c r="E66" i="8"/>
  <c r="D66" i="8"/>
  <c r="AO62" i="8"/>
  <c r="AN62" i="8"/>
  <c r="V58" i="8"/>
  <c r="W58" i="8"/>
  <c r="AO50" i="8"/>
  <c r="AN50" i="8"/>
  <c r="N46" i="8"/>
  <c r="M46" i="8"/>
  <c r="AF42" i="8"/>
  <c r="AE42" i="8"/>
  <c r="M38" i="8"/>
  <c r="N38" i="8"/>
  <c r="BY30" i="5"/>
  <c r="BX30" i="5"/>
  <c r="X26" i="8"/>
  <c r="Y26" i="8"/>
  <c r="O14" i="8"/>
  <c r="P14" i="8"/>
  <c r="AH10" i="8"/>
  <c r="AG10" i="8"/>
  <c r="BY6" i="5"/>
  <c r="BX6" i="5"/>
  <c r="O6" i="8"/>
  <c r="P6" i="8"/>
  <c r="AP185" i="8"/>
  <c r="AQ185" i="8"/>
  <c r="X177" i="8"/>
  <c r="Y177" i="8"/>
  <c r="X173" i="8"/>
  <c r="Y173" i="8"/>
  <c r="BM169" i="5"/>
  <c r="BN169" i="5"/>
  <c r="F169" i="8"/>
  <c r="G169" i="8"/>
  <c r="BL165" i="5"/>
  <c r="BK165" i="5"/>
  <c r="E165" i="8"/>
  <c r="D165" i="8"/>
  <c r="AI157" i="5"/>
  <c r="AH157" i="5"/>
  <c r="AI153" i="5"/>
  <c r="AH153" i="5"/>
  <c r="AO145" i="8"/>
  <c r="AN145" i="8"/>
  <c r="BL141" i="5"/>
  <c r="BK141" i="5"/>
  <c r="BW129" i="5"/>
  <c r="BV129" i="5"/>
  <c r="D125" i="8"/>
  <c r="E125" i="8"/>
  <c r="M121" i="8"/>
  <c r="N121" i="8"/>
  <c r="BL117" i="5"/>
  <c r="BK117" i="5"/>
  <c r="D117" i="8"/>
  <c r="E117" i="8"/>
  <c r="AF109" i="8"/>
  <c r="AE109" i="8"/>
  <c r="W105" i="8"/>
  <c r="V105" i="8"/>
  <c r="AF101" i="8"/>
  <c r="AE101" i="8"/>
  <c r="AE97" i="8"/>
  <c r="AF97" i="8"/>
  <c r="AI93" i="5"/>
  <c r="AH93" i="5"/>
  <c r="AI89" i="5"/>
  <c r="AH89" i="5"/>
  <c r="AO81" i="8"/>
  <c r="AN81" i="8"/>
  <c r="AI77" i="5"/>
  <c r="AH77" i="5"/>
  <c r="AI73" i="5"/>
  <c r="AH73" i="5"/>
  <c r="AF65" i="8"/>
  <c r="AE65" i="8"/>
  <c r="AO61" i="8"/>
  <c r="AN61" i="8"/>
  <c r="W57" i="8"/>
  <c r="V57" i="8"/>
  <c r="W53" i="8"/>
  <c r="V53" i="8"/>
  <c r="BL49" i="5"/>
  <c r="BK49" i="5"/>
  <c r="BL45" i="5"/>
  <c r="BK45" i="5"/>
  <c r="BC41" i="5"/>
  <c r="BB41" i="5"/>
  <c r="AO41" i="8"/>
  <c r="AN41" i="8"/>
  <c r="AF37" i="8"/>
  <c r="AE37" i="8"/>
  <c r="BL33" i="5"/>
  <c r="BK33" i="5"/>
  <c r="BL29" i="5"/>
  <c r="BK29" i="5"/>
  <c r="BC25" i="5"/>
  <c r="BB25" i="5"/>
  <c r="AO25" i="8"/>
  <c r="AN25" i="8"/>
  <c r="AF21" i="8"/>
  <c r="AE21" i="8"/>
  <c r="BL17" i="5"/>
  <c r="BK17" i="5"/>
  <c r="BL13" i="5"/>
  <c r="BK13" i="5"/>
  <c r="AF9" i="8"/>
  <c r="AE9" i="8"/>
  <c r="AF5" i="8"/>
  <c r="AE5" i="8"/>
  <c r="BW200" i="5"/>
  <c r="BV200" i="5"/>
  <c r="D200" i="8"/>
  <c r="E200" i="8"/>
  <c r="AO196" i="8"/>
  <c r="AN196" i="8"/>
  <c r="BL192" i="5"/>
  <c r="BK192" i="5"/>
  <c r="BM184" i="5"/>
  <c r="BN184" i="5"/>
  <c r="O184" i="8"/>
  <c r="P184" i="8"/>
  <c r="O180" i="8"/>
  <c r="P180" i="8"/>
  <c r="O176" i="8"/>
  <c r="P176" i="8"/>
  <c r="AH168" i="8"/>
  <c r="AG168" i="8"/>
  <c r="AP156" i="8"/>
  <c r="AQ156" i="8"/>
  <c r="BY148" i="5"/>
  <c r="BX148" i="5"/>
  <c r="O148" i="8"/>
  <c r="P148" i="8"/>
  <c r="BM140" i="5"/>
  <c r="BN140" i="5"/>
  <c r="X140" i="8"/>
  <c r="Y140" i="8"/>
  <c r="AG136" i="8"/>
  <c r="AH136" i="8"/>
  <c r="AG132" i="8"/>
  <c r="AH132" i="8"/>
  <c r="AG128" i="8"/>
  <c r="AH128" i="8"/>
  <c r="BY120" i="5"/>
  <c r="BX120" i="5"/>
  <c r="F120" i="8"/>
  <c r="G120" i="8"/>
  <c r="AP116" i="8"/>
  <c r="AQ116" i="8"/>
  <c r="BN112" i="5"/>
  <c r="BM112" i="5"/>
  <c r="N108" i="8"/>
  <c r="M108" i="8"/>
  <c r="W100" i="8"/>
  <c r="V100" i="8"/>
  <c r="AI96" i="5"/>
  <c r="AH96" i="5"/>
  <c r="BW92" i="5"/>
  <c r="BV92" i="5"/>
  <c r="AF92" i="8"/>
  <c r="AE92" i="8"/>
  <c r="D88" i="8"/>
  <c r="E88" i="8"/>
  <c r="AI84" i="5"/>
  <c r="AH84" i="5"/>
  <c r="BL80" i="5"/>
  <c r="BK80" i="5"/>
  <c r="D80" i="8"/>
  <c r="E80" i="8"/>
  <c r="BL72" i="5"/>
  <c r="BK72" i="5"/>
  <c r="W68" i="8"/>
  <c r="V68" i="8"/>
  <c r="BW60" i="5"/>
  <c r="BV60" i="5"/>
  <c r="BW56" i="5"/>
  <c r="BV56" i="5"/>
  <c r="D56" i="8"/>
  <c r="E56" i="8"/>
  <c r="AO52" i="8"/>
  <c r="AN52" i="8"/>
  <c r="BX48" i="5"/>
  <c r="BY48" i="5"/>
  <c r="E48" i="8"/>
  <c r="D48" i="8"/>
  <c r="X40" i="8"/>
  <c r="Y40" i="8"/>
  <c r="X36" i="8"/>
  <c r="Y36" i="8"/>
  <c r="BN28" i="5"/>
  <c r="BM28" i="5"/>
  <c r="AG28" i="8"/>
  <c r="AH28" i="8"/>
  <c r="AP24" i="8"/>
  <c r="AQ24" i="8"/>
  <c r="G20" i="8"/>
  <c r="F20" i="8"/>
  <c r="AP16" i="8"/>
  <c r="AQ16" i="8"/>
  <c r="O12" i="8"/>
  <c r="P12" i="8"/>
  <c r="X4" i="8"/>
  <c r="Y4" i="8"/>
  <c r="E3" i="8"/>
  <c r="D3" i="8"/>
  <c r="BY195" i="5"/>
  <c r="BX195" i="5"/>
  <c r="BY191" i="5"/>
  <c r="BX191" i="5"/>
  <c r="X191" i="8"/>
  <c r="Y191" i="8"/>
  <c r="BW179" i="5"/>
  <c r="BV179" i="5"/>
  <c r="BW175" i="5"/>
  <c r="BV175" i="5"/>
  <c r="W175" i="8"/>
  <c r="V175" i="8"/>
  <c r="N171" i="8"/>
  <c r="W163" i="8"/>
  <c r="V163" i="8"/>
  <c r="AI159" i="5"/>
  <c r="AH159" i="5"/>
  <c r="AO155" i="8"/>
  <c r="AN155" i="8"/>
  <c r="BM147" i="5"/>
  <c r="BN147" i="5"/>
  <c r="BN143" i="5"/>
  <c r="BM143" i="5"/>
  <c r="X143" i="8"/>
  <c r="Y143" i="8"/>
  <c r="F139" i="8"/>
  <c r="G139" i="8"/>
  <c r="BL131" i="5"/>
  <c r="BK131" i="5"/>
  <c r="BW127" i="5"/>
  <c r="BV127" i="5"/>
  <c r="W127" i="8"/>
  <c r="V127" i="8"/>
  <c r="E123" i="8"/>
  <c r="D123" i="8"/>
  <c r="O119" i="8"/>
  <c r="P119" i="8"/>
  <c r="X115" i="8"/>
  <c r="Y115" i="8"/>
  <c r="AP107" i="8"/>
  <c r="AQ107" i="8"/>
  <c r="F107" i="8"/>
  <c r="G107" i="8"/>
  <c r="N103" i="8"/>
  <c r="M103" i="8"/>
  <c r="W99" i="8"/>
  <c r="V99" i="8"/>
  <c r="AI95" i="5"/>
  <c r="AH95" i="5"/>
  <c r="AQ87" i="8"/>
  <c r="AP87" i="8"/>
  <c r="BN83" i="5"/>
  <c r="BM83" i="5"/>
  <c r="AP71" i="8"/>
  <c r="AQ71" i="8"/>
  <c r="BN67" i="5"/>
  <c r="BM67" i="5"/>
  <c r="AP55" i="8"/>
  <c r="AQ55" i="8"/>
  <c r="BY51" i="5"/>
  <c r="BX51" i="5"/>
  <c r="AQ39" i="8"/>
  <c r="AP39" i="8"/>
  <c r="BY35" i="5"/>
  <c r="BX35" i="5"/>
  <c r="BY31" i="5"/>
  <c r="BX31" i="5"/>
  <c r="X31" i="8"/>
  <c r="Y31" i="8"/>
  <c r="G27" i="8"/>
  <c r="F27" i="8"/>
  <c r="O23" i="8"/>
  <c r="P23" i="8"/>
  <c r="X19" i="8"/>
  <c r="Y19" i="8"/>
  <c r="AP7" i="8"/>
  <c r="AQ7" i="8"/>
  <c r="BX202" i="5"/>
  <c r="BY202" i="5"/>
  <c r="O202" i="8"/>
  <c r="P202" i="8"/>
  <c r="AH194" i="8"/>
  <c r="AG194" i="8"/>
  <c r="F194" i="8"/>
  <c r="G194" i="8"/>
  <c r="E190" i="8"/>
  <c r="D190" i="8"/>
  <c r="AI182" i="5"/>
  <c r="AH182" i="5"/>
  <c r="BL178" i="5"/>
  <c r="BK178" i="5"/>
  <c r="M178" i="8"/>
  <c r="N178" i="8"/>
  <c r="M174" i="8"/>
  <c r="N174" i="8"/>
  <c r="E170" i="8"/>
  <c r="D170" i="8"/>
  <c r="E166" i="8"/>
  <c r="D166" i="8"/>
  <c r="E162" i="8"/>
  <c r="D162" i="8"/>
  <c r="W158" i="8"/>
  <c r="V158" i="8"/>
  <c r="AE154" i="8"/>
  <c r="AF154" i="8"/>
  <c r="AO150" i="8"/>
  <c r="AN150" i="8"/>
  <c r="BW142" i="5"/>
  <c r="BV142" i="5"/>
  <c r="AI138" i="5"/>
  <c r="AH138" i="5"/>
  <c r="BL134" i="5"/>
  <c r="BK134" i="5"/>
  <c r="W134" i="8"/>
  <c r="V134" i="8"/>
  <c r="W130" i="8"/>
  <c r="V130" i="8"/>
  <c r="N126" i="8"/>
  <c r="M126" i="8"/>
  <c r="W122" i="8"/>
  <c r="V122" i="8"/>
  <c r="AF118" i="8"/>
  <c r="AE118" i="8"/>
  <c r="AF114" i="8"/>
  <c r="AE114" i="8"/>
  <c r="V110" i="8"/>
  <c r="W110" i="8"/>
  <c r="AG106" i="8"/>
  <c r="AH106" i="8"/>
  <c r="BY102" i="5"/>
  <c r="BX102" i="5"/>
  <c r="O102" i="8"/>
  <c r="P102" i="8"/>
  <c r="X98" i="8"/>
  <c r="Y98" i="8"/>
  <c r="O94" i="8"/>
  <c r="P94" i="8"/>
  <c r="G90" i="8"/>
  <c r="F90" i="8"/>
  <c r="X86" i="8"/>
  <c r="Y86" i="8"/>
  <c r="AH82" i="8"/>
  <c r="AG82" i="8"/>
  <c r="X78" i="8"/>
  <c r="Y78" i="8"/>
  <c r="BX74" i="5"/>
  <c r="BY74" i="5"/>
  <c r="BY66" i="5"/>
  <c r="BX66" i="5"/>
  <c r="AG62" i="8"/>
  <c r="AH62" i="8"/>
  <c r="O58" i="8"/>
  <c r="P58" i="8"/>
  <c r="BY54" i="5"/>
  <c r="BX54" i="5"/>
  <c r="AP54" i="8"/>
  <c r="AQ54" i="8"/>
  <c r="AP46" i="8"/>
  <c r="AQ46" i="8"/>
  <c r="X42" i="8"/>
  <c r="Y42" i="8"/>
  <c r="BM38" i="5"/>
  <c r="BN38" i="5"/>
  <c r="G34" i="8"/>
  <c r="F34" i="8"/>
  <c r="AH22" i="8"/>
  <c r="AG22" i="8"/>
  <c r="AP18" i="8"/>
  <c r="AQ18" i="8"/>
  <c r="BY14" i="5"/>
  <c r="BX14" i="5"/>
  <c r="O201" i="8"/>
  <c r="P201" i="8"/>
  <c r="BM197" i="5"/>
  <c r="BN197" i="5"/>
  <c r="G197" i="8"/>
  <c r="F197" i="8"/>
  <c r="AP189" i="8"/>
  <c r="AQ189" i="8"/>
  <c r="AH185" i="8"/>
  <c r="AG185" i="8"/>
  <c r="AP181" i="8"/>
  <c r="AQ181" i="8"/>
  <c r="BY173" i="5"/>
  <c r="BX173" i="5"/>
  <c r="BY169" i="5"/>
  <c r="BX169" i="5"/>
  <c r="BY165" i="5"/>
  <c r="BX165" i="5"/>
  <c r="O165" i="8"/>
  <c r="P165" i="8"/>
  <c r="X157" i="8"/>
  <c r="Y157" i="8"/>
  <c r="BM149" i="5"/>
  <c r="BN149" i="5"/>
  <c r="F149" i="8"/>
  <c r="G149" i="8"/>
  <c r="AG141" i="8"/>
  <c r="AH141" i="8"/>
  <c r="AP129" i="8"/>
  <c r="AQ129" i="8"/>
  <c r="BY125" i="5"/>
  <c r="BX125" i="5"/>
  <c r="BY121" i="5"/>
  <c r="BX121" i="5"/>
  <c r="BY117" i="5"/>
  <c r="BX117" i="5"/>
  <c r="O117" i="8"/>
  <c r="P117" i="8"/>
  <c r="G113" i="8"/>
  <c r="F113" i="8"/>
  <c r="F109" i="8"/>
  <c r="G109" i="8"/>
  <c r="BL105" i="5"/>
  <c r="BK105" i="5"/>
  <c r="N105" i="8"/>
  <c r="W101" i="8"/>
  <c r="V101" i="8"/>
  <c r="X97" i="8"/>
  <c r="Y97" i="8"/>
  <c r="X93" i="8"/>
  <c r="Y93" i="8"/>
  <c r="BN89" i="5"/>
  <c r="BM89" i="5"/>
  <c r="BN85" i="5"/>
  <c r="BM85" i="5"/>
  <c r="G85" i="8"/>
  <c r="F85" i="8"/>
  <c r="F81" i="8"/>
  <c r="G81" i="8"/>
  <c r="V77" i="8"/>
  <c r="W77" i="8"/>
  <c r="BN73" i="5"/>
  <c r="BM73" i="5"/>
  <c r="BN69" i="5"/>
  <c r="BM69" i="5"/>
  <c r="F69" i="8"/>
  <c r="G69" i="8"/>
  <c r="AQ65" i="8"/>
  <c r="AP65" i="8"/>
  <c r="AP49" i="8"/>
  <c r="AQ49" i="8"/>
  <c r="AP33" i="8"/>
  <c r="AQ33" i="8"/>
  <c r="AP17" i="8"/>
  <c r="AQ17" i="8"/>
  <c r="AH200" i="8"/>
  <c r="AG200" i="8"/>
  <c r="BY188" i="5"/>
  <c r="BX188" i="5"/>
  <c r="G188" i="8"/>
  <c r="F188" i="8"/>
  <c r="AP184" i="8"/>
  <c r="AQ184" i="8"/>
  <c r="BM180" i="5"/>
  <c r="BN180" i="5"/>
  <c r="BL176" i="5"/>
  <c r="BK176" i="5"/>
  <c r="D176" i="8"/>
  <c r="E176" i="8"/>
  <c r="W168" i="8"/>
  <c r="V168" i="8"/>
  <c r="AI160" i="5"/>
  <c r="AH160" i="5"/>
  <c r="BW156" i="5"/>
  <c r="BV156" i="5"/>
  <c r="AF156" i="8"/>
  <c r="AE156" i="8"/>
  <c r="AO152" i="8"/>
  <c r="AN152" i="8"/>
  <c r="BL148" i="5"/>
  <c r="BK148" i="5"/>
  <c r="G148" i="8"/>
  <c r="F148" i="8"/>
  <c r="AO144" i="8"/>
  <c r="AN144" i="8"/>
  <c r="N140" i="8"/>
  <c r="M140" i="8"/>
  <c r="V132" i="8"/>
  <c r="W132" i="8"/>
  <c r="V128" i="8"/>
  <c r="W128" i="8"/>
  <c r="AI124" i="5"/>
  <c r="AH124" i="5"/>
  <c r="BW116" i="5"/>
  <c r="BV116" i="5"/>
  <c r="AE116" i="8"/>
  <c r="AF116" i="8"/>
  <c r="AF112" i="8"/>
  <c r="AE112" i="8"/>
  <c r="E108" i="8"/>
  <c r="D108" i="8"/>
  <c r="AI104" i="5"/>
  <c r="AH104" i="5"/>
  <c r="BL100" i="5"/>
  <c r="BK100" i="5"/>
  <c r="N100" i="8"/>
  <c r="M100" i="8"/>
  <c r="BL92" i="5"/>
  <c r="BK92" i="5"/>
  <c r="V92" i="8"/>
  <c r="W92" i="8"/>
  <c r="BW80" i="5"/>
  <c r="BV80" i="5"/>
  <c r="AF80" i="8"/>
  <c r="AE80" i="8"/>
  <c r="D76" i="8"/>
  <c r="E76" i="8"/>
  <c r="AO72" i="8"/>
  <c r="AN72" i="8"/>
  <c r="BW68" i="5"/>
  <c r="BV68" i="5"/>
  <c r="N68" i="8"/>
  <c r="M68" i="8"/>
  <c r="BL60" i="5"/>
  <c r="BK60" i="5"/>
  <c r="V60" i="8"/>
  <c r="W60" i="8"/>
  <c r="BW52" i="5"/>
  <c r="BV52" i="5"/>
  <c r="AF52" i="8"/>
  <c r="AE52" i="8"/>
  <c r="AF48" i="8"/>
  <c r="AE48" i="8"/>
  <c r="AO44" i="8"/>
  <c r="AN44" i="8"/>
  <c r="BW40" i="5"/>
  <c r="BV40" i="5"/>
  <c r="AI36" i="5"/>
  <c r="AH36" i="5"/>
  <c r="BW32" i="5"/>
  <c r="BV32" i="5"/>
  <c r="BW20" i="5"/>
  <c r="BV20" i="5"/>
  <c r="AF20" i="8"/>
  <c r="AE20" i="8"/>
  <c r="AF16" i="8"/>
  <c r="AE16" i="8"/>
  <c r="AO12" i="8"/>
  <c r="AN12" i="8"/>
  <c r="BL8" i="5"/>
  <c r="BK8" i="5"/>
  <c r="N4" i="8"/>
  <c r="M4" i="8"/>
  <c r="AI3" i="5"/>
  <c r="AH3" i="5"/>
  <c r="AO199" i="8"/>
  <c r="AN199" i="8"/>
  <c r="AI187" i="5"/>
  <c r="AH187" i="5"/>
  <c r="AO183" i="8"/>
  <c r="AN183" i="8"/>
  <c r="BL175" i="5"/>
  <c r="BK175" i="5"/>
  <c r="BW171" i="5"/>
  <c r="BV171" i="5"/>
  <c r="AF171" i="8"/>
  <c r="AE171" i="8"/>
  <c r="N167" i="8"/>
  <c r="AI155" i="5"/>
  <c r="AH155" i="5"/>
  <c r="AO151" i="8"/>
  <c r="AN151" i="8"/>
  <c r="BW143" i="5"/>
  <c r="BV143" i="5"/>
  <c r="BW139" i="5"/>
  <c r="BV139" i="5"/>
  <c r="AF139" i="8"/>
  <c r="AE139" i="8"/>
  <c r="D135" i="8"/>
  <c r="E135" i="8"/>
  <c r="O127" i="8"/>
  <c r="P127" i="8"/>
  <c r="AQ119" i="8"/>
  <c r="AP119" i="8"/>
  <c r="BN111" i="5"/>
  <c r="BM111" i="5"/>
  <c r="BY107" i="5"/>
  <c r="BX107" i="5"/>
  <c r="AG107" i="8"/>
  <c r="AH107" i="8"/>
  <c r="F103" i="8"/>
  <c r="G103" i="8"/>
  <c r="O99" i="8"/>
  <c r="P99" i="8"/>
  <c r="AP83" i="8"/>
  <c r="AQ83" i="8"/>
  <c r="BN79" i="5"/>
  <c r="BM79" i="5"/>
  <c r="BY75" i="5"/>
  <c r="BX75" i="5"/>
  <c r="AG75" i="8"/>
  <c r="AH75" i="8"/>
  <c r="G71" i="8"/>
  <c r="F71" i="8"/>
  <c r="O67" i="8"/>
  <c r="P67" i="8"/>
  <c r="O63" i="8"/>
  <c r="P63" i="8"/>
  <c r="AP51" i="8"/>
  <c r="AQ51" i="8"/>
  <c r="BY47" i="5"/>
  <c r="BX47" i="5"/>
  <c r="N39" i="8"/>
  <c r="N35" i="8"/>
  <c r="M35" i="8"/>
  <c r="BW27" i="5"/>
  <c r="BV27" i="5"/>
  <c r="AF27" i="8"/>
  <c r="AE27" i="8"/>
  <c r="E23" i="8"/>
  <c r="D23" i="8"/>
  <c r="N19" i="8"/>
  <c r="M19" i="8"/>
  <c r="BW11" i="5"/>
  <c r="BV11" i="5"/>
  <c r="AF11" i="8"/>
  <c r="AE11" i="8"/>
  <c r="E7" i="8"/>
  <c r="D7" i="8"/>
  <c r="AO202" i="8"/>
  <c r="AN202" i="8"/>
  <c r="AI198" i="5"/>
  <c r="AH198" i="5"/>
  <c r="BW194" i="5"/>
  <c r="BV194" i="5"/>
  <c r="BW190" i="5"/>
  <c r="BV190" i="5"/>
  <c r="W186" i="8"/>
  <c r="V186" i="8"/>
  <c r="AO182" i="8"/>
  <c r="AN182" i="8"/>
  <c r="AI178" i="5"/>
  <c r="AH178" i="5"/>
  <c r="AO174" i="8"/>
  <c r="AN174" i="8"/>
  <c r="BL170" i="5"/>
  <c r="BK170" i="5"/>
  <c r="N170" i="8"/>
  <c r="M170" i="8"/>
  <c r="BW162" i="5"/>
  <c r="BV162" i="5"/>
  <c r="BL158" i="5"/>
  <c r="BK158" i="5"/>
  <c r="W154" i="8"/>
  <c r="V154" i="8"/>
  <c r="BW150" i="5"/>
  <c r="BV150" i="5"/>
  <c r="E150" i="8"/>
  <c r="D150" i="8"/>
  <c r="AI146" i="5"/>
  <c r="AH146" i="5"/>
  <c r="AI142" i="5"/>
  <c r="AH142" i="5"/>
  <c r="AO138" i="8"/>
  <c r="AN138" i="8"/>
  <c r="AI134" i="5"/>
  <c r="AH134" i="5"/>
  <c r="BL130" i="5"/>
  <c r="BK130" i="5"/>
  <c r="N130" i="8"/>
  <c r="M130" i="8"/>
  <c r="AO126" i="8"/>
  <c r="AN126" i="8"/>
  <c r="BL122" i="5"/>
  <c r="BK122" i="5"/>
  <c r="N122" i="8"/>
  <c r="M122" i="8"/>
  <c r="BW114" i="5"/>
  <c r="BV114" i="5"/>
  <c r="BL110" i="5"/>
  <c r="BK110" i="5"/>
  <c r="V106" i="8"/>
  <c r="W106" i="8"/>
  <c r="AP102" i="8"/>
  <c r="AQ102" i="8"/>
  <c r="AP94" i="8"/>
  <c r="AQ94" i="8"/>
  <c r="BM90" i="5"/>
  <c r="BN90" i="5"/>
  <c r="BM86" i="5"/>
  <c r="BN86" i="5"/>
  <c r="O86" i="8"/>
  <c r="P86" i="8"/>
  <c r="X82" i="8"/>
  <c r="Y82" i="8"/>
  <c r="O78" i="8"/>
  <c r="P78" i="8"/>
  <c r="BW70" i="5"/>
  <c r="BV70" i="5"/>
  <c r="AO70" i="8"/>
  <c r="AN70" i="8"/>
  <c r="AO66" i="8"/>
  <c r="AN66" i="8"/>
  <c r="BL62" i="5"/>
  <c r="BK62" i="5"/>
  <c r="W62" i="8"/>
  <c r="V62" i="8"/>
  <c r="AI58" i="5"/>
  <c r="AH58" i="5"/>
  <c r="V54" i="8"/>
  <c r="W54" i="8"/>
  <c r="AF50" i="8"/>
  <c r="AE50" i="8"/>
  <c r="AF46" i="8"/>
  <c r="AE46" i="8"/>
  <c r="BW42" i="5"/>
  <c r="BV42" i="5"/>
  <c r="BW34" i="5"/>
  <c r="BV34" i="5"/>
  <c r="BL30" i="5"/>
  <c r="BK30" i="5"/>
  <c r="W30" i="8"/>
  <c r="V30" i="8"/>
  <c r="F22" i="8"/>
  <c r="G22" i="8"/>
  <c r="AH14" i="8"/>
  <c r="AG14" i="8"/>
  <c r="D10" i="8"/>
  <c r="E10" i="8"/>
  <c r="AQ6" i="8"/>
  <c r="AP6" i="8"/>
  <c r="AP201" i="8"/>
  <c r="AQ201" i="8"/>
  <c r="BY193" i="5"/>
  <c r="BX193" i="5"/>
  <c r="F193" i="8"/>
  <c r="G193" i="8"/>
  <c r="AP177" i="8"/>
  <c r="AQ177" i="8"/>
  <c r="BM173" i="5"/>
  <c r="BN173" i="5"/>
  <c r="BM161" i="5"/>
  <c r="BN161" i="5"/>
  <c r="O157" i="8"/>
  <c r="P157" i="8"/>
  <c r="AP153" i="8"/>
  <c r="AQ153" i="8"/>
  <c r="F145" i="8"/>
  <c r="G145" i="8"/>
  <c r="G141" i="8"/>
  <c r="F141" i="8"/>
  <c r="BL137" i="5"/>
  <c r="BK137" i="5"/>
  <c r="E137" i="8"/>
  <c r="D137" i="8"/>
  <c r="X133" i="8"/>
  <c r="Y133" i="8"/>
  <c r="N133" i="8"/>
  <c r="BL125" i="5"/>
  <c r="BK125" i="5"/>
  <c r="BW113" i="5"/>
  <c r="BV113" i="5"/>
  <c r="N113" i="8"/>
  <c r="M113" i="8"/>
  <c r="AO105" i="8"/>
  <c r="AN105" i="8"/>
  <c r="AI101" i="5"/>
  <c r="AH101" i="5"/>
  <c r="BW97" i="5"/>
  <c r="BV97" i="5"/>
  <c r="M97" i="8"/>
  <c r="N97" i="8"/>
  <c r="N93" i="8"/>
  <c r="M93" i="8"/>
  <c r="AF89" i="8"/>
  <c r="AE89" i="8"/>
  <c r="BW85" i="5"/>
  <c r="BV85" i="5"/>
  <c r="BW81" i="5"/>
  <c r="BV81" i="5"/>
  <c r="AI81" i="5"/>
  <c r="AH81" i="5"/>
  <c r="AF73" i="8"/>
  <c r="AE73" i="8"/>
  <c r="BW69" i="5"/>
  <c r="BV69" i="5"/>
  <c r="M65" i="8"/>
  <c r="N65" i="8"/>
  <c r="W61" i="8"/>
  <c r="V61" i="8"/>
  <c r="BL57" i="5"/>
  <c r="BK57" i="5"/>
  <c r="D57" i="8"/>
  <c r="E57" i="8"/>
  <c r="F53" i="8"/>
  <c r="G53" i="8"/>
  <c r="D49" i="8"/>
  <c r="E49" i="8"/>
  <c r="AF45" i="8"/>
  <c r="AE45" i="8"/>
  <c r="AI41" i="5"/>
  <c r="AH41" i="5"/>
  <c r="O37" i="8"/>
  <c r="P37" i="8"/>
  <c r="G37" i="8"/>
  <c r="F37" i="8"/>
  <c r="W33" i="8"/>
  <c r="V33" i="8"/>
  <c r="AI29" i="5"/>
  <c r="AH29" i="5"/>
  <c r="O25" i="8"/>
  <c r="P25" i="8"/>
  <c r="F25" i="8"/>
  <c r="G25" i="8"/>
  <c r="M21" i="8"/>
  <c r="N21" i="8"/>
  <c r="AI17" i="5"/>
  <c r="AH17" i="5"/>
  <c r="E17" i="8"/>
  <c r="D17" i="8"/>
  <c r="AF13" i="8"/>
  <c r="AE13" i="8"/>
  <c r="AI9" i="5"/>
  <c r="AH9" i="5"/>
  <c r="E9" i="8"/>
  <c r="D9" i="8"/>
  <c r="N5" i="8"/>
  <c r="M5" i="8"/>
  <c r="AU100" i="5"/>
  <c r="W196" i="8"/>
  <c r="V196" i="8"/>
  <c r="AF180" i="8"/>
  <c r="AE180" i="8"/>
  <c r="BW168" i="5"/>
  <c r="BV168" i="5"/>
  <c r="AI164" i="5"/>
  <c r="AH164" i="5"/>
  <c r="W156" i="8"/>
  <c r="V156" i="8"/>
  <c r="AF144" i="8"/>
  <c r="AE144" i="8"/>
  <c r="D140" i="8"/>
  <c r="E140" i="8"/>
  <c r="M132" i="8"/>
  <c r="N132" i="8"/>
  <c r="W120" i="8"/>
  <c r="V120" i="8"/>
  <c r="AF108" i="8"/>
  <c r="AE108" i="8"/>
  <c r="BY100" i="5"/>
  <c r="BX100" i="5"/>
  <c r="AP96" i="8"/>
  <c r="AQ96" i="8"/>
  <c r="X84" i="8"/>
  <c r="Y84" i="8"/>
  <c r="AI68" i="5"/>
  <c r="AH68" i="5"/>
  <c r="AI56" i="5"/>
  <c r="AH56" i="5"/>
  <c r="Q120" i="5"/>
  <c r="Q43" i="5"/>
  <c r="Q19" i="5"/>
  <c r="G84" i="5"/>
  <c r="AU102" i="5"/>
  <c r="AU101" i="5"/>
  <c r="AU152" i="5"/>
  <c r="BE78" i="5"/>
  <c r="BE53" i="5"/>
  <c r="U200" i="8"/>
  <c r="AG192" i="5"/>
  <c r="AJ192" i="5" s="1"/>
  <c r="BJ188" i="5"/>
  <c r="AD188" i="8"/>
  <c r="AD184" i="8"/>
  <c r="AD176" i="8"/>
  <c r="C172" i="8"/>
  <c r="AG168" i="5"/>
  <c r="BJ164" i="5"/>
  <c r="L164" i="8"/>
  <c r="L160" i="8"/>
  <c r="AG156" i="5"/>
  <c r="AJ156" i="5" s="1"/>
  <c r="BU152" i="5"/>
  <c r="AD152" i="8"/>
  <c r="AD148" i="8"/>
  <c r="AM140" i="8"/>
  <c r="BJ136" i="5"/>
  <c r="L136" i="8"/>
  <c r="AG132" i="5"/>
  <c r="AJ132" i="5" s="1"/>
  <c r="BU128" i="5"/>
  <c r="L124" i="8"/>
  <c r="U116" i="8"/>
  <c r="U112" i="8"/>
  <c r="BJ104" i="5"/>
  <c r="BW100" i="5"/>
  <c r="BV100" i="5"/>
  <c r="E100" i="8"/>
  <c r="D100" i="8"/>
  <c r="AO96" i="8"/>
  <c r="AN96" i="8"/>
  <c r="N92" i="8"/>
  <c r="M92" i="8"/>
  <c r="W84" i="8"/>
  <c r="V84" i="8"/>
  <c r="W80" i="8"/>
  <c r="V80" i="8"/>
  <c r="AI72" i="5"/>
  <c r="AH72" i="5"/>
  <c r="BJ68" i="5"/>
  <c r="C68" i="8"/>
  <c r="AM64" i="8"/>
  <c r="L60" i="8"/>
  <c r="AG48" i="5"/>
  <c r="AJ48" i="5" s="1"/>
  <c r="U48" i="8"/>
  <c r="AD44" i="8"/>
  <c r="AM40" i="8"/>
  <c r="BJ36" i="5"/>
  <c r="C36" i="8"/>
  <c r="AM32" i="8"/>
  <c r="G32" i="8"/>
  <c r="F32" i="8"/>
  <c r="N28" i="8"/>
  <c r="M28" i="8"/>
  <c r="V20" i="8"/>
  <c r="W20" i="8"/>
  <c r="BW12" i="5"/>
  <c r="BV12" i="5"/>
  <c r="AF12" i="8"/>
  <c r="AE12" i="8"/>
  <c r="AO8" i="8"/>
  <c r="AN8" i="8"/>
  <c r="AI4" i="5"/>
  <c r="AH4" i="5"/>
  <c r="E4" i="8"/>
  <c r="D4" i="8"/>
  <c r="W3" i="8"/>
  <c r="V3" i="8"/>
  <c r="AI199" i="5"/>
  <c r="AH199" i="5"/>
  <c r="AO195" i="8"/>
  <c r="AN195" i="8"/>
  <c r="AO191" i="8"/>
  <c r="AN191" i="8"/>
  <c r="BL187" i="5"/>
  <c r="BK187" i="5"/>
  <c r="BL183" i="5"/>
  <c r="BK183" i="5"/>
  <c r="AF183" i="8"/>
  <c r="AE183" i="8"/>
  <c r="W171" i="8"/>
  <c r="V171" i="8"/>
  <c r="AI167" i="5"/>
  <c r="AH167" i="5"/>
  <c r="AO163" i="8"/>
  <c r="AN163" i="8"/>
  <c r="AO159" i="8"/>
  <c r="AN159" i="8"/>
  <c r="BL155" i="5"/>
  <c r="BK155" i="5"/>
  <c r="BW151" i="5"/>
  <c r="BV151" i="5"/>
  <c r="AF151" i="8"/>
  <c r="AE151" i="8"/>
  <c r="D147" i="8"/>
  <c r="E147" i="8"/>
  <c r="W139" i="8"/>
  <c r="V139" i="8"/>
  <c r="AI135" i="5"/>
  <c r="AH135" i="5"/>
  <c r="AO131" i="8"/>
  <c r="AN131" i="8"/>
  <c r="AO127" i="8"/>
  <c r="AN127" i="8"/>
  <c r="BL123" i="5"/>
  <c r="BK123" i="5"/>
  <c r="BW119" i="5"/>
  <c r="BV119" i="5"/>
  <c r="AF119" i="8"/>
  <c r="AE119" i="8"/>
  <c r="D115" i="8"/>
  <c r="E115" i="8"/>
  <c r="AO111" i="8"/>
  <c r="AN111" i="8"/>
  <c r="BL107" i="5"/>
  <c r="BK107" i="5"/>
  <c r="BW103" i="5"/>
  <c r="BV103" i="5"/>
  <c r="AF103" i="8"/>
  <c r="AE103" i="8"/>
  <c r="AM95" i="8"/>
  <c r="BU91" i="5"/>
  <c r="BU87" i="5"/>
  <c r="AD87" i="8"/>
  <c r="C83" i="8"/>
  <c r="BW79" i="5"/>
  <c r="BV79" i="5"/>
  <c r="BW71" i="5"/>
  <c r="BV71" i="5"/>
  <c r="AF71" i="8"/>
  <c r="AE71" i="8"/>
  <c r="D67" i="8"/>
  <c r="E67" i="8"/>
  <c r="AO63" i="8"/>
  <c r="AN63" i="8"/>
  <c r="W59" i="8"/>
  <c r="V59" i="8"/>
  <c r="AI55" i="5"/>
  <c r="AH55" i="5"/>
  <c r="BL47" i="5"/>
  <c r="BK47" i="5"/>
  <c r="W43" i="8"/>
  <c r="V43" i="8"/>
  <c r="AI39" i="5"/>
  <c r="AH39" i="5"/>
  <c r="BL31" i="5"/>
  <c r="BK31" i="5"/>
  <c r="BL23" i="5"/>
  <c r="BK23" i="5"/>
  <c r="AF23" i="8"/>
  <c r="AE23" i="8"/>
  <c r="E19" i="8"/>
  <c r="D19" i="8"/>
  <c r="AO15" i="8"/>
  <c r="AN15" i="8"/>
  <c r="W11" i="8"/>
  <c r="V11" i="8"/>
  <c r="AI7" i="5"/>
  <c r="AH7" i="5"/>
  <c r="AF202" i="8"/>
  <c r="AE202" i="8"/>
  <c r="AO198" i="8"/>
  <c r="AN198" i="8"/>
  <c r="BL190" i="5"/>
  <c r="BK190" i="5"/>
  <c r="AI186" i="5"/>
  <c r="AH186" i="5"/>
  <c r="AF182" i="8"/>
  <c r="AE182" i="8"/>
  <c r="AF178" i="8"/>
  <c r="AE178" i="8"/>
  <c r="AF174" i="8"/>
  <c r="AE174" i="8"/>
  <c r="BW170" i="5"/>
  <c r="BV170" i="5"/>
  <c r="BW166" i="5"/>
  <c r="BV166" i="5"/>
  <c r="M166" i="8"/>
  <c r="N166" i="8"/>
  <c r="AO158" i="8"/>
  <c r="AN158" i="8"/>
  <c r="BL154" i="5"/>
  <c r="BK154" i="5"/>
  <c r="N154" i="8"/>
  <c r="M154" i="8"/>
  <c r="AF146" i="8"/>
  <c r="AE146" i="8"/>
  <c r="U142" i="8"/>
  <c r="AD138" i="8"/>
  <c r="AM134" i="8"/>
  <c r="AG130" i="5"/>
  <c r="AJ130" i="5" s="1"/>
  <c r="AG126" i="5"/>
  <c r="AJ126" i="5" s="1"/>
  <c r="BU118" i="5"/>
  <c r="L118" i="8"/>
  <c r="BU110" i="5"/>
  <c r="AG106" i="5"/>
  <c r="AJ106" i="5" s="1"/>
  <c r="AD102" i="8"/>
  <c r="AM98" i="8"/>
  <c r="AD94" i="8"/>
  <c r="AD90" i="8"/>
  <c r="AG86" i="5"/>
  <c r="AJ86" i="5" s="1"/>
  <c r="AM82" i="8"/>
  <c r="AM78" i="8"/>
  <c r="BJ74" i="5"/>
  <c r="U70" i="8"/>
  <c r="F70" i="8"/>
  <c r="G70" i="8"/>
  <c r="AI66" i="5"/>
  <c r="AH66" i="5"/>
  <c r="BL58" i="5"/>
  <c r="BK58" i="5"/>
  <c r="BL54" i="5"/>
  <c r="BK54" i="5"/>
  <c r="N54" i="8"/>
  <c r="M54" i="8"/>
  <c r="V50" i="8"/>
  <c r="W50" i="8"/>
  <c r="AI46" i="5"/>
  <c r="AH46" i="5"/>
  <c r="U38" i="8"/>
  <c r="BJ34" i="5"/>
  <c r="U34" i="8"/>
  <c r="BU26" i="5"/>
  <c r="AM26" i="8"/>
  <c r="AG22" i="5"/>
  <c r="AJ22" i="5" s="1"/>
  <c r="BJ18" i="5"/>
  <c r="AD18" i="8"/>
  <c r="AG14" i="5"/>
  <c r="BU10" i="5"/>
  <c r="U6" i="8"/>
  <c r="AD201" i="8"/>
  <c r="AM197" i="8"/>
  <c r="BU189" i="5"/>
  <c r="C189" i="8"/>
  <c r="BL185" i="5"/>
  <c r="BK185" i="5"/>
  <c r="E185" i="8"/>
  <c r="D185" i="8"/>
  <c r="U181" i="8"/>
  <c r="N181" i="8"/>
  <c r="AF173" i="8"/>
  <c r="AE173" i="8"/>
  <c r="W169" i="8"/>
  <c r="V169" i="8"/>
  <c r="AF165" i="8"/>
  <c r="AE165" i="8"/>
  <c r="AE161" i="8"/>
  <c r="AF161" i="8"/>
  <c r="AO157" i="8"/>
  <c r="AN157" i="8"/>
  <c r="AE153" i="8"/>
  <c r="AF153" i="8"/>
  <c r="AO149" i="8"/>
  <c r="AN149" i="8"/>
  <c r="BW141" i="5"/>
  <c r="BV141" i="5"/>
  <c r="BW137" i="5"/>
  <c r="BV137" i="5"/>
  <c r="BW133" i="5"/>
  <c r="BV133" i="5"/>
  <c r="D129" i="8"/>
  <c r="E129" i="8"/>
  <c r="AG125" i="5"/>
  <c r="AJ125" i="5" s="1"/>
  <c r="AG121" i="5"/>
  <c r="AM113" i="8"/>
  <c r="BJ109" i="5"/>
  <c r="AD105" i="8"/>
  <c r="AM101" i="8"/>
  <c r="AM97" i="8"/>
  <c r="BJ93" i="5"/>
  <c r="AM85" i="8"/>
  <c r="AD81" i="8"/>
  <c r="AM77" i="8"/>
  <c r="U73" i="8"/>
  <c r="BA69" i="5"/>
  <c r="AM69" i="8"/>
  <c r="BU61" i="5"/>
  <c r="BU57" i="5"/>
  <c r="BU53" i="5"/>
  <c r="AM53" i="8"/>
  <c r="BU45" i="5"/>
  <c r="BU41" i="5"/>
  <c r="BU37" i="5"/>
  <c r="BU33" i="5"/>
  <c r="L33" i="8"/>
  <c r="BA29" i="5"/>
  <c r="BU25" i="5"/>
  <c r="BU21" i="5"/>
  <c r="BU17" i="5"/>
  <c r="BU13" i="5"/>
  <c r="BU9" i="5"/>
  <c r="BU5" i="5"/>
  <c r="BL200" i="5"/>
  <c r="BK200" i="5"/>
  <c r="N200" i="8"/>
  <c r="M200" i="8"/>
  <c r="N196" i="8"/>
  <c r="M196" i="8"/>
  <c r="M192" i="8"/>
  <c r="N192" i="8"/>
  <c r="W188" i="8"/>
  <c r="V188" i="8"/>
  <c r="V180" i="8"/>
  <c r="W180" i="8"/>
  <c r="V176" i="8"/>
  <c r="W176" i="8"/>
  <c r="BL168" i="5"/>
  <c r="BK168" i="5"/>
  <c r="D168" i="8"/>
  <c r="E168" i="8"/>
  <c r="AO164" i="8"/>
  <c r="AN164" i="8"/>
  <c r="BL160" i="5"/>
  <c r="BK160" i="5"/>
  <c r="E160" i="8"/>
  <c r="D160" i="8"/>
  <c r="W152" i="8"/>
  <c r="V152" i="8"/>
  <c r="AI144" i="5"/>
  <c r="AH144" i="5"/>
  <c r="BW140" i="5"/>
  <c r="BV140" i="5"/>
  <c r="AE140" i="8"/>
  <c r="AF140" i="8"/>
  <c r="AO136" i="8"/>
  <c r="AN136" i="8"/>
  <c r="BL132" i="5"/>
  <c r="BK132" i="5"/>
  <c r="AM128" i="8"/>
  <c r="AM124" i="8"/>
  <c r="BJ120" i="5"/>
  <c r="L120" i="8"/>
  <c r="L116" i="8"/>
  <c r="L112" i="8"/>
  <c r="AG108" i="5"/>
  <c r="AJ108" i="5" s="1"/>
  <c r="AM92" i="8"/>
  <c r="BJ88" i="5"/>
  <c r="L88" i="8"/>
  <c r="AM84" i="8"/>
  <c r="L80" i="8"/>
  <c r="AG76" i="5"/>
  <c r="AJ76" i="5" s="1"/>
  <c r="BJ64" i="5"/>
  <c r="AG60" i="5"/>
  <c r="AJ60" i="5" s="1"/>
  <c r="C60" i="8"/>
  <c r="L56" i="8"/>
  <c r="L48" i="8"/>
  <c r="AD40" i="8"/>
  <c r="BU36" i="5"/>
  <c r="BJ32" i="5"/>
  <c r="C28" i="8"/>
  <c r="L24" i="8"/>
  <c r="BJ12" i="5"/>
  <c r="U12" i="8"/>
  <c r="AD8" i="8"/>
  <c r="BJ4" i="5"/>
  <c r="BU199" i="5"/>
  <c r="AI195" i="5"/>
  <c r="AH195" i="5"/>
  <c r="AF191" i="8"/>
  <c r="AE191" i="8"/>
  <c r="BU183" i="5"/>
  <c r="BJ179" i="5"/>
  <c r="AD179" i="8"/>
  <c r="C175" i="8"/>
  <c r="E175" i="8"/>
  <c r="D175" i="8"/>
  <c r="L171" i="8"/>
  <c r="U167" i="8"/>
  <c r="AG163" i="5"/>
  <c r="AJ163" i="5" s="1"/>
  <c r="AD159" i="8"/>
  <c r="BJ151" i="5"/>
  <c r="BU147" i="5"/>
  <c r="AD147" i="8"/>
  <c r="C143" i="8"/>
  <c r="L139" i="8"/>
  <c r="U135" i="8"/>
  <c r="AG131" i="5"/>
  <c r="AJ131" i="5" s="1"/>
  <c r="AD127" i="8"/>
  <c r="BJ119" i="5"/>
  <c r="BJ115" i="5"/>
  <c r="AD115" i="8"/>
  <c r="E111" i="8"/>
  <c r="D111" i="8"/>
  <c r="L107" i="8"/>
  <c r="U103" i="8"/>
  <c r="AG99" i="5"/>
  <c r="AJ99" i="5" s="1"/>
  <c r="AD95" i="8"/>
  <c r="F95" i="8"/>
  <c r="G95" i="8"/>
  <c r="AO91" i="8"/>
  <c r="AN91" i="8"/>
  <c r="BL87" i="5"/>
  <c r="BK87" i="5"/>
  <c r="BW83" i="5"/>
  <c r="BV83" i="5"/>
  <c r="AF83" i="8"/>
  <c r="AE83" i="8"/>
  <c r="D79" i="8"/>
  <c r="E79" i="8"/>
  <c r="AO75" i="8"/>
  <c r="AN75" i="8"/>
  <c r="BL71" i="5"/>
  <c r="BK71" i="5"/>
  <c r="BW67" i="5"/>
  <c r="BV67" i="5"/>
  <c r="AF67" i="8"/>
  <c r="AE67" i="8"/>
  <c r="D63" i="8"/>
  <c r="E63" i="8"/>
  <c r="AO59" i="8"/>
  <c r="AN59" i="8"/>
  <c r="BL55" i="5"/>
  <c r="BK55" i="5"/>
  <c r="BL51" i="5"/>
  <c r="BK51" i="5"/>
  <c r="AE51" i="8"/>
  <c r="AF51" i="8"/>
  <c r="C47" i="8"/>
  <c r="AO43" i="8"/>
  <c r="AN43" i="8"/>
  <c r="BL39" i="5"/>
  <c r="BK39" i="5"/>
  <c r="BL35" i="5"/>
  <c r="BK35" i="5"/>
  <c r="AF35" i="8"/>
  <c r="AE35" i="8"/>
  <c r="AM27" i="8"/>
  <c r="BU23" i="5"/>
  <c r="BU19" i="5"/>
  <c r="AD19" i="8"/>
  <c r="E15" i="8"/>
  <c r="D15" i="8"/>
  <c r="AM11" i="8"/>
  <c r="BU7" i="5"/>
  <c r="D198" i="8"/>
  <c r="E198" i="8"/>
  <c r="AI194" i="5"/>
  <c r="AH194" i="5"/>
  <c r="AI190" i="5"/>
  <c r="AH190" i="5"/>
  <c r="AO186" i="8"/>
  <c r="AN186" i="8"/>
  <c r="BW178" i="5"/>
  <c r="BV178" i="5"/>
  <c r="V174" i="8"/>
  <c r="W174" i="8"/>
  <c r="AF170" i="8"/>
  <c r="AE170" i="8"/>
  <c r="AO166" i="8"/>
  <c r="AN166" i="8"/>
  <c r="AI162" i="5"/>
  <c r="AH162" i="5"/>
  <c r="AI158" i="5"/>
  <c r="AH158" i="5"/>
  <c r="AO154" i="8"/>
  <c r="AN154" i="8"/>
  <c r="N150" i="8"/>
  <c r="M150" i="8"/>
  <c r="W146" i="8"/>
  <c r="V146" i="8"/>
  <c r="N142" i="8"/>
  <c r="M142" i="8"/>
  <c r="E138" i="8"/>
  <c r="D138" i="8"/>
  <c r="E134" i="8"/>
  <c r="D134" i="8"/>
  <c r="C126" i="8"/>
  <c r="AM114" i="8"/>
  <c r="AD110" i="8"/>
  <c r="BU106" i="5"/>
  <c r="BJ102" i="5"/>
  <c r="U102" i="8"/>
  <c r="BW94" i="5"/>
  <c r="BV94" i="5"/>
  <c r="U90" i="8"/>
  <c r="AD86" i="8"/>
  <c r="BU78" i="5"/>
  <c r="AG78" i="5"/>
  <c r="AJ78" i="5" s="1"/>
  <c r="AM74" i="8"/>
  <c r="AD66" i="8"/>
  <c r="BU62" i="5"/>
  <c r="AM58" i="8"/>
  <c r="BJ50" i="5"/>
  <c r="L50" i="8"/>
  <c r="BJ42" i="5"/>
  <c r="AM42" i="8"/>
  <c r="AI34" i="5"/>
  <c r="AH34" i="5"/>
  <c r="BW30" i="5"/>
  <c r="BV30" i="5"/>
  <c r="W26" i="8"/>
  <c r="V26" i="8"/>
  <c r="M14" i="8"/>
  <c r="N14" i="8"/>
  <c r="AF10" i="8"/>
  <c r="AE10" i="8"/>
  <c r="BW6" i="5"/>
  <c r="BV6" i="5"/>
  <c r="N6" i="8"/>
  <c r="M6" i="8"/>
  <c r="AI201" i="5"/>
  <c r="AH201" i="5"/>
  <c r="AI193" i="5"/>
  <c r="AH193" i="5"/>
  <c r="AO185" i="8"/>
  <c r="AN185" i="8"/>
  <c r="AI181" i="5"/>
  <c r="AH181" i="5"/>
  <c r="V177" i="8"/>
  <c r="W177" i="8"/>
  <c r="W173" i="8"/>
  <c r="V173" i="8"/>
  <c r="BL169" i="5"/>
  <c r="BK169" i="5"/>
  <c r="E169" i="8"/>
  <c r="D169" i="8"/>
  <c r="U165" i="8"/>
  <c r="U161" i="8"/>
  <c r="AD157" i="8"/>
  <c r="U153" i="8"/>
  <c r="AD149" i="8"/>
  <c r="BJ145" i="5"/>
  <c r="AG145" i="5"/>
  <c r="AJ145" i="5" s="1"/>
  <c r="AM141" i="8"/>
  <c r="AD137" i="8"/>
  <c r="AM133" i="8"/>
  <c r="U125" i="8"/>
  <c r="BJ121" i="5"/>
  <c r="C121" i="8"/>
  <c r="U117" i="8"/>
  <c r="AD113" i="8"/>
  <c r="AG109" i="5"/>
  <c r="AJ109" i="5" s="1"/>
  <c r="AG105" i="5"/>
  <c r="AJ105" i="5" s="1"/>
  <c r="AD93" i="8"/>
  <c r="L89" i="8"/>
  <c r="U85" i="8"/>
  <c r="U81" i="8"/>
  <c r="AD77" i="8"/>
  <c r="L73" i="8"/>
  <c r="U69" i="8"/>
  <c r="BJ65" i="5"/>
  <c r="BJ61" i="5"/>
  <c r="AM57" i="8"/>
  <c r="AG53" i="5"/>
  <c r="AD49" i="8"/>
  <c r="L45" i="8"/>
  <c r="AD41" i="8"/>
  <c r="BA37" i="5"/>
  <c r="AM37" i="8"/>
  <c r="L29" i="8"/>
  <c r="AD25" i="8"/>
  <c r="BA21" i="5"/>
  <c r="AM21" i="8"/>
  <c r="L13" i="8"/>
  <c r="AM9" i="8"/>
  <c r="AM5" i="8"/>
  <c r="AM200" i="8"/>
  <c r="BJ196" i="5"/>
  <c r="C196" i="8"/>
  <c r="AM192" i="8"/>
  <c r="G192" i="8"/>
  <c r="F192" i="8"/>
  <c r="BL184" i="5"/>
  <c r="BK184" i="5"/>
  <c r="N184" i="8"/>
  <c r="M184" i="8"/>
  <c r="N180" i="8"/>
  <c r="M180" i="8"/>
  <c r="N176" i="8"/>
  <c r="M176" i="8"/>
  <c r="AI172" i="5"/>
  <c r="AH172" i="5"/>
  <c r="AF168" i="8"/>
  <c r="AE168" i="8"/>
  <c r="AO156" i="8"/>
  <c r="AN156" i="8"/>
  <c r="AI152" i="5"/>
  <c r="AH152" i="5"/>
  <c r="BW148" i="5"/>
  <c r="BV148" i="5"/>
  <c r="N148" i="8"/>
  <c r="M148" i="8"/>
  <c r="BL140" i="5"/>
  <c r="BK140" i="5"/>
  <c r="W140" i="8"/>
  <c r="V140" i="8"/>
  <c r="AF136" i="8"/>
  <c r="AE136" i="8"/>
  <c r="AE132" i="8"/>
  <c r="AF132" i="8"/>
  <c r="AF128" i="8"/>
  <c r="AE128" i="8"/>
  <c r="BW120" i="5"/>
  <c r="BV120" i="5"/>
  <c r="E120" i="8"/>
  <c r="D120" i="8"/>
  <c r="AO116" i="8"/>
  <c r="AN116" i="8"/>
  <c r="BL112" i="5"/>
  <c r="BK112" i="5"/>
  <c r="U104" i="8"/>
  <c r="BU96" i="5"/>
  <c r="U96" i="8"/>
  <c r="AG88" i="5"/>
  <c r="AJ88" i="5" s="1"/>
  <c r="BJ84" i="5"/>
  <c r="C84" i="8"/>
  <c r="AM80" i="8"/>
  <c r="L76" i="8"/>
  <c r="U72" i="8"/>
  <c r="AG64" i="5"/>
  <c r="AJ64" i="5" s="1"/>
  <c r="U64" i="8"/>
  <c r="AD60" i="8"/>
  <c r="AM56" i="8"/>
  <c r="AG52" i="5"/>
  <c r="AJ52" i="5" s="1"/>
  <c r="BW48" i="5"/>
  <c r="BV48" i="5"/>
  <c r="C48" i="8"/>
  <c r="AI40" i="5"/>
  <c r="AH40" i="5"/>
  <c r="W40" i="8"/>
  <c r="V40" i="8"/>
  <c r="V36" i="8"/>
  <c r="W36" i="8"/>
  <c r="BL28" i="5"/>
  <c r="BK28" i="5"/>
  <c r="AF28" i="8"/>
  <c r="AE28" i="8"/>
  <c r="AO24" i="8"/>
  <c r="AN24" i="8"/>
  <c r="AI20" i="5"/>
  <c r="AH20" i="5"/>
  <c r="E20" i="8"/>
  <c r="D20" i="8"/>
  <c r="AO16" i="8"/>
  <c r="AN16" i="8"/>
  <c r="M12" i="8"/>
  <c r="N12" i="8"/>
  <c r="W4" i="8"/>
  <c r="V4" i="8"/>
  <c r="C3" i="8"/>
  <c r="BW195" i="5"/>
  <c r="BV195" i="5"/>
  <c r="BW191" i="5"/>
  <c r="BV191" i="5"/>
  <c r="V191" i="8"/>
  <c r="W191" i="8"/>
  <c r="L183" i="8"/>
  <c r="U179" i="8"/>
  <c r="AG175" i="5"/>
  <c r="AJ175" i="5" s="1"/>
  <c r="AM171" i="8"/>
  <c r="BU163" i="5"/>
  <c r="BU159" i="5"/>
  <c r="U159" i="8"/>
  <c r="BL147" i="5"/>
  <c r="BK147" i="5"/>
  <c r="BL143" i="5"/>
  <c r="BK143" i="5"/>
  <c r="W143" i="8"/>
  <c r="V143" i="8"/>
  <c r="D139" i="8"/>
  <c r="E139" i="8"/>
  <c r="L135" i="8"/>
  <c r="U131" i="8"/>
  <c r="AG127" i="5"/>
  <c r="AJ127" i="5" s="1"/>
  <c r="AM123" i="8"/>
  <c r="N123" i="8"/>
  <c r="N119" i="8"/>
  <c r="M119" i="8"/>
  <c r="V115" i="8"/>
  <c r="W115" i="8"/>
  <c r="AI111" i="5"/>
  <c r="AH111" i="5"/>
  <c r="AO107" i="8"/>
  <c r="AN107" i="8"/>
  <c r="BU99" i="5"/>
  <c r="BU95" i="5"/>
  <c r="U95" i="8"/>
  <c r="AO87" i="8"/>
  <c r="AN87" i="8"/>
  <c r="BL83" i="5"/>
  <c r="BK83" i="5"/>
  <c r="AI79" i="5"/>
  <c r="AH79" i="5"/>
  <c r="AO71" i="8"/>
  <c r="AN71" i="8"/>
  <c r="BL67" i="5"/>
  <c r="BK67" i="5"/>
  <c r="AI63" i="5"/>
  <c r="AH63" i="5"/>
  <c r="AO55" i="8"/>
  <c r="AN55" i="8"/>
  <c r="BW51" i="5"/>
  <c r="BV51" i="5"/>
  <c r="AI47" i="5"/>
  <c r="AH47" i="5"/>
  <c r="AO39" i="8"/>
  <c r="AN39" i="8"/>
  <c r="BW35" i="5"/>
  <c r="BV35" i="5"/>
  <c r="BW31" i="5"/>
  <c r="BV31" i="5"/>
  <c r="W31" i="8"/>
  <c r="V31" i="8"/>
  <c r="D27" i="8"/>
  <c r="E27" i="8"/>
  <c r="M23" i="8"/>
  <c r="N23" i="8"/>
  <c r="V19" i="8"/>
  <c r="W19" i="8"/>
  <c r="AI15" i="5"/>
  <c r="AH15" i="5"/>
  <c r="AO7" i="8"/>
  <c r="AN7" i="8"/>
  <c r="BW202" i="5"/>
  <c r="BV202" i="5"/>
  <c r="M202" i="8"/>
  <c r="N202" i="8"/>
  <c r="AF194" i="8"/>
  <c r="AE194" i="8"/>
  <c r="U190" i="8"/>
  <c r="AD186" i="8"/>
  <c r="BJ182" i="5"/>
  <c r="L182" i="8"/>
  <c r="BJ174" i="5"/>
  <c r="U170" i="8"/>
  <c r="AD166" i="8"/>
  <c r="AD162" i="8"/>
  <c r="BU158" i="5"/>
  <c r="C158" i="8"/>
  <c r="BJ146" i="5"/>
  <c r="L146" i="8"/>
  <c r="AM142" i="8"/>
  <c r="BJ138" i="5"/>
  <c r="L138" i="8"/>
  <c r="BU130" i="5"/>
  <c r="BJ126" i="5"/>
  <c r="BU122" i="5"/>
  <c r="C122" i="8"/>
  <c r="C118" i="8"/>
  <c r="C114" i="8"/>
  <c r="AF106" i="8"/>
  <c r="AE106" i="8"/>
  <c r="BW102" i="5"/>
  <c r="BV102" i="5"/>
  <c r="N102" i="8"/>
  <c r="M102" i="8"/>
  <c r="W98" i="8"/>
  <c r="V98" i="8"/>
  <c r="N94" i="8"/>
  <c r="M94" i="8"/>
  <c r="D90" i="8"/>
  <c r="E90" i="8"/>
  <c r="V86" i="8"/>
  <c r="W86" i="8"/>
  <c r="AF82" i="8"/>
  <c r="AE82" i="8"/>
  <c r="W78" i="8"/>
  <c r="V78" i="8"/>
  <c r="BW74" i="5"/>
  <c r="BV74" i="5"/>
  <c r="BW66" i="5"/>
  <c r="BV66" i="5"/>
  <c r="AF62" i="8"/>
  <c r="AE62" i="8"/>
  <c r="N58" i="8"/>
  <c r="M58" i="8"/>
  <c r="BW54" i="5"/>
  <c r="BV54" i="5"/>
  <c r="AO54" i="8"/>
  <c r="AN54" i="8"/>
  <c r="AI50" i="5"/>
  <c r="AH50" i="5"/>
  <c r="AO46" i="8"/>
  <c r="AN46" i="8"/>
  <c r="W42" i="8"/>
  <c r="V42" i="8"/>
  <c r="BL38" i="5"/>
  <c r="BK38" i="5"/>
  <c r="AI38" i="5"/>
  <c r="AH38" i="5"/>
  <c r="AD30" i="8"/>
  <c r="G30" i="8"/>
  <c r="F30" i="8"/>
  <c r="AF22" i="8"/>
  <c r="AE22" i="8"/>
  <c r="AO18" i="8"/>
  <c r="AN18" i="8"/>
  <c r="BW14" i="5"/>
  <c r="BV14" i="5"/>
  <c r="N201" i="8"/>
  <c r="M201" i="8"/>
  <c r="BL197" i="5"/>
  <c r="BK197" i="5"/>
  <c r="D197" i="8"/>
  <c r="E197" i="8"/>
  <c r="AO189" i="8"/>
  <c r="AN189" i="8"/>
  <c r="AF185" i="8"/>
  <c r="AE185" i="8"/>
  <c r="AO181" i="8"/>
  <c r="AN181" i="8"/>
  <c r="BW173" i="5"/>
  <c r="BV173" i="5"/>
  <c r="BW169" i="5"/>
  <c r="BV169" i="5"/>
  <c r="BW165" i="5"/>
  <c r="BV165" i="5"/>
  <c r="N165" i="8"/>
  <c r="M165" i="8"/>
  <c r="W157" i="8"/>
  <c r="V157" i="8"/>
  <c r="BJ153" i="5"/>
  <c r="C153" i="8"/>
  <c r="BL149" i="5"/>
  <c r="BK149" i="5"/>
  <c r="D149" i="8"/>
  <c r="E149" i="8"/>
  <c r="AF141" i="8"/>
  <c r="AE141" i="8"/>
  <c r="AI137" i="5"/>
  <c r="AH137" i="5"/>
  <c r="AO129" i="8"/>
  <c r="AN129" i="8"/>
  <c r="BW125" i="5"/>
  <c r="BV125" i="5"/>
  <c r="BW121" i="5"/>
  <c r="BV121" i="5"/>
  <c r="BW117" i="5"/>
  <c r="BV117" i="5"/>
  <c r="M117" i="8"/>
  <c r="N117" i="8"/>
  <c r="D113" i="8"/>
  <c r="E113" i="8"/>
  <c r="E109" i="8"/>
  <c r="D109" i="8"/>
  <c r="L105" i="8"/>
  <c r="BJ101" i="5"/>
  <c r="V97" i="8"/>
  <c r="W97" i="8"/>
  <c r="W93" i="8"/>
  <c r="V93" i="8"/>
  <c r="BL89" i="5"/>
  <c r="BK89" i="5"/>
  <c r="BL85" i="5"/>
  <c r="BK85" i="5"/>
  <c r="E85" i="8"/>
  <c r="D85" i="8"/>
  <c r="E81" i="8"/>
  <c r="D81" i="8"/>
  <c r="C77" i="8"/>
  <c r="BL73" i="5"/>
  <c r="BK73" i="5"/>
  <c r="BL69" i="5"/>
  <c r="BK69" i="5"/>
  <c r="D69" i="8"/>
  <c r="E69" i="8"/>
  <c r="AO65" i="8"/>
  <c r="AN65" i="8"/>
  <c r="AI61" i="5"/>
  <c r="AH61" i="5"/>
  <c r="AO49" i="8"/>
  <c r="AN49" i="8"/>
  <c r="AO33" i="8"/>
  <c r="AN33" i="8"/>
  <c r="AO17" i="8"/>
  <c r="AN17" i="8"/>
  <c r="AF200" i="8"/>
  <c r="AE200" i="8"/>
  <c r="BW188" i="5"/>
  <c r="BV188" i="5"/>
  <c r="D188" i="8"/>
  <c r="E188" i="8"/>
  <c r="AO184" i="8"/>
  <c r="AN184" i="8"/>
  <c r="BL180" i="5"/>
  <c r="BK180" i="5"/>
  <c r="AM176" i="8"/>
  <c r="L172" i="8"/>
  <c r="U164" i="8"/>
  <c r="U160" i="8"/>
  <c r="BJ152" i="5"/>
  <c r="C152" i="8"/>
  <c r="AM148" i="8"/>
  <c r="BJ144" i="5"/>
  <c r="C144" i="8"/>
  <c r="U136" i="8"/>
  <c r="AG128" i="5"/>
  <c r="AJ128" i="5" s="1"/>
  <c r="BJ124" i="5"/>
  <c r="U124" i="8"/>
  <c r="AD120" i="8"/>
  <c r="AM108" i="8"/>
  <c r="BU104" i="5"/>
  <c r="L104" i="8"/>
  <c r="AG100" i="5"/>
  <c r="AJ100" i="5" s="1"/>
  <c r="L96" i="8"/>
  <c r="AG92" i="5"/>
  <c r="BU88" i="5"/>
  <c r="AD88" i="8"/>
  <c r="AD84" i="8"/>
  <c r="AM76" i="8"/>
  <c r="BU72" i="5"/>
  <c r="L72" i="8"/>
  <c r="AM68" i="8"/>
  <c r="L64" i="8"/>
  <c r="AD56" i="8"/>
  <c r="BJ52" i="5"/>
  <c r="BJ48" i="5"/>
  <c r="AG44" i="5"/>
  <c r="AJ44" i="5" s="1"/>
  <c r="C44" i="8"/>
  <c r="L40" i="8"/>
  <c r="L36" i="8"/>
  <c r="L32" i="8"/>
  <c r="U28" i="8"/>
  <c r="AD24" i="8"/>
  <c r="BJ20" i="5"/>
  <c r="BJ16" i="5"/>
  <c r="AG12" i="5"/>
  <c r="AJ12" i="5" s="1"/>
  <c r="C12" i="8"/>
  <c r="L8" i="8"/>
  <c r="BU3" i="5"/>
  <c r="AD3" i="8"/>
  <c r="C199" i="8"/>
  <c r="BJ191" i="5"/>
  <c r="BU187" i="5"/>
  <c r="AD187" i="8"/>
  <c r="C183" i="8"/>
  <c r="E183" i="8"/>
  <c r="D183" i="8"/>
  <c r="L179" i="8"/>
  <c r="L175" i="8"/>
  <c r="AG171" i="5"/>
  <c r="AJ171" i="5" s="1"/>
  <c r="AM167" i="8"/>
  <c r="BJ159" i="5"/>
  <c r="BU155" i="5"/>
  <c r="AD155" i="8"/>
  <c r="C151" i="8"/>
  <c r="L147" i="8"/>
  <c r="L143" i="8"/>
  <c r="AG139" i="5"/>
  <c r="AJ139" i="5" s="1"/>
  <c r="AM135" i="8"/>
  <c r="N135" i="8"/>
  <c r="N127" i="8"/>
  <c r="M127" i="8"/>
  <c r="AI123" i="5"/>
  <c r="AH123" i="5"/>
  <c r="AO119" i="8"/>
  <c r="AN119" i="8"/>
  <c r="BL111" i="5"/>
  <c r="BK111" i="5"/>
  <c r="BW107" i="5"/>
  <c r="BV107" i="5"/>
  <c r="AF107" i="8"/>
  <c r="AE107" i="8"/>
  <c r="E103" i="8"/>
  <c r="D103" i="8"/>
  <c r="N99" i="8"/>
  <c r="M99" i="8"/>
  <c r="AI91" i="5"/>
  <c r="AH91" i="5"/>
  <c r="AO83" i="8"/>
  <c r="AN83" i="8"/>
  <c r="BL79" i="5"/>
  <c r="BK79" i="5"/>
  <c r="BW75" i="5"/>
  <c r="BV75" i="5"/>
  <c r="AF75" i="8"/>
  <c r="AE75" i="8"/>
  <c r="E71" i="8"/>
  <c r="D71" i="8"/>
  <c r="N67" i="8"/>
  <c r="M67" i="8"/>
  <c r="N63" i="8"/>
  <c r="M63" i="8"/>
  <c r="AI59" i="5"/>
  <c r="AH59" i="5"/>
  <c r="AO51" i="8"/>
  <c r="AN51" i="8"/>
  <c r="BW47" i="5"/>
  <c r="BV47" i="5"/>
  <c r="AI43" i="5"/>
  <c r="AH43" i="5"/>
  <c r="AM35" i="8"/>
  <c r="L31" i="8"/>
  <c r="AG27" i="5"/>
  <c r="AJ27" i="5" s="1"/>
  <c r="AM19" i="8"/>
  <c r="L15" i="8"/>
  <c r="AG11" i="5"/>
  <c r="AJ11" i="5" s="1"/>
  <c r="BJ202" i="5"/>
  <c r="BJ198" i="5"/>
  <c r="L198" i="8"/>
  <c r="U194" i="8"/>
  <c r="L190" i="8"/>
  <c r="C186" i="8"/>
  <c r="AM178" i="8"/>
  <c r="BU174" i="5"/>
  <c r="AG170" i="5"/>
  <c r="AJ170" i="5" s="1"/>
  <c r="BJ166" i="5"/>
  <c r="U166" i="8"/>
  <c r="U162" i="8"/>
  <c r="L158" i="8"/>
  <c r="C154" i="8"/>
  <c r="AD150" i="8"/>
  <c r="AM146" i="8"/>
  <c r="AD142" i="8"/>
  <c r="BU138" i="5"/>
  <c r="BU134" i="5"/>
  <c r="L134" i="8"/>
  <c r="BU126" i="5"/>
  <c r="AG122" i="5"/>
  <c r="AJ122" i="5" s="1"/>
  <c r="BJ118" i="5"/>
  <c r="U118" i="8"/>
  <c r="U114" i="8"/>
  <c r="L110" i="8"/>
  <c r="AO102" i="8"/>
  <c r="AN102" i="8"/>
  <c r="AO94" i="8"/>
  <c r="AN94" i="8"/>
  <c r="BL90" i="5"/>
  <c r="BK90" i="5"/>
  <c r="BL86" i="5"/>
  <c r="BK86" i="5"/>
  <c r="N86" i="8"/>
  <c r="M86" i="8"/>
  <c r="V82" i="8"/>
  <c r="W82" i="8"/>
  <c r="N78" i="8"/>
  <c r="M78" i="8"/>
  <c r="AD70" i="8"/>
  <c r="BJ66" i="5"/>
  <c r="L66" i="8"/>
  <c r="AG62" i="5"/>
  <c r="AJ62" i="5" s="1"/>
  <c r="BU58" i="5"/>
  <c r="C58" i="8"/>
  <c r="C54" i="8"/>
  <c r="C50" i="8"/>
  <c r="C46" i="8"/>
  <c r="L42" i="8"/>
  <c r="AD38" i="8"/>
  <c r="AD34" i="8"/>
  <c r="AG30" i="5"/>
  <c r="G26" i="8"/>
  <c r="F26" i="8"/>
  <c r="D22" i="8"/>
  <c r="E22" i="8"/>
  <c r="AF14" i="8"/>
  <c r="AE14" i="8"/>
  <c r="C10" i="8"/>
  <c r="AO6" i="8"/>
  <c r="AN6" i="8"/>
  <c r="AO201" i="8"/>
  <c r="AN201" i="8"/>
  <c r="AI197" i="5"/>
  <c r="AH197" i="5"/>
  <c r="BW193" i="5"/>
  <c r="BV193" i="5"/>
  <c r="E193" i="8"/>
  <c r="D193" i="8"/>
  <c r="AI189" i="5"/>
  <c r="AH189" i="5"/>
  <c r="AI185" i="5"/>
  <c r="AH185" i="5"/>
  <c r="AO177" i="8"/>
  <c r="AN177" i="8"/>
  <c r="BL173" i="5"/>
  <c r="BK173" i="5"/>
  <c r="BL161" i="5"/>
  <c r="BK161" i="5"/>
  <c r="AI161" i="5"/>
  <c r="AH161" i="5"/>
  <c r="AO153" i="8"/>
  <c r="AN153" i="8"/>
  <c r="AI149" i="5"/>
  <c r="AH149" i="5"/>
  <c r="D145" i="8"/>
  <c r="E145" i="8"/>
  <c r="E141" i="8"/>
  <c r="D141" i="8"/>
  <c r="L137" i="8"/>
  <c r="N137" i="8"/>
  <c r="V133" i="8"/>
  <c r="W133" i="8"/>
  <c r="AD129" i="8"/>
  <c r="AM125" i="8"/>
  <c r="AD121" i="8"/>
  <c r="AM117" i="8"/>
  <c r="BU109" i="5"/>
  <c r="BU105" i="5"/>
  <c r="BU101" i="5"/>
  <c r="L101" i="8"/>
  <c r="BU93" i="5"/>
  <c r="BU89" i="5"/>
  <c r="AM89" i="8"/>
  <c r="AG85" i="5"/>
  <c r="AJ85" i="5" s="1"/>
  <c r="BU77" i="5"/>
  <c r="BU73" i="5"/>
  <c r="AM73" i="8"/>
  <c r="AG69" i="5"/>
  <c r="AJ69" i="5" s="1"/>
  <c r="D65" i="8"/>
  <c r="E65" i="8"/>
  <c r="C61" i="8"/>
  <c r="AG57" i="5"/>
  <c r="AJ57" i="5" s="1"/>
  <c r="BJ53" i="5"/>
  <c r="L49" i="8"/>
  <c r="AG45" i="5"/>
  <c r="AJ45" i="5" s="1"/>
  <c r="C45" i="8"/>
  <c r="L41" i="8"/>
  <c r="F41" i="8"/>
  <c r="G41" i="8"/>
  <c r="N37" i="8"/>
  <c r="M37" i="8"/>
  <c r="AG33" i="5"/>
  <c r="AJ33" i="5" s="1"/>
  <c r="C33" i="8"/>
  <c r="AD29" i="8"/>
  <c r="G29" i="8"/>
  <c r="F29" i="8"/>
  <c r="N25" i="8"/>
  <c r="M25" i="8"/>
  <c r="AG21" i="5"/>
  <c r="AJ21" i="5" s="1"/>
  <c r="D21" i="8"/>
  <c r="E21" i="8"/>
  <c r="U17" i="8"/>
  <c r="AG13" i="5"/>
  <c r="AJ13" i="5" s="1"/>
  <c r="G13" i="8"/>
  <c r="F13" i="8"/>
  <c r="O9" i="8"/>
  <c r="P9" i="8"/>
  <c r="E5" i="8"/>
  <c r="D5" i="8"/>
  <c r="Q202" i="5"/>
  <c r="R84" i="7"/>
  <c r="Q84" i="7"/>
  <c r="BE129" i="5"/>
  <c r="BD129" i="5"/>
  <c r="BE157" i="5"/>
  <c r="BD157" i="5"/>
  <c r="BE197" i="5"/>
  <c r="BD197" i="5"/>
  <c r="BE61" i="5"/>
  <c r="BD61" i="5"/>
  <c r="BE104" i="5"/>
  <c r="BD104" i="5"/>
  <c r="BE161" i="5"/>
  <c r="BD161" i="5"/>
  <c r="BE58" i="5"/>
  <c r="BD58" i="5"/>
  <c r="BE90" i="5"/>
  <c r="BD90" i="5"/>
  <c r="BE185" i="5"/>
  <c r="BD185" i="5"/>
  <c r="BE30" i="5"/>
  <c r="BD30" i="5"/>
  <c r="BE171" i="5"/>
  <c r="BE6" i="5"/>
  <c r="BD6" i="5"/>
  <c r="BE160" i="5"/>
  <c r="BD160" i="5"/>
  <c r="BE173" i="5"/>
  <c r="BE34" i="5"/>
  <c r="BD34" i="5"/>
  <c r="BE96" i="5"/>
  <c r="BD96" i="5"/>
  <c r="BE189" i="5"/>
  <c r="BD189" i="5"/>
  <c r="BE126" i="5"/>
  <c r="BD126" i="5"/>
  <c r="AU127" i="5"/>
  <c r="AT127" i="5"/>
  <c r="AU45" i="5"/>
  <c r="AT45" i="5"/>
  <c r="AU97" i="5"/>
  <c r="AU18" i="5"/>
  <c r="AT18" i="5"/>
  <c r="AU125" i="5"/>
  <c r="AT125" i="5"/>
  <c r="AU92" i="5"/>
  <c r="AT92" i="5"/>
  <c r="AU85" i="5"/>
  <c r="AU110" i="5"/>
  <c r="AT110" i="5"/>
  <c r="AU77" i="5"/>
  <c r="AU103" i="5"/>
  <c r="AT103" i="5"/>
  <c r="AU81" i="5"/>
  <c r="AT81" i="5"/>
  <c r="AU53" i="5"/>
  <c r="AU13" i="5"/>
  <c r="AT13" i="5"/>
  <c r="AU84" i="5"/>
  <c r="AT84" i="5"/>
  <c r="AU50" i="5"/>
  <c r="AT50" i="5"/>
  <c r="AU168" i="5"/>
  <c r="AT168" i="5"/>
  <c r="AU73" i="5"/>
  <c r="AT73" i="5"/>
  <c r="AU109" i="5"/>
  <c r="AT109" i="5"/>
  <c r="AU141" i="5"/>
  <c r="AU48" i="5"/>
  <c r="AT48" i="5"/>
  <c r="AU93" i="5"/>
  <c r="AT93" i="5"/>
  <c r="AU62" i="5"/>
  <c r="AT62" i="5"/>
  <c r="AU64" i="5"/>
  <c r="AT64" i="5"/>
  <c r="AU129" i="5"/>
  <c r="AT129" i="5"/>
  <c r="AU43" i="5"/>
  <c r="AT43" i="5"/>
  <c r="AU56" i="5"/>
  <c r="AT56" i="5"/>
  <c r="AU41" i="5"/>
  <c r="AT41" i="5"/>
  <c r="AU133" i="5"/>
  <c r="AT133" i="5"/>
  <c r="AU55" i="5"/>
  <c r="AT55" i="5"/>
  <c r="AU65" i="5"/>
  <c r="AT65" i="5"/>
  <c r="AU71" i="5"/>
  <c r="AT71" i="5"/>
  <c r="AU176" i="5"/>
  <c r="Q15" i="5"/>
  <c r="Q140" i="5"/>
  <c r="Q61" i="5"/>
  <c r="Q126" i="5"/>
  <c r="Q188" i="5"/>
  <c r="Q163" i="5"/>
  <c r="Q170" i="5"/>
  <c r="Q102" i="5"/>
  <c r="Q129" i="5"/>
  <c r="Q181" i="5"/>
  <c r="Q159" i="5"/>
  <c r="Q122" i="5"/>
  <c r="Q174" i="5"/>
  <c r="Q193" i="5"/>
  <c r="Q187" i="5"/>
  <c r="Q180" i="5"/>
  <c r="Q32" i="5"/>
  <c r="Q24" i="5"/>
  <c r="Q176" i="5"/>
  <c r="Q22" i="5"/>
  <c r="Q39" i="5"/>
  <c r="Q135" i="5"/>
  <c r="Q6" i="5"/>
  <c r="Q67" i="5"/>
  <c r="Q191" i="5"/>
  <c r="Q79" i="5"/>
  <c r="Q30" i="5"/>
  <c r="Q25" i="5"/>
  <c r="Q18" i="5"/>
  <c r="Q136" i="5"/>
  <c r="Q55" i="5"/>
  <c r="Q111" i="5"/>
  <c r="Q107" i="5"/>
  <c r="Q96" i="5"/>
  <c r="Q158" i="5"/>
  <c r="Q3" i="5"/>
  <c r="P3" i="5"/>
  <c r="Q144" i="5"/>
  <c r="M35" i="5"/>
  <c r="P35" i="5" s="1"/>
  <c r="Q131" i="5"/>
  <c r="M38" i="5"/>
  <c r="P38" i="5" s="1"/>
  <c r="Q192" i="5"/>
  <c r="Q99" i="5"/>
  <c r="Q105" i="5"/>
  <c r="M5" i="5"/>
  <c r="P5" i="5" s="1"/>
  <c r="M184" i="5"/>
  <c r="P184" i="5" s="1"/>
  <c r="M160" i="5"/>
  <c r="P160" i="5" s="1"/>
  <c r="M50" i="5"/>
  <c r="P50" i="5" s="1"/>
  <c r="M198" i="5"/>
  <c r="P198" i="5" s="1"/>
  <c r="M195" i="5"/>
  <c r="P195" i="5" s="1"/>
  <c r="M94" i="5"/>
  <c r="P94" i="5" s="1"/>
  <c r="M31" i="5"/>
  <c r="P31" i="5" s="1"/>
  <c r="M42" i="5"/>
  <c r="P42" i="5" s="1"/>
  <c r="F26" i="5"/>
  <c r="G26" i="5"/>
  <c r="F182" i="5"/>
  <c r="G182" i="5"/>
  <c r="Q60" i="5"/>
  <c r="F77" i="5"/>
  <c r="G77" i="5"/>
  <c r="Q90" i="5"/>
  <c r="F42" i="5"/>
  <c r="G42" i="5"/>
  <c r="F202" i="5"/>
  <c r="G202" i="5"/>
  <c r="F32" i="5"/>
  <c r="G32" i="5"/>
  <c r="F125" i="5"/>
  <c r="G125" i="5"/>
  <c r="F146" i="5"/>
  <c r="G146" i="5"/>
  <c r="F38" i="5"/>
  <c r="G38" i="5"/>
  <c r="AA71" i="5"/>
  <c r="E93" i="5"/>
  <c r="D93" i="5"/>
  <c r="E180" i="5"/>
  <c r="D180" i="5"/>
  <c r="AA132" i="5"/>
  <c r="AA92" i="5"/>
  <c r="AA60" i="5"/>
  <c r="AA20" i="5"/>
  <c r="E24" i="5"/>
  <c r="D24" i="5"/>
  <c r="AA170" i="5"/>
  <c r="C199" i="5"/>
  <c r="F199" i="5" s="1"/>
  <c r="E199" i="5"/>
  <c r="D199" i="5"/>
  <c r="C103" i="5"/>
  <c r="F103" i="5" s="1"/>
  <c r="E103" i="5"/>
  <c r="D103" i="5"/>
  <c r="C39" i="5"/>
  <c r="E39" i="5"/>
  <c r="D39" i="5"/>
  <c r="AA145" i="5"/>
  <c r="AA21" i="5"/>
  <c r="E116" i="5"/>
  <c r="D116" i="5"/>
  <c r="E94" i="5"/>
  <c r="D94" i="5"/>
  <c r="AA98" i="5"/>
  <c r="E25" i="5"/>
  <c r="D25" i="5"/>
  <c r="AA165" i="5"/>
  <c r="E160" i="5"/>
  <c r="D160" i="5"/>
  <c r="E128" i="5"/>
  <c r="D128" i="5"/>
  <c r="E112" i="5"/>
  <c r="D112" i="5"/>
  <c r="E48" i="5"/>
  <c r="D48" i="5"/>
  <c r="E12" i="5"/>
  <c r="D12" i="5"/>
  <c r="C115" i="5"/>
  <c r="F115" i="5" s="1"/>
  <c r="E115" i="5"/>
  <c r="D115" i="5"/>
  <c r="C51" i="5"/>
  <c r="E51" i="5"/>
  <c r="D51" i="5"/>
  <c r="AA57" i="5"/>
  <c r="E132" i="5"/>
  <c r="D132" i="5"/>
  <c r="E124" i="5"/>
  <c r="D124" i="5"/>
  <c r="E34" i="5"/>
  <c r="D34" i="5"/>
  <c r="E81" i="5"/>
  <c r="D81" i="5"/>
  <c r="E178" i="5"/>
  <c r="D178" i="5"/>
  <c r="E82" i="5"/>
  <c r="D82" i="5"/>
  <c r="AA104" i="5"/>
  <c r="AA134" i="5"/>
  <c r="AA46" i="5"/>
  <c r="AA95" i="5"/>
  <c r="AA73" i="5"/>
  <c r="C123" i="5"/>
  <c r="E123" i="5"/>
  <c r="D123" i="5"/>
  <c r="C27" i="5"/>
  <c r="D27" i="5"/>
  <c r="E27" i="5"/>
  <c r="M138" i="5"/>
  <c r="P138" i="5" s="1"/>
  <c r="AA199" i="5"/>
  <c r="E161" i="5"/>
  <c r="D161" i="5"/>
  <c r="E49" i="5"/>
  <c r="D49" i="5"/>
  <c r="E130" i="5"/>
  <c r="D130" i="5"/>
  <c r="AA7" i="5"/>
  <c r="E92" i="5"/>
  <c r="D92" i="5"/>
  <c r="E165" i="5"/>
  <c r="D165" i="5"/>
  <c r="E85" i="5"/>
  <c r="D85" i="5"/>
  <c r="E45" i="5"/>
  <c r="D45" i="5"/>
  <c r="AA129" i="5"/>
  <c r="E192" i="5"/>
  <c r="D192" i="5"/>
  <c r="AA100" i="5"/>
  <c r="AA68" i="5"/>
  <c r="AA36" i="5"/>
  <c r="AA28" i="5"/>
  <c r="AA4" i="5"/>
  <c r="E44" i="5"/>
  <c r="D44" i="5"/>
  <c r="E152" i="5"/>
  <c r="D152" i="5"/>
  <c r="E138" i="5"/>
  <c r="D138" i="5"/>
  <c r="AA186" i="5"/>
  <c r="AA102" i="5"/>
  <c r="X14" i="5"/>
  <c r="W14" i="5"/>
  <c r="Z14" i="5" s="1"/>
  <c r="E40" i="5"/>
  <c r="D40" i="5"/>
  <c r="E148" i="5"/>
  <c r="D148" i="5"/>
  <c r="F52" i="5"/>
  <c r="G52" i="5"/>
  <c r="E20" i="5"/>
  <c r="D20" i="5"/>
  <c r="E90" i="5"/>
  <c r="D90" i="5"/>
  <c r="E6" i="5"/>
  <c r="D6" i="5"/>
  <c r="E97" i="5"/>
  <c r="D97" i="5"/>
  <c r="E150" i="5"/>
  <c r="D150" i="5"/>
  <c r="E126" i="5"/>
  <c r="D126" i="5"/>
  <c r="E169" i="5"/>
  <c r="D169" i="5"/>
  <c r="E41" i="5"/>
  <c r="D41" i="5"/>
  <c r="AA117" i="5"/>
  <c r="AA105" i="5"/>
  <c r="AA69" i="5"/>
  <c r="AA61" i="5"/>
  <c r="AA17" i="5"/>
  <c r="E176" i="5"/>
  <c r="D176" i="5"/>
  <c r="E64" i="5"/>
  <c r="D64" i="5"/>
  <c r="E140" i="5"/>
  <c r="D140" i="5"/>
  <c r="E186" i="5"/>
  <c r="D186" i="5"/>
  <c r="AA115" i="5"/>
  <c r="AA67" i="5"/>
  <c r="AA51" i="5"/>
  <c r="AA91" i="5"/>
  <c r="AA93" i="5"/>
  <c r="E164" i="5"/>
  <c r="D164" i="5"/>
  <c r="E70" i="5"/>
  <c r="D70" i="5"/>
  <c r="C34" i="5"/>
  <c r="F34" i="5" s="1"/>
  <c r="E194" i="5"/>
  <c r="D194" i="5"/>
  <c r="C178" i="5"/>
  <c r="E114" i="5"/>
  <c r="D114" i="5"/>
  <c r="C82" i="5"/>
  <c r="AA118" i="5"/>
  <c r="E69" i="5"/>
  <c r="D69" i="5"/>
  <c r="E53" i="5"/>
  <c r="D53" i="5"/>
  <c r="E13" i="5"/>
  <c r="D13" i="5"/>
  <c r="E188" i="5"/>
  <c r="D188" i="5"/>
  <c r="AA172" i="5"/>
  <c r="AA156" i="5"/>
  <c r="AA112" i="5"/>
  <c r="AA48" i="5"/>
  <c r="E108" i="5"/>
  <c r="D108" i="5"/>
  <c r="E106" i="5"/>
  <c r="D106" i="5"/>
  <c r="AA190" i="5"/>
  <c r="AA6" i="5"/>
  <c r="AA15" i="5"/>
  <c r="C191" i="5"/>
  <c r="E191" i="5"/>
  <c r="D191" i="5"/>
  <c r="C159" i="5"/>
  <c r="E159" i="5"/>
  <c r="D159" i="5"/>
  <c r="C127" i="5"/>
  <c r="E127" i="5"/>
  <c r="D127" i="5"/>
  <c r="C95" i="5"/>
  <c r="E95" i="5"/>
  <c r="D95" i="5"/>
  <c r="C63" i="5"/>
  <c r="E63" i="5"/>
  <c r="D63" i="5"/>
  <c r="C31" i="5"/>
  <c r="E31" i="5"/>
  <c r="D31" i="5"/>
  <c r="E142" i="5"/>
  <c r="D142" i="5"/>
  <c r="E30" i="5"/>
  <c r="D30" i="5"/>
  <c r="AA82" i="5"/>
  <c r="E185" i="5"/>
  <c r="D185" i="5"/>
  <c r="E57" i="5"/>
  <c r="D57" i="5"/>
  <c r="E28" i="5"/>
  <c r="D28" i="5"/>
  <c r="E149" i="5"/>
  <c r="D149" i="5"/>
  <c r="E109" i="5"/>
  <c r="D109" i="5"/>
  <c r="AA193" i="5"/>
  <c r="AA196" i="5"/>
  <c r="E74" i="5"/>
  <c r="D74" i="5"/>
  <c r="AA138" i="5"/>
  <c r="C167" i="5"/>
  <c r="E167" i="5"/>
  <c r="D167" i="5"/>
  <c r="AA107" i="5"/>
  <c r="AA18" i="5"/>
  <c r="E38" i="5"/>
  <c r="D38" i="5"/>
  <c r="AA103" i="5"/>
  <c r="E153" i="5"/>
  <c r="D153" i="5"/>
  <c r="C179" i="5"/>
  <c r="E179" i="5"/>
  <c r="D179" i="5"/>
  <c r="C83" i="5"/>
  <c r="E83" i="5"/>
  <c r="D83" i="5"/>
  <c r="C19" i="5"/>
  <c r="E19" i="5"/>
  <c r="D19" i="5"/>
  <c r="E182" i="5"/>
  <c r="D182" i="5"/>
  <c r="E156" i="5"/>
  <c r="D156" i="5"/>
  <c r="E197" i="5"/>
  <c r="D197" i="5"/>
  <c r="AA140" i="5"/>
  <c r="AA72" i="5"/>
  <c r="AA40" i="5"/>
  <c r="AA8" i="5"/>
  <c r="E88" i="5"/>
  <c r="D88" i="5"/>
  <c r="AA174" i="5"/>
  <c r="AA70" i="5"/>
  <c r="AA111" i="5"/>
  <c r="E137" i="5"/>
  <c r="D137" i="5"/>
  <c r="AA201" i="5"/>
  <c r="C187" i="5"/>
  <c r="E187" i="5"/>
  <c r="D187" i="5"/>
  <c r="C91" i="5"/>
  <c r="F91" i="5" s="1"/>
  <c r="D91" i="5"/>
  <c r="E91" i="5"/>
  <c r="G37" i="5"/>
  <c r="G5" i="5"/>
  <c r="Q80" i="5"/>
  <c r="M33" i="5"/>
  <c r="P33" i="5" s="1"/>
  <c r="G126" i="5"/>
  <c r="M95" i="5"/>
  <c r="P95" i="5" s="1"/>
  <c r="G118" i="5"/>
  <c r="M200" i="5"/>
  <c r="P200" i="5" s="1"/>
  <c r="AA75" i="5"/>
  <c r="AA43" i="5"/>
  <c r="E29" i="5"/>
  <c r="D29" i="5"/>
  <c r="E166" i="5"/>
  <c r="D166" i="5"/>
  <c r="C130" i="5"/>
  <c r="E18" i="5"/>
  <c r="D18" i="5"/>
  <c r="E102" i="5"/>
  <c r="D102" i="5"/>
  <c r="C165" i="5"/>
  <c r="F165" i="5" s="1"/>
  <c r="E101" i="5"/>
  <c r="D101" i="5"/>
  <c r="C85" i="5"/>
  <c r="E21" i="5"/>
  <c r="D21" i="5"/>
  <c r="E9" i="5"/>
  <c r="D9" i="5"/>
  <c r="AA65" i="5"/>
  <c r="AA164" i="5"/>
  <c r="AA148" i="5"/>
  <c r="AA44" i="5"/>
  <c r="E172" i="5"/>
  <c r="D172" i="5"/>
  <c r="G44" i="5"/>
  <c r="C138" i="5"/>
  <c r="AA194" i="5"/>
  <c r="AA78" i="5"/>
  <c r="AA38" i="5"/>
  <c r="M14" i="5"/>
  <c r="P14" i="5" s="1"/>
  <c r="C183" i="5"/>
  <c r="F183" i="5" s="1"/>
  <c r="E183" i="5"/>
  <c r="D183" i="5"/>
  <c r="C151" i="5"/>
  <c r="F151" i="5" s="1"/>
  <c r="E151" i="5"/>
  <c r="D151" i="5"/>
  <c r="C119" i="5"/>
  <c r="E119" i="5"/>
  <c r="D119" i="5"/>
  <c r="C87" i="5"/>
  <c r="E87" i="5"/>
  <c r="D87" i="5"/>
  <c r="C55" i="5"/>
  <c r="F55" i="5" s="1"/>
  <c r="E55" i="5"/>
  <c r="D55" i="5"/>
  <c r="C23" i="5"/>
  <c r="E23" i="5"/>
  <c r="D23" i="5"/>
  <c r="E104" i="5"/>
  <c r="D104" i="5"/>
  <c r="E52" i="5"/>
  <c r="D52" i="5"/>
  <c r="E154" i="5"/>
  <c r="D154" i="5"/>
  <c r="C90" i="5"/>
  <c r="AA150" i="5"/>
  <c r="C6" i="5"/>
  <c r="E33" i="5"/>
  <c r="D33" i="5"/>
  <c r="C150" i="5"/>
  <c r="E14" i="5"/>
  <c r="D14" i="5"/>
  <c r="AA50" i="5"/>
  <c r="E8" i="5"/>
  <c r="D8" i="5"/>
  <c r="E89" i="5"/>
  <c r="D89" i="5"/>
  <c r="AA149" i="5"/>
  <c r="AA133" i="5"/>
  <c r="AA53" i="5"/>
  <c r="AA25" i="5"/>
  <c r="E200" i="5"/>
  <c r="D200" i="5"/>
  <c r="E80" i="5"/>
  <c r="D80" i="5"/>
  <c r="E16" i="5"/>
  <c r="D16" i="5"/>
  <c r="C186" i="5"/>
  <c r="AA22" i="5"/>
  <c r="C195" i="5"/>
  <c r="E195" i="5"/>
  <c r="D195" i="5"/>
  <c r="C163" i="5"/>
  <c r="E163" i="5"/>
  <c r="D163" i="5"/>
  <c r="C131" i="5"/>
  <c r="E131" i="5"/>
  <c r="D131" i="5"/>
  <c r="C99" i="5"/>
  <c r="E99" i="5"/>
  <c r="D99" i="5"/>
  <c r="C67" i="5"/>
  <c r="E67" i="5"/>
  <c r="D67" i="5"/>
  <c r="C35" i="5"/>
  <c r="E35" i="5"/>
  <c r="D35" i="5"/>
  <c r="AA55" i="5"/>
  <c r="AA13" i="5"/>
  <c r="AA121" i="5"/>
  <c r="E145" i="5"/>
  <c r="D145" i="5"/>
  <c r="E68" i="5"/>
  <c r="D68" i="5"/>
  <c r="E36" i="5"/>
  <c r="D36" i="5"/>
  <c r="E4" i="5"/>
  <c r="D4" i="5"/>
  <c r="C70" i="5"/>
  <c r="F70" i="5" s="1"/>
  <c r="C194" i="5"/>
  <c r="E134" i="5"/>
  <c r="D134" i="5"/>
  <c r="C114" i="5"/>
  <c r="E22" i="5"/>
  <c r="D22" i="5"/>
  <c r="AA182" i="5"/>
  <c r="E60" i="5"/>
  <c r="D60" i="5"/>
  <c r="E181" i="5"/>
  <c r="D181" i="5"/>
  <c r="E141" i="5"/>
  <c r="D141" i="5"/>
  <c r="C69" i="5"/>
  <c r="C53" i="5"/>
  <c r="F53" i="5" s="1"/>
  <c r="AA125" i="5"/>
  <c r="E184" i="5"/>
  <c r="D184" i="5"/>
  <c r="E157" i="5"/>
  <c r="D157" i="5"/>
  <c r="AA188" i="5"/>
  <c r="AA124" i="5"/>
  <c r="AA88" i="5"/>
  <c r="AA80" i="5"/>
  <c r="AA56" i="5"/>
  <c r="AA24" i="5"/>
  <c r="AA16" i="5"/>
  <c r="E170" i="5"/>
  <c r="D170" i="5"/>
  <c r="C106" i="5"/>
  <c r="AA198" i="5"/>
  <c r="AA110" i="5"/>
  <c r="AA94" i="5"/>
  <c r="M150" i="5"/>
  <c r="P150" i="5" s="1"/>
  <c r="E158" i="5"/>
  <c r="D158" i="5"/>
  <c r="E78" i="5"/>
  <c r="D78" i="5"/>
  <c r="E201" i="5"/>
  <c r="D201" i="5"/>
  <c r="E73" i="5"/>
  <c r="D73" i="5"/>
  <c r="AA137" i="5"/>
  <c r="AA37" i="5"/>
  <c r="AA9" i="5"/>
  <c r="C171" i="5"/>
  <c r="F171" i="5" s="1"/>
  <c r="D171" i="5"/>
  <c r="E171" i="5"/>
  <c r="C139" i="5"/>
  <c r="D139" i="5"/>
  <c r="E139" i="5"/>
  <c r="C107" i="5"/>
  <c r="D107" i="5"/>
  <c r="E107" i="5"/>
  <c r="C75" i="5"/>
  <c r="D75" i="5"/>
  <c r="E75" i="5"/>
  <c r="C43" i="5"/>
  <c r="F43" i="5" s="1"/>
  <c r="D43" i="5"/>
  <c r="E43" i="5"/>
  <c r="AA27" i="5"/>
  <c r="E86" i="5"/>
  <c r="D86" i="5"/>
  <c r="AA178" i="5"/>
  <c r="AA54" i="5"/>
  <c r="AA180" i="5"/>
  <c r="AA116" i="5"/>
  <c r="AA52" i="5"/>
  <c r="AA130" i="5"/>
  <c r="C135" i="5"/>
  <c r="F135" i="5" s="1"/>
  <c r="E135" i="5"/>
  <c r="D135" i="5"/>
  <c r="C71" i="5"/>
  <c r="E71" i="5"/>
  <c r="D71" i="5"/>
  <c r="AA23" i="5"/>
  <c r="E76" i="5"/>
  <c r="D76" i="5"/>
  <c r="E56" i="5"/>
  <c r="D56" i="5"/>
  <c r="E26" i="5"/>
  <c r="D26" i="5"/>
  <c r="E146" i="5"/>
  <c r="D146" i="5"/>
  <c r="E136" i="5"/>
  <c r="D136" i="5"/>
  <c r="AA77" i="5"/>
  <c r="AA181" i="5"/>
  <c r="AA89" i="5"/>
  <c r="E144" i="5"/>
  <c r="D144" i="5"/>
  <c r="E122" i="5"/>
  <c r="D122" i="5"/>
  <c r="C147" i="5"/>
  <c r="E147" i="5"/>
  <c r="D147" i="5"/>
  <c r="E133" i="5"/>
  <c r="D133" i="5"/>
  <c r="W173" i="5"/>
  <c r="Z173" i="5" s="1"/>
  <c r="X173" i="5"/>
  <c r="AA157" i="5"/>
  <c r="AA97" i="5"/>
  <c r="AA33" i="5"/>
  <c r="AA96" i="5"/>
  <c r="AA64" i="5"/>
  <c r="AA32" i="5"/>
  <c r="E42" i="5"/>
  <c r="D42" i="5"/>
  <c r="AA86" i="5"/>
  <c r="AA63" i="5"/>
  <c r="AA31" i="5"/>
  <c r="AA87" i="5"/>
  <c r="AA101" i="5"/>
  <c r="C155" i="5"/>
  <c r="D155" i="5"/>
  <c r="E155" i="5"/>
  <c r="C59" i="5"/>
  <c r="E59" i="5"/>
  <c r="D59" i="5"/>
  <c r="G13" i="5"/>
  <c r="G54" i="5"/>
  <c r="G45" i="5"/>
  <c r="G148" i="5"/>
  <c r="G20" i="5"/>
  <c r="G41" i="5"/>
  <c r="M8" i="5"/>
  <c r="P8" i="5" s="1"/>
  <c r="M127" i="5"/>
  <c r="P127" i="5" s="1"/>
  <c r="M165" i="5"/>
  <c r="P165" i="5" s="1"/>
  <c r="G66" i="5"/>
  <c r="M63" i="5"/>
  <c r="P63" i="5" s="1"/>
  <c r="C93" i="5"/>
  <c r="F93" i="5" s="1"/>
  <c r="E61" i="5"/>
  <c r="D61" i="5"/>
  <c r="E3" i="5"/>
  <c r="C3" i="5"/>
  <c r="D3" i="5"/>
  <c r="E50" i="5"/>
  <c r="D50" i="5"/>
  <c r="AA114" i="5"/>
  <c r="C28" i="5"/>
  <c r="E173" i="5"/>
  <c r="D173" i="5"/>
  <c r="C109" i="5"/>
  <c r="E37" i="5"/>
  <c r="D37" i="5"/>
  <c r="AA161" i="5"/>
  <c r="C180" i="5"/>
  <c r="E125" i="5"/>
  <c r="D125" i="5"/>
  <c r="AA108" i="5"/>
  <c r="AA84" i="5"/>
  <c r="AA76" i="5"/>
  <c r="AA12" i="5"/>
  <c r="C24" i="5"/>
  <c r="E202" i="5"/>
  <c r="D202" i="5"/>
  <c r="AA202" i="5"/>
  <c r="AA162" i="5"/>
  <c r="AA154" i="5"/>
  <c r="AA122" i="5"/>
  <c r="AA62" i="5"/>
  <c r="AA59" i="5"/>
  <c r="AA34" i="5"/>
  <c r="AA185" i="5"/>
  <c r="AA113" i="5"/>
  <c r="AA85" i="5"/>
  <c r="AA49" i="5"/>
  <c r="C116" i="5"/>
  <c r="E84" i="5"/>
  <c r="D84" i="5"/>
  <c r="C76" i="5"/>
  <c r="C56" i="5"/>
  <c r="F56" i="5" s="1"/>
  <c r="C136" i="5"/>
  <c r="F136" i="5" s="1"/>
  <c r="AA171" i="5"/>
  <c r="E198" i="5"/>
  <c r="D198" i="5"/>
  <c r="C94" i="5"/>
  <c r="F94" i="5" s="1"/>
  <c r="E46" i="5"/>
  <c r="D46" i="5"/>
  <c r="AA66" i="5"/>
  <c r="E72" i="5"/>
  <c r="D72" i="5"/>
  <c r="C153" i="5"/>
  <c r="E105" i="5"/>
  <c r="D105" i="5"/>
  <c r="C25" i="5"/>
  <c r="AA197" i="5"/>
  <c r="AA81" i="5"/>
  <c r="AA41" i="5"/>
  <c r="AA5" i="5"/>
  <c r="E189" i="5"/>
  <c r="D189" i="5"/>
  <c r="C160" i="5"/>
  <c r="F160" i="5" s="1"/>
  <c r="C144" i="5"/>
  <c r="F144" i="5" s="1"/>
  <c r="C128" i="5"/>
  <c r="F128" i="5" s="1"/>
  <c r="C112" i="5"/>
  <c r="F112" i="5" s="1"/>
  <c r="E96" i="5"/>
  <c r="D96" i="5"/>
  <c r="C48" i="5"/>
  <c r="E32" i="5"/>
  <c r="D32" i="5"/>
  <c r="C12" i="5"/>
  <c r="E120" i="5"/>
  <c r="D120" i="5"/>
  <c r="E58" i="5"/>
  <c r="D58" i="5"/>
  <c r="AA99" i="5"/>
  <c r="AA83" i="5"/>
  <c r="AA35" i="5"/>
  <c r="AA19" i="5"/>
  <c r="AA177" i="5"/>
  <c r="AA153" i="5"/>
  <c r="AA29" i="5"/>
  <c r="C132" i="5"/>
  <c r="E100" i="5"/>
  <c r="D100" i="5"/>
  <c r="G68" i="5"/>
  <c r="G36" i="5"/>
  <c r="AA146" i="5"/>
  <c r="C11" i="5"/>
  <c r="F11" i="5" s="1"/>
  <c r="D11" i="5"/>
  <c r="E11" i="5"/>
  <c r="C124" i="5"/>
  <c r="F124" i="5" s="1"/>
  <c r="E98" i="5"/>
  <c r="D98" i="5"/>
  <c r="C81" i="5"/>
  <c r="E17" i="5"/>
  <c r="D17" i="5"/>
  <c r="E162" i="5"/>
  <c r="D162" i="5"/>
  <c r="C134" i="5"/>
  <c r="E54" i="5"/>
  <c r="D54" i="5"/>
  <c r="C22" i="5"/>
  <c r="C156" i="5"/>
  <c r="F156" i="5" s="1"/>
  <c r="E168" i="5"/>
  <c r="D168" i="5"/>
  <c r="AA11" i="5"/>
  <c r="C197" i="5"/>
  <c r="F197" i="5" s="1"/>
  <c r="E117" i="5"/>
  <c r="D117" i="5"/>
  <c r="E77" i="5"/>
  <c r="D77" i="5"/>
  <c r="E5" i="5"/>
  <c r="D5" i="5"/>
  <c r="AA189" i="5"/>
  <c r="AA141" i="5"/>
  <c r="E196" i="5"/>
  <c r="D196" i="5"/>
  <c r="C88" i="5"/>
  <c r="AA166" i="5"/>
  <c r="AA158" i="5"/>
  <c r="AA142" i="5"/>
  <c r="AA126" i="5"/>
  <c r="AA30" i="5"/>
  <c r="AA79" i="5"/>
  <c r="AA47" i="5"/>
  <c r="C175" i="5"/>
  <c r="E175" i="5"/>
  <c r="D175" i="5"/>
  <c r="C143" i="5"/>
  <c r="E143" i="5"/>
  <c r="D143" i="5"/>
  <c r="C111" i="5"/>
  <c r="E111" i="5"/>
  <c r="D111" i="5"/>
  <c r="C79" i="5"/>
  <c r="E79" i="5"/>
  <c r="D79" i="5"/>
  <c r="C47" i="5"/>
  <c r="E47" i="5"/>
  <c r="D47" i="5"/>
  <c r="C15" i="5"/>
  <c r="E15" i="5"/>
  <c r="D15" i="5"/>
  <c r="AA39" i="5"/>
  <c r="E66" i="5"/>
  <c r="D66" i="5"/>
  <c r="E190" i="5"/>
  <c r="D190" i="5"/>
  <c r="E118" i="5"/>
  <c r="D118" i="5"/>
  <c r="E110" i="5"/>
  <c r="D110" i="5"/>
  <c r="E10" i="5"/>
  <c r="D10" i="5"/>
  <c r="C137" i="5"/>
  <c r="F137" i="5" s="1"/>
  <c r="E121" i="5"/>
  <c r="D121" i="5"/>
  <c r="AA169" i="5"/>
  <c r="AK11" i="7"/>
  <c r="AJ11" i="7"/>
  <c r="AJ106" i="7"/>
  <c r="AJ155" i="7"/>
  <c r="Y22" i="7"/>
  <c r="Y192" i="7"/>
  <c r="X52" i="7"/>
  <c r="Y52" i="7"/>
  <c r="Z138" i="7"/>
  <c r="Y138" i="7"/>
  <c r="Y124" i="7"/>
  <c r="Y104" i="7"/>
  <c r="AK198" i="7"/>
  <c r="AJ198" i="7"/>
  <c r="AJ171" i="7"/>
  <c r="AJ163" i="7"/>
  <c r="AJ27" i="7"/>
  <c r="AJ71" i="7"/>
  <c r="AJ146" i="7"/>
  <c r="AJ110" i="7"/>
  <c r="AK9" i="7"/>
  <c r="AJ9" i="7"/>
  <c r="AJ134" i="7"/>
  <c r="AK201" i="7"/>
  <c r="AJ201" i="7"/>
  <c r="AK158" i="7"/>
  <c r="AJ158" i="7"/>
  <c r="AJ13" i="7"/>
  <c r="Z29" i="7"/>
  <c r="Y29" i="7"/>
  <c r="Z86" i="7"/>
  <c r="Y86" i="7"/>
  <c r="Z136" i="7"/>
  <c r="Y136" i="7"/>
  <c r="Y193" i="7"/>
  <c r="Z137" i="7"/>
  <c r="Y137" i="7"/>
  <c r="Z64" i="7"/>
  <c r="Y64" i="7"/>
  <c r="Z116" i="7"/>
  <c r="Y116" i="7"/>
  <c r="Z145" i="7"/>
  <c r="Y145" i="7"/>
  <c r="Z202" i="7"/>
  <c r="Y202" i="7"/>
  <c r="Z156" i="7"/>
  <c r="Y156" i="7"/>
  <c r="Z188" i="7"/>
  <c r="Y188" i="7"/>
  <c r="X125" i="7"/>
  <c r="Y125" i="7"/>
  <c r="X168" i="7"/>
  <c r="Y168" i="7"/>
  <c r="X44" i="7"/>
  <c r="Y44" i="7"/>
  <c r="Z164" i="7"/>
  <c r="Y164" i="7"/>
  <c r="Z129" i="7"/>
  <c r="Y129" i="7"/>
  <c r="Z140" i="7"/>
  <c r="Y140" i="7"/>
  <c r="Z92" i="7"/>
  <c r="Y92" i="7"/>
  <c r="Z132" i="7"/>
  <c r="Y132" i="7"/>
  <c r="Z154" i="7"/>
  <c r="Y154" i="7"/>
  <c r="X140" i="7"/>
  <c r="AJ56" i="7"/>
  <c r="X164" i="7"/>
  <c r="X124" i="7"/>
  <c r="X132" i="7"/>
  <c r="AK148" i="7"/>
  <c r="AJ148" i="7"/>
  <c r="AK120" i="7"/>
  <c r="AJ120" i="7"/>
  <c r="AK172" i="7"/>
  <c r="AJ172" i="7"/>
  <c r="AJ47" i="7"/>
  <c r="AJ199" i="7"/>
  <c r="AJ34" i="7"/>
  <c r="AJ39" i="7"/>
  <c r="AJ107" i="7"/>
  <c r="AJ175" i="7"/>
  <c r="AJ170" i="7"/>
  <c r="AJ127" i="7"/>
  <c r="AJ98" i="7"/>
  <c r="AJ149" i="7"/>
  <c r="X36" i="7"/>
  <c r="Y36" i="7"/>
  <c r="X93" i="7"/>
  <c r="Y93" i="7"/>
  <c r="Z150" i="7"/>
  <c r="Y150" i="7"/>
  <c r="X200" i="7"/>
  <c r="Y200" i="7"/>
  <c r="Z58" i="7"/>
  <c r="Y58" i="7"/>
  <c r="Z12" i="7"/>
  <c r="Y12" i="7"/>
  <c r="X128" i="7"/>
  <c r="Y128" i="7"/>
  <c r="Z180" i="7"/>
  <c r="Y180" i="7"/>
  <c r="Z10" i="7"/>
  <c r="Y10" i="7"/>
  <c r="Z169" i="7"/>
  <c r="Y169" i="7"/>
  <c r="Z144" i="7"/>
  <c r="Y144" i="7"/>
  <c r="Z4" i="7"/>
  <c r="Y4" i="7"/>
  <c r="Z189" i="7"/>
  <c r="Y189" i="7"/>
  <c r="Y26" i="7"/>
  <c r="Z176" i="7"/>
  <c r="Y176" i="7"/>
  <c r="AJ103" i="7"/>
  <c r="AJ23" i="7"/>
  <c r="AK108" i="7"/>
  <c r="AJ108" i="7"/>
  <c r="AJ143" i="7"/>
  <c r="Y72" i="7"/>
  <c r="Y153" i="7"/>
  <c r="Z81" i="7"/>
  <c r="Y81" i="7"/>
  <c r="X129" i="7"/>
  <c r="X154" i="7"/>
  <c r="X104" i="7"/>
  <c r="X22" i="7"/>
  <c r="AJ94" i="7"/>
  <c r="AJ77" i="7"/>
  <c r="AJ113" i="7"/>
  <c r="AK80" i="7"/>
  <c r="AK88" i="7"/>
  <c r="AJ88" i="7"/>
  <c r="AK87" i="7"/>
  <c r="AJ87" i="7"/>
  <c r="AJ31" i="7"/>
  <c r="AJ111" i="7"/>
  <c r="AJ59" i="7"/>
  <c r="AK147" i="7"/>
  <c r="AJ147" i="7"/>
  <c r="AJ55" i="7"/>
  <c r="AJ151" i="7"/>
  <c r="AJ51" i="7"/>
  <c r="AJ139" i="7"/>
  <c r="AK66" i="7"/>
  <c r="AJ66" i="7"/>
  <c r="Y100" i="7"/>
  <c r="Y157" i="7"/>
  <c r="Z8" i="7"/>
  <c r="Y8" i="7"/>
  <c r="Z65" i="7"/>
  <c r="Y65" i="7"/>
  <c r="Y122" i="7"/>
  <c r="Y76" i="7"/>
  <c r="Y41" i="7"/>
  <c r="Y45" i="7"/>
  <c r="Y74" i="7"/>
  <c r="Y28" i="7"/>
  <c r="Y185" i="7"/>
  <c r="Y105" i="7"/>
  <c r="Y68" i="7"/>
  <c r="Z182" i="7"/>
  <c r="Y182" i="7"/>
  <c r="Y90" i="7"/>
  <c r="BE141" i="5"/>
  <c r="AU54" i="5"/>
  <c r="AK201" i="5"/>
  <c r="Q155" i="5"/>
  <c r="Q156" i="5"/>
  <c r="Q149" i="5"/>
  <c r="Q104" i="5"/>
  <c r="G190" i="5"/>
  <c r="X156" i="7"/>
  <c r="X136" i="7"/>
  <c r="O62" i="7"/>
  <c r="X145" i="7"/>
  <c r="X202" i="7"/>
  <c r="X86" i="7"/>
  <c r="X137" i="7"/>
  <c r="AK43" i="7"/>
  <c r="X64" i="7"/>
  <c r="X116" i="7"/>
  <c r="X29" i="7"/>
  <c r="X144" i="7"/>
  <c r="X176" i="7"/>
  <c r="X65" i="7"/>
  <c r="X26" i="7"/>
  <c r="X4" i="7"/>
  <c r="X10" i="7"/>
  <c r="X8" i="7"/>
  <c r="X100" i="7"/>
  <c r="X122" i="7"/>
  <c r="X169" i="7"/>
  <c r="X180" i="7"/>
  <c r="Z125" i="7"/>
  <c r="O149" i="7"/>
  <c r="X92" i="7"/>
  <c r="X81" i="7"/>
  <c r="X58" i="7"/>
  <c r="X150" i="7"/>
  <c r="Z128" i="7"/>
  <c r="Z44" i="7"/>
  <c r="Z93" i="7"/>
  <c r="Z200" i="7"/>
  <c r="Z52" i="7"/>
  <c r="O117" i="7"/>
  <c r="Z168" i="7"/>
  <c r="Z36" i="7"/>
  <c r="X12" i="7"/>
  <c r="X138" i="7"/>
  <c r="Q13" i="7"/>
  <c r="Q141" i="7"/>
  <c r="O150" i="7"/>
  <c r="X189" i="7"/>
  <c r="O141" i="7"/>
  <c r="O135" i="7"/>
  <c r="O74" i="7"/>
  <c r="O58" i="7"/>
  <c r="O44" i="7"/>
  <c r="O70" i="7"/>
  <c r="O24" i="7"/>
  <c r="O108" i="7"/>
  <c r="O186" i="7"/>
  <c r="Q45" i="7"/>
  <c r="Q168" i="7"/>
  <c r="Q155" i="7"/>
  <c r="Q196" i="7"/>
  <c r="Q202" i="7"/>
  <c r="Q183" i="7"/>
  <c r="O6" i="7"/>
  <c r="O95" i="7"/>
  <c r="O154" i="7"/>
  <c r="O66" i="7"/>
  <c r="O26" i="7"/>
  <c r="O88" i="7"/>
  <c r="O131" i="7"/>
  <c r="Q121" i="7"/>
  <c r="Q119" i="7"/>
  <c r="Q186" i="7"/>
  <c r="O3" i="7"/>
  <c r="O82" i="7"/>
  <c r="O151" i="7"/>
  <c r="O133" i="7"/>
  <c r="O183" i="7"/>
  <c r="O159" i="7"/>
  <c r="O202" i="7"/>
  <c r="X182" i="7"/>
  <c r="O170" i="7"/>
  <c r="O29" i="7"/>
  <c r="X188" i="7"/>
  <c r="O194" i="7"/>
  <c r="O181" i="7"/>
  <c r="O5" i="7"/>
  <c r="O161" i="7"/>
  <c r="O114" i="7"/>
  <c r="R181" i="7"/>
  <c r="R3" i="7"/>
  <c r="R14" i="7"/>
  <c r="O49" i="7"/>
  <c r="O184" i="7"/>
  <c r="O113" i="7"/>
  <c r="O21" i="7"/>
  <c r="O68" i="7"/>
  <c r="O126" i="7"/>
  <c r="O78" i="7"/>
  <c r="O64" i="7"/>
  <c r="O7" i="7"/>
  <c r="O142" i="7"/>
  <c r="O134" i="7"/>
  <c r="O85" i="7"/>
  <c r="O137" i="7"/>
  <c r="O46" i="7"/>
  <c r="O17" i="7"/>
  <c r="O86" i="7"/>
  <c r="O190" i="7"/>
  <c r="O89" i="7"/>
  <c r="O18" i="7"/>
  <c r="O81" i="7"/>
  <c r="R64" i="7"/>
  <c r="O101" i="7"/>
  <c r="R39" i="7"/>
  <c r="O164" i="7"/>
  <c r="O132" i="7"/>
  <c r="O53" i="7"/>
  <c r="R78" i="7"/>
  <c r="R49" i="7"/>
  <c r="R86" i="7"/>
  <c r="O30" i="7"/>
  <c r="R182" i="7"/>
  <c r="G73" i="5"/>
  <c r="AK146" i="5"/>
  <c r="M154" i="5"/>
  <c r="P154" i="5" s="1"/>
  <c r="O197" i="7"/>
  <c r="R193" i="7"/>
  <c r="M28" i="5"/>
  <c r="P28" i="5" s="1"/>
  <c r="M71" i="5"/>
  <c r="P71" i="5" s="1"/>
  <c r="G61" i="5"/>
  <c r="O173" i="7"/>
  <c r="O192" i="7"/>
  <c r="G122" i="5"/>
  <c r="Q16" i="5"/>
  <c r="G86" i="5"/>
  <c r="G50" i="5"/>
  <c r="G10" i="5"/>
  <c r="G98" i="5"/>
  <c r="Q47" i="5"/>
  <c r="Q123" i="5"/>
  <c r="M151" i="5"/>
  <c r="P151" i="5" s="1"/>
  <c r="Q124" i="5"/>
  <c r="Q69" i="5"/>
  <c r="G152" i="5"/>
  <c r="M113" i="5"/>
  <c r="P113" i="5" s="1"/>
  <c r="O153" i="7"/>
  <c r="O193" i="7"/>
  <c r="O112" i="7"/>
  <c r="O166" i="7"/>
  <c r="M164" i="5"/>
  <c r="P164" i="5" s="1"/>
  <c r="Q128" i="5"/>
  <c r="M117" i="5"/>
  <c r="P117" i="5" s="1"/>
  <c r="AU184" i="5"/>
  <c r="M37" i="5"/>
  <c r="P37" i="5" s="1"/>
  <c r="AK129" i="5"/>
  <c r="AK28" i="5"/>
  <c r="O162" i="7"/>
  <c r="O48" i="7"/>
  <c r="G158" i="5"/>
  <c r="M114" i="5"/>
  <c r="P114" i="5" s="1"/>
  <c r="M133" i="5"/>
  <c r="P133" i="5" s="1"/>
  <c r="M26" i="5"/>
  <c r="P26" i="5" s="1"/>
  <c r="R167" i="7"/>
  <c r="M197" i="5"/>
  <c r="P197" i="5" s="1"/>
  <c r="R176" i="7"/>
  <c r="O176" i="7"/>
  <c r="M152" i="5"/>
  <c r="P152" i="5" s="1"/>
  <c r="G102" i="5"/>
  <c r="AU82" i="5"/>
  <c r="M110" i="5"/>
  <c r="P110" i="5" s="1"/>
  <c r="M121" i="5"/>
  <c r="P121" i="5" s="1"/>
  <c r="O177" i="7"/>
  <c r="R177" i="7"/>
  <c r="O77" i="7"/>
  <c r="M130" i="5"/>
  <c r="P130" i="5" s="1"/>
  <c r="O32" i="7"/>
  <c r="BE137" i="5"/>
  <c r="M74" i="5"/>
  <c r="P74" i="5" s="1"/>
  <c r="AU105" i="5"/>
  <c r="O13" i="7"/>
  <c r="M182" i="5"/>
  <c r="P182" i="5" s="1"/>
  <c r="AK125" i="5"/>
  <c r="M146" i="5"/>
  <c r="P146" i="5" s="1"/>
  <c r="M56" i="5"/>
  <c r="P56" i="5" s="1"/>
  <c r="M48" i="5"/>
  <c r="P48" i="5" s="1"/>
  <c r="R96" i="7"/>
  <c r="O96" i="7"/>
  <c r="Q77" i="5"/>
  <c r="BE57" i="5"/>
  <c r="M189" i="5"/>
  <c r="P189" i="5" s="1"/>
  <c r="O65" i="7"/>
  <c r="O36" i="7"/>
  <c r="BE138" i="5"/>
  <c r="M103" i="5"/>
  <c r="P103" i="5" s="1"/>
  <c r="R41" i="7"/>
  <c r="M87" i="5"/>
  <c r="P87" i="5" s="1"/>
  <c r="M157" i="5"/>
  <c r="P157" i="5" s="1"/>
  <c r="M34" i="5"/>
  <c r="P34" i="5" s="1"/>
  <c r="O201" i="7"/>
  <c r="O73" i="7"/>
  <c r="BE18" i="5"/>
  <c r="AK160" i="5"/>
  <c r="M17" i="5"/>
  <c r="P17" i="5" s="1"/>
  <c r="M81" i="5"/>
  <c r="P81" i="5" s="1"/>
  <c r="M59" i="5"/>
  <c r="P59" i="5" s="1"/>
  <c r="O110" i="7"/>
  <c r="R80" i="7"/>
  <c r="O25" i="7"/>
  <c r="M186" i="5"/>
  <c r="P186" i="5" s="1"/>
  <c r="O105" i="7"/>
  <c r="BE132" i="5"/>
  <c r="O37" i="7"/>
  <c r="AK38" i="5"/>
  <c r="O14" i="7"/>
  <c r="O9" i="7"/>
  <c r="AU23" i="5"/>
  <c r="M178" i="5"/>
  <c r="P178" i="5" s="1"/>
  <c r="O185" i="7"/>
  <c r="M145" i="5"/>
  <c r="P145" i="5" s="1"/>
  <c r="M86" i="5"/>
  <c r="P86" i="5" s="1"/>
  <c r="R16" i="7"/>
  <c r="M141" i="5"/>
  <c r="P141" i="5" s="1"/>
  <c r="G117" i="5"/>
  <c r="M53" i="5"/>
  <c r="P53" i="5" s="1"/>
  <c r="M194" i="5"/>
  <c r="P194" i="5" s="1"/>
  <c r="G161" i="5"/>
  <c r="Q161" i="5"/>
  <c r="M11" i="5"/>
  <c r="P11" i="5" s="1"/>
  <c r="O45" i="7"/>
  <c r="AK150" i="5"/>
  <c r="AU118" i="5"/>
  <c r="AK110" i="5"/>
  <c r="Q88" i="5"/>
  <c r="AU121" i="5"/>
  <c r="O158" i="7"/>
  <c r="O124" i="7"/>
  <c r="BE140" i="5"/>
  <c r="M201" i="5"/>
  <c r="P201" i="5" s="1"/>
  <c r="R57" i="7"/>
  <c r="O160" i="7"/>
  <c r="M64" i="5"/>
  <c r="P64" i="5" s="1"/>
  <c r="R148" i="7"/>
  <c r="O148" i="7"/>
  <c r="BE165" i="5"/>
  <c r="O33" i="7"/>
  <c r="M166" i="5"/>
  <c r="P166" i="5" s="1"/>
  <c r="M75" i="5"/>
  <c r="P75" i="5" s="1"/>
  <c r="AU69" i="5"/>
  <c r="M168" i="5"/>
  <c r="P168" i="5" s="1"/>
  <c r="O118" i="7"/>
  <c r="O169" i="7"/>
  <c r="M134" i="5"/>
  <c r="P134" i="5" s="1"/>
  <c r="Q54" i="5"/>
  <c r="BE66" i="5"/>
  <c r="AU68" i="5"/>
  <c r="M162" i="5"/>
  <c r="P162" i="5" s="1"/>
  <c r="AK4" i="5"/>
  <c r="R103" i="7"/>
  <c r="BE10" i="5"/>
  <c r="AK116" i="5"/>
  <c r="G162" i="5"/>
  <c r="M12" i="5"/>
  <c r="P12" i="5" s="1"/>
  <c r="O50" i="7"/>
  <c r="O109" i="7"/>
  <c r="O97" i="7"/>
  <c r="O165" i="7"/>
  <c r="AU181" i="5"/>
  <c r="M10" i="5"/>
  <c r="P10" i="5" s="1"/>
  <c r="Q91" i="5"/>
  <c r="Q190" i="5"/>
  <c r="G64" i="5"/>
  <c r="AK108" i="5"/>
  <c r="M177" i="5"/>
  <c r="P177" i="5" s="1"/>
  <c r="M52" i="5"/>
  <c r="P52" i="5" s="1"/>
  <c r="BE26" i="5"/>
  <c r="BE181" i="5"/>
  <c r="BE62" i="5"/>
  <c r="AU128" i="5"/>
  <c r="Q118" i="5"/>
  <c r="G140" i="5"/>
  <c r="AU94" i="5"/>
  <c r="R164" i="7"/>
  <c r="Q132" i="5"/>
  <c r="Q68" i="5"/>
  <c r="AK90" i="5"/>
  <c r="BE95" i="5"/>
  <c r="O129" i="7"/>
  <c r="O57" i="7"/>
  <c r="O100" i="7"/>
  <c r="O52" i="7"/>
  <c r="M44" i="5"/>
  <c r="P44" i="5" s="1"/>
  <c r="BE193" i="5"/>
  <c r="O198" i="7"/>
  <c r="G196" i="5"/>
  <c r="G4" i="5"/>
  <c r="G188" i="5"/>
  <c r="BE118" i="5"/>
  <c r="O180" i="7"/>
  <c r="O116" i="7"/>
  <c r="Q84" i="5"/>
  <c r="Q139" i="5"/>
  <c r="AK196" i="5"/>
  <c r="M172" i="5"/>
  <c r="P172" i="5" s="1"/>
  <c r="M108" i="5"/>
  <c r="P108" i="5" s="1"/>
  <c r="M76" i="5"/>
  <c r="P76" i="5" s="1"/>
  <c r="M185" i="5"/>
  <c r="P185" i="5" s="1"/>
  <c r="M116" i="5"/>
  <c r="P116" i="5" s="1"/>
  <c r="AU31" i="5"/>
  <c r="R23" i="7"/>
  <c r="AU88" i="5"/>
  <c r="AU3" i="5"/>
  <c r="BE22" i="5"/>
  <c r="BE130" i="5"/>
  <c r="BE102" i="5"/>
  <c r="BE120" i="5"/>
  <c r="M196" i="5"/>
  <c r="P196" i="5" s="1"/>
  <c r="M148" i="5"/>
  <c r="P148" i="5" s="1"/>
  <c r="M137" i="5"/>
  <c r="P137" i="5" s="1"/>
  <c r="M153" i="5"/>
  <c r="P153" i="5" s="1"/>
  <c r="R20" i="7"/>
  <c r="BE101" i="5"/>
  <c r="AK132" i="5"/>
  <c r="M92" i="5"/>
  <c r="P92" i="5" s="1"/>
  <c r="M4" i="5"/>
  <c r="P4" i="5" s="1"/>
  <c r="M169" i="5"/>
  <c r="P169" i="5" s="1"/>
  <c r="M100" i="5"/>
  <c r="P100" i="5" s="1"/>
  <c r="AK200" i="5"/>
  <c r="R87" i="7"/>
  <c r="R199" i="7"/>
  <c r="R42" i="7"/>
  <c r="R43" i="7"/>
  <c r="R146" i="7"/>
  <c r="R156" i="7"/>
  <c r="R73" i="7"/>
  <c r="R200" i="7"/>
  <c r="R61" i="7"/>
  <c r="R44" i="7"/>
  <c r="R106" i="7"/>
  <c r="R102" i="7"/>
  <c r="R67" i="7"/>
  <c r="R69" i="7"/>
  <c r="R59" i="7"/>
  <c r="R133" i="7"/>
  <c r="R40" i="7"/>
  <c r="R147" i="7"/>
  <c r="R122" i="7"/>
  <c r="R90" i="7"/>
  <c r="R58" i="7"/>
  <c r="R26" i="7"/>
  <c r="R63" i="7"/>
  <c r="R8" i="7"/>
  <c r="R171" i="7"/>
  <c r="R139" i="7"/>
  <c r="R75" i="7"/>
  <c r="R11" i="7"/>
  <c r="R189" i="7"/>
  <c r="R5" i="7"/>
  <c r="R128" i="7"/>
  <c r="R136" i="7"/>
  <c r="R54" i="7"/>
  <c r="R22" i="7"/>
  <c r="R95" i="7"/>
  <c r="R163" i="7"/>
  <c r="R35" i="7"/>
  <c r="R72" i="7"/>
  <c r="R74" i="7"/>
  <c r="R107" i="7"/>
  <c r="R140" i="7"/>
  <c r="R104" i="7"/>
  <c r="R143" i="7"/>
  <c r="R89" i="7"/>
  <c r="R31" i="7"/>
  <c r="R179" i="7"/>
  <c r="R83" i="7"/>
  <c r="R24" i="7"/>
  <c r="R34" i="7"/>
  <c r="AA3" i="7"/>
  <c r="R91" i="7"/>
  <c r="R27" i="7"/>
  <c r="R92" i="7"/>
  <c r="R111" i="7"/>
  <c r="R12" i="7"/>
  <c r="R145" i="7"/>
  <c r="R152" i="7"/>
  <c r="R172" i="7"/>
  <c r="R192" i="7"/>
  <c r="R4" i="7"/>
  <c r="R79" i="7"/>
  <c r="R131" i="7"/>
  <c r="R115" i="7"/>
  <c r="R51" i="7"/>
  <c r="R120" i="7"/>
  <c r="AU86" i="5"/>
  <c r="BE14" i="5"/>
  <c r="AK188" i="5"/>
  <c r="G142" i="5"/>
  <c r="Q173" i="5"/>
  <c r="Q112" i="5"/>
  <c r="BE150" i="5"/>
  <c r="AU44" i="5"/>
  <c r="AU24" i="5"/>
  <c r="AU52" i="5"/>
  <c r="AU60" i="5"/>
  <c r="BE201" i="5"/>
  <c r="BE70" i="5"/>
  <c r="BE42" i="5"/>
  <c r="BE92" i="5"/>
  <c r="BE38" i="5"/>
  <c r="BE170" i="5"/>
  <c r="BE162" i="5"/>
  <c r="BE174" i="5"/>
  <c r="BE144" i="5"/>
  <c r="BE88" i="5"/>
  <c r="BE158" i="5"/>
  <c r="BE112" i="5"/>
  <c r="BE154" i="5"/>
  <c r="BE166" i="5"/>
  <c r="BE146" i="5"/>
  <c r="BE110" i="5"/>
  <c r="BE142" i="5"/>
  <c r="BE31" i="5"/>
  <c r="BE55" i="5"/>
  <c r="BE98" i="5"/>
  <c r="BE44" i="5"/>
  <c r="BE75" i="5"/>
  <c r="BE119" i="5"/>
  <c r="BE147" i="5"/>
  <c r="BE71" i="5"/>
  <c r="BE35" i="5"/>
  <c r="BE63" i="5"/>
  <c r="BE108" i="5"/>
  <c r="BE83" i="5"/>
  <c r="BE182" i="5"/>
  <c r="BE51" i="5"/>
  <c r="BE19" i="5"/>
  <c r="BE39" i="5"/>
  <c r="BE72" i="5"/>
  <c r="BE155" i="5"/>
  <c r="BE3" i="5"/>
  <c r="BE94" i="5"/>
  <c r="BE27" i="5"/>
  <c r="BE47" i="5"/>
  <c r="BE80" i="5"/>
  <c r="BE190" i="5"/>
  <c r="BE178" i="5"/>
  <c r="BE151" i="5"/>
  <c r="BE67" i="5"/>
  <c r="BE89" i="5"/>
  <c r="G164" i="5"/>
  <c r="AU46" i="5"/>
  <c r="AU66" i="5"/>
  <c r="AU171" i="5"/>
  <c r="AU7" i="5"/>
  <c r="AK56" i="5"/>
  <c r="G177" i="5"/>
  <c r="Q119" i="5"/>
  <c r="AU104" i="5"/>
  <c r="AK46" i="5"/>
  <c r="AU147" i="5"/>
  <c r="AK93" i="5"/>
  <c r="AU96" i="5"/>
  <c r="AU15" i="5"/>
  <c r="G91" i="5"/>
  <c r="G185" i="5"/>
  <c r="G168" i="5"/>
  <c r="AU134" i="5"/>
  <c r="AK88" i="5"/>
  <c r="AK82" i="5"/>
  <c r="AK8" i="5"/>
  <c r="AK94" i="5"/>
  <c r="AK114" i="5"/>
  <c r="AK162" i="5"/>
  <c r="AK54" i="5"/>
  <c r="AK120" i="5"/>
  <c r="AU40" i="5"/>
  <c r="AU142" i="5"/>
  <c r="AU36" i="5"/>
  <c r="AU183" i="5"/>
  <c r="AU28" i="5"/>
  <c r="AU165" i="5"/>
  <c r="AU186" i="5"/>
  <c r="AK58" i="5"/>
  <c r="AK117" i="5"/>
  <c r="AK149" i="5"/>
  <c r="AK72" i="5"/>
  <c r="AK62" i="5"/>
  <c r="AU20" i="5"/>
  <c r="AK154" i="5"/>
  <c r="G16" i="5"/>
  <c r="G40" i="5"/>
  <c r="AU98" i="5"/>
  <c r="AK126" i="5"/>
  <c r="AK142" i="5"/>
  <c r="AU188" i="5"/>
  <c r="AK74" i="5"/>
  <c r="AK102" i="5"/>
  <c r="AU4" i="5"/>
  <c r="AU196" i="5"/>
  <c r="AU12" i="5"/>
  <c r="AK145" i="5"/>
  <c r="AU149" i="5"/>
  <c r="Q13" i="5"/>
  <c r="AU39" i="5"/>
  <c r="AK165" i="5"/>
  <c r="AK130" i="5"/>
  <c r="AK118" i="5"/>
  <c r="AK181" i="5"/>
  <c r="AK138" i="5"/>
  <c r="AU185" i="5"/>
  <c r="AU193" i="5"/>
  <c r="AU22" i="5"/>
  <c r="AU197" i="5"/>
  <c r="AU199" i="5"/>
  <c r="AU201" i="5"/>
  <c r="AU139" i="5"/>
  <c r="AU156" i="5"/>
  <c r="AU17" i="5"/>
  <c r="AU37" i="5"/>
  <c r="AU21" i="5"/>
  <c r="AU195" i="5"/>
  <c r="AU180" i="5"/>
  <c r="AU153" i="5"/>
  <c r="AU177" i="5"/>
  <c r="AU25" i="5"/>
  <c r="AK153" i="5"/>
  <c r="AK164" i="5"/>
  <c r="AK169" i="5"/>
  <c r="G173" i="5"/>
  <c r="G192" i="5"/>
  <c r="Q142" i="5"/>
  <c r="G172" i="5"/>
  <c r="Q125" i="5"/>
  <c r="G112" i="5"/>
  <c r="Q9" i="5"/>
  <c r="Q21" i="5"/>
  <c r="G120" i="5"/>
  <c r="G169" i="5"/>
  <c r="G56" i="5"/>
  <c r="G115" i="5"/>
  <c r="G96" i="5"/>
  <c r="G80" i="5"/>
  <c r="G184" i="5"/>
  <c r="G100" i="5"/>
  <c r="Q29" i="5"/>
  <c r="G58" i="5"/>
  <c r="Q83" i="5"/>
  <c r="G108" i="5"/>
  <c r="Q41" i="5"/>
  <c r="Q65" i="5"/>
  <c r="Q73" i="5"/>
  <c r="G157" i="5"/>
  <c r="G181" i="5"/>
  <c r="Q101" i="5"/>
  <c r="Q36" i="5"/>
  <c r="Q109" i="5"/>
  <c r="Q57" i="5"/>
  <c r="G149" i="5"/>
  <c r="Q93" i="5"/>
  <c r="Q20" i="5"/>
  <c r="Q49" i="5"/>
  <c r="Q85" i="5"/>
  <c r="Q98" i="5"/>
  <c r="Q179" i="5"/>
  <c r="Q35" i="5"/>
  <c r="Q82" i="5"/>
  <c r="Q66" i="5"/>
  <c r="Q38" i="5"/>
  <c r="Q89" i="5"/>
  <c r="Q42" i="5"/>
  <c r="Q7" i="5"/>
  <c r="Q51" i="5"/>
  <c r="Q175" i="5"/>
  <c r="Q46" i="5"/>
  <c r="Q167" i="5"/>
  <c r="Q97" i="5"/>
  <c r="Q106" i="5"/>
  <c r="Q62" i="5"/>
  <c r="Q183" i="5"/>
  <c r="Q199" i="5"/>
  <c r="Q70" i="5"/>
  <c r="Q147" i="5"/>
  <c r="Q78" i="5"/>
  <c r="Q171" i="5"/>
  <c r="G94" i="5" l="1"/>
  <c r="AU78" i="5"/>
  <c r="AU122" i="5"/>
  <c r="R195" i="7"/>
  <c r="R154" i="7"/>
  <c r="AU144" i="5"/>
  <c r="G160" i="5"/>
  <c r="R76" i="7"/>
  <c r="R118" i="7"/>
  <c r="AU51" i="5"/>
  <c r="AU178" i="5"/>
  <c r="R70" i="7"/>
  <c r="G70" i="5"/>
  <c r="R30" i="7"/>
  <c r="G136" i="5"/>
  <c r="AU148" i="5"/>
  <c r="G11" i="5"/>
  <c r="AU164" i="5"/>
  <c r="AU57" i="5"/>
  <c r="AU90" i="5"/>
  <c r="R125" i="7"/>
  <c r="AU108" i="5"/>
  <c r="AU70" i="5"/>
  <c r="R29" i="7"/>
  <c r="AT159" i="5"/>
  <c r="AT76" i="5"/>
  <c r="AT61" i="5"/>
  <c r="AT190" i="5"/>
  <c r="G165" i="5"/>
  <c r="Q94" i="5"/>
  <c r="Q8" i="5"/>
  <c r="R85" i="7"/>
  <c r="AU9" i="5"/>
  <c r="AU146" i="5"/>
  <c r="AK86" i="5"/>
  <c r="AU167" i="5"/>
  <c r="G171" i="5"/>
  <c r="AU117" i="5"/>
  <c r="AU163" i="5"/>
  <c r="R105" i="7"/>
  <c r="G144" i="5"/>
  <c r="AU138" i="5"/>
  <c r="R6" i="7"/>
  <c r="R157" i="7"/>
  <c r="G43" i="5"/>
  <c r="AK85" i="5"/>
  <c r="R169" i="7"/>
  <c r="AK122" i="5"/>
  <c r="AU42" i="5"/>
  <c r="R15" i="7"/>
  <c r="R144" i="7"/>
  <c r="R165" i="7"/>
  <c r="R88" i="7"/>
  <c r="R187" i="7"/>
  <c r="AU74" i="5"/>
  <c r="R37" i="7"/>
  <c r="AU160" i="5"/>
  <c r="R185" i="7"/>
  <c r="R160" i="7"/>
  <c r="G183" i="5"/>
  <c r="AU49" i="5"/>
  <c r="AK100" i="5"/>
  <c r="P189" i="8"/>
  <c r="G128" i="5"/>
  <c r="G156" i="5"/>
  <c r="G34" i="5"/>
  <c r="G93" i="5"/>
  <c r="P131" i="8"/>
  <c r="P83" i="8"/>
  <c r="G124" i="5"/>
  <c r="G197" i="5"/>
  <c r="AK78" i="5"/>
  <c r="AH75" i="7"/>
  <c r="AI75" i="7"/>
  <c r="AK177" i="7"/>
  <c r="AJ42" i="7"/>
  <c r="AJ142" i="7"/>
  <c r="AJ179" i="7"/>
  <c r="AK142" i="7"/>
  <c r="AJ38" i="7"/>
  <c r="AJ70" i="7"/>
  <c r="AJ12" i="7"/>
  <c r="AJ189" i="7"/>
  <c r="AJ183" i="7"/>
  <c r="AK167" i="7"/>
  <c r="AJ191" i="7"/>
  <c r="AJ81" i="7"/>
  <c r="AJ96" i="7"/>
  <c r="AJ128" i="7"/>
  <c r="AJ124" i="7"/>
  <c r="AJ22" i="7"/>
  <c r="AJ28" i="7"/>
  <c r="AJ45" i="7"/>
  <c r="AJ26" i="7"/>
  <c r="AJ95" i="7"/>
  <c r="AJ186" i="7"/>
  <c r="AJ53" i="7"/>
  <c r="AJ58" i="7"/>
  <c r="AJ138" i="7"/>
  <c r="AJ36" i="7"/>
  <c r="AJ76" i="7"/>
  <c r="AJ8" i="7"/>
  <c r="AJ19" i="7"/>
  <c r="AJ61" i="7"/>
  <c r="AJ54" i="7"/>
  <c r="AJ29" i="7"/>
  <c r="AJ133" i="7"/>
  <c r="AJ117" i="7"/>
  <c r="AJ200" i="7"/>
  <c r="AJ169" i="7"/>
  <c r="AJ118" i="7"/>
  <c r="AK72" i="7"/>
  <c r="AK122" i="7"/>
  <c r="AJ100" i="7"/>
  <c r="AJ194" i="7"/>
  <c r="AJ24" i="7"/>
  <c r="AJ67" i="7"/>
  <c r="AJ60" i="7"/>
  <c r="AJ6" i="7"/>
  <c r="AJ20" i="7"/>
  <c r="AJ152" i="7"/>
  <c r="Q71" i="5"/>
  <c r="Q154" i="5"/>
  <c r="R28" i="7"/>
  <c r="R129" i="7"/>
  <c r="R108" i="7"/>
  <c r="R194" i="7"/>
  <c r="R99" i="7"/>
  <c r="R82" i="7"/>
  <c r="R33" i="7"/>
  <c r="R17" i="7"/>
  <c r="R81" i="7"/>
  <c r="R190" i="7"/>
  <c r="R123" i="7"/>
  <c r="R138" i="7"/>
  <c r="R137" i="7"/>
  <c r="R184" i="7"/>
  <c r="R166" i="7"/>
  <c r="R197" i="7"/>
  <c r="AJ75" i="7"/>
  <c r="R153" i="7"/>
  <c r="R25" i="7"/>
  <c r="R65" i="7"/>
  <c r="R48" i="7"/>
  <c r="R56" i="7"/>
  <c r="R38" i="7"/>
  <c r="R47" i="7"/>
  <c r="R19" i="7"/>
  <c r="AJ102" i="7"/>
  <c r="R60" i="7"/>
  <c r="R10" i="7"/>
  <c r="R188" i="7"/>
  <c r="R127" i="7"/>
  <c r="AT33" i="5"/>
  <c r="AU33" i="5"/>
  <c r="AT123" i="5"/>
  <c r="AU123" i="5"/>
  <c r="AT35" i="5"/>
  <c r="AU35" i="5"/>
  <c r="AK95" i="7"/>
  <c r="AJ167" i="7"/>
  <c r="AT27" i="5"/>
  <c r="AU27" i="5"/>
  <c r="AT11" i="5"/>
  <c r="AU11" i="5"/>
  <c r="AK28" i="7"/>
  <c r="AK45" i="7"/>
  <c r="AK19" i="7"/>
  <c r="AJ99" i="7"/>
  <c r="AJ79" i="7"/>
  <c r="AK124" i="7"/>
  <c r="AT59" i="5"/>
  <c r="AU59" i="5"/>
  <c r="AT67" i="5"/>
  <c r="AU67" i="5"/>
  <c r="AT91" i="5"/>
  <c r="AU91" i="5"/>
  <c r="AT75" i="5"/>
  <c r="AU75" i="5"/>
  <c r="AT99" i="5"/>
  <c r="AU99" i="5"/>
  <c r="AT157" i="5"/>
  <c r="AU157" i="5"/>
  <c r="AT189" i="5"/>
  <c r="AU189" i="5"/>
  <c r="G137" i="5"/>
  <c r="AT161" i="5"/>
  <c r="AU161" i="5"/>
  <c r="AT179" i="5"/>
  <c r="AU179" i="5"/>
  <c r="AT130" i="5"/>
  <c r="AU130" i="5"/>
  <c r="AT172" i="5"/>
  <c r="AU172" i="5"/>
  <c r="AT191" i="5"/>
  <c r="AU191" i="5"/>
  <c r="AT119" i="5"/>
  <c r="AU119" i="5"/>
  <c r="AT30" i="5"/>
  <c r="AU30" i="5"/>
  <c r="AT174" i="5"/>
  <c r="AU174" i="5"/>
  <c r="AT5" i="5"/>
  <c r="AU5" i="5"/>
  <c r="AT187" i="5"/>
  <c r="AU187" i="5"/>
  <c r="AT124" i="5"/>
  <c r="AU124" i="5"/>
  <c r="AT14" i="5"/>
  <c r="AU14" i="5"/>
  <c r="AT150" i="5"/>
  <c r="AU150" i="5"/>
  <c r="AT79" i="5"/>
  <c r="AU79" i="5"/>
  <c r="AU120" i="5"/>
  <c r="AT120" i="5"/>
  <c r="AT38" i="5"/>
  <c r="AU38" i="5"/>
  <c r="AT111" i="5"/>
  <c r="AU111" i="5"/>
  <c r="AT115" i="5"/>
  <c r="AU115" i="5"/>
  <c r="AT200" i="5"/>
  <c r="AU200" i="5"/>
  <c r="AT106" i="5"/>
  <c r="AU106" i="5"/>
  <c r="Q130" i="5"/>
  <c r="AT162" i="5"/>
  <c r="AU162" i="5"/>
  <c r="AT158" i="5"/>
  <c r="AU158" i="5"/>
  <c r="AT83" i="5"/>
  <c r="AU83" i="5"/>
  <c r="AT173" i="5"/>
  <c r="AU173" i="5"/>
  <c r="AT95" i="5"/>
  <c r="AU95" i="5"/>
  <c r="AT116" i="5"/>
  <c r="AU116" i="5"/>
  <c r="AT192" i="5"/>
  <c r="AU192" i="5"/>
  <c r="AT136" i="5"/>
  <c r="AU136" i="5"/>
  <c r="AT107" i="5"/>
  <c r="AU107" i="5"/>
  <c r="AT194" i="5"/>
  <c r="AU194" i="5"/>
  <c r="AU170" i="5"/>
  <c r="AT170" i="5"/>
  <c r="AT113" i="5"/>
  <c r="AU113" i="5"/>
  <c r="AT114" i="5"/>
  <c r="AU114" i="5"/>
  <c r="AT63" i="5"/>
  <c r="AU63" i="5"/>
  <c r="AT89" i="5"/>
  <c r="AU89" i="5"/>
  <c r="AT143" i="5"/>
  <c r="AU143" i="5"/>
  <c r="AU154" i="5"/>
  <c r="AT154" i="5"/>
  <c r="AT58" i="5"/>
  <c r="AU58" i="5"/>
  <c r="AT131" i="5"/>
  <c r="AU131" i="5"/>
  <c r="AT87" i="5"/>
  <c r="AU87" i="5"/>
  <c r="AT8" i="5"/>
  <c r="AU8" i="5"/>
  <c r="AT80" i="5"/>
  <c r="AU80" i="5"/>
  <c r="AT16" i="5"/>
  <c r="AU16" i="5"/>
  <c r="AT166" i="5"/>
  <c r="AU166" i="5"/>
  <c r="AT182" i="5"/>
  <c r="AU182" i="5"/>
  <c r="AT169" i="5"/>
  <c r="AU169" i="5"/>
  <c r="AT112" i="5"/>
  <c r="AU112" i="5"/>
  <c r="AL177" i="7"/>
  <c r="AK100" i="7"/>
  <c r="AL55" i="7"/>
  <c r="R114" i="7"/>
  <c r="AL139" i="7"/>
  <c r="AL146" i="7"/>
  <c r="AL11" i="7"/>
  <c r="AL163" i="7"/>
  <c r="AL106" i="7"/>
  <c r="AL71" i="7"/>
  <c r="AL134" i="7"/>
  <c r="AL158" i="7"/>
  <c r="AL34" i="7"/>
  <c r="AL98" i="7"/>
  <c r="AL113" i="7"/>
  <c r="AL23" i="7"/>
  <c r="AL94" i="7"/>
  <c r="AL87" i="7"/>
  <c r="AL108" i="7"/>
  <c r="AL51" i="7"/>
  <c r="AL77" i="7"/>
  <c r="AL199" i="7"/>
  <c r="AL170" i="7"/>
  <c r="AL179" i="7"/>
  <c r="AL172" i="7"/>
  <c r="AL59" i="7"/>
  <c r="AL9" i="7"/>
  <c r="AA4" i="7"/>
  <c r="AL31" i="7"/>
  <c r="AL142" i="7"/>
  <c r="AL56" i="7"/>
  <c r="AL155" i="7"/>
  <c r="X17" i="8"/>
  <c r="Y17" i="8"/>
  <c r="AH29" i="8"/>
  <c r="AG29" i="8"/>
  <c r="G45" i="8"/>
  <c r="F45" i="8"/>
  <c r="O101" i="8"/>
  <c r="P101" i="8"/>
  <c r="AQ117" i="8"/>
  <c r="AP117" i="8"/>
  <c r="O42" i="8"/>
  <c r="P42" i="8"/>
  <c r="F58" i="8"/>
  <c r="G58" i="8"/>
  <c r="BM66" i="5"/>
  <c r="BN66" i="5"/>
  <c r="O110" i="8"/>
  <c r="P110" i="8"/>
  <c r="BX138" i="5"/>
  <c r="BY138" i="5"/>
  <c r="F154" i="8"/>
  <c r="G154" i="8"/>
  <c r="BM166" i="5"/>
  <c r="BN166" i="5"/>
  <c r="F186" i="8"/>
  <c r="G186" i="8"/>
  <c r="BM198" i="5"/>
  <c r="BN198" i="5"/>
  <c r="AP19" i="8"/>
  <c r="AQ19" i="8"/>
  <c r="O147" i="8"/>
  <c r="P147" i="8"/>
  <c r="BM159" i="5"/>
  <c r="BN159" i="5"/>
  <c r="O179" i="8"/>
  <c r="P179" i="8"/>
  <c r="AG187" i="8"/>
  <c r="AH187" i="8"/>
  <c r="AG3" i="8"/>
  <c r="AH3" i="8"/>
  <c r="X28" i="8"/>
  <c r="Y28" i="8"/>
  <c r="F44" i="8"/>
  <c r="G44" i="8"/>
  <c r="AH56" i="8"/>
  <c r="AG56" i="8"/>
  <c r="BY72" i="5"/>
  <c r="BX72" i="5"/>
  <c r="BY88" i="5"/>
  <c r="BX88" i="5"/>
  <c r="O104" i="8"/>
  <c r="P104" i="8"/>
  <c r="X124" i="8"/>
  <c r="Y124" i="8"/>
  <c r="F144" i="8"/>
  <c r="G144" i="8"/>
  <c r="BM152" i="5"/>
  <c r="BN152" i="5"/>
  <c r="AP176" i="8"/>
  <c r="AQ176" i="8"/>
  <c r="BN101" i="5"/>
  <c r="BM101" i="5"/>
  <c r="F153" i="8"/>
  <c r="G153" i="8"/>
  <c r="AH30" i="8"/>
  <c r="AG30" i="8"/>
  <c r="BX122" i="5"/>
  <c r="BY122" i="5"/>
  <c r="BM138" i="5"/>
  <c r="BN138" i="5"/>
  <c r="F158" i="8"/>
  <c r="G158" i="8"/>
  <c r="X170" i="8"/>
  <c r="Y170" i="8"/>
  <c r="AG186" i="8"/>
  <c r="AH186" i="8"/>
  <c r="X95" i="8"/>
  <c r="Y95" i="8"/>
  <c r="AQ123" i="8"/>
  <c r="AP123" i="8"/>
  <c r="X159" i="8"/>
  <c r="Y159" i="8"/>
  <c r="F48" i="8"/>
  <c r="G48" i="8"/>
  <c r="AP56" i="8"/>
  <c r="AQ56" i="8"/>
  <c r="X72" i="8"/>
  <c r="Y72" i="8"/>
  <c r="BN84" i="5"/>
  <c r="BM84" i="5"/>
  <c r="X104" i="8"/>
  <c r="Y104" i="8"/>
  <c r="AP200" i="8"/>
  <c r="AQ200" i="8"/>
  <c r="AP21" i="8"/>
  <c r="AQ21" i="8"/>
  <c r="AP37" i="8"/>
  <c r="AQ37" i="8"/>
  <c r="AG49" i="8"/>
  <c r="AH49" i="8"/>
  <c r="BN65" i="5"/>
  <c r="BM65" i="5"/>
  <c r="X81" i="8"/>
  <c r="Y81" i="8"/>
  <c r="F121" i="8"/>
  <c r="G121" i="8"/>
  <c r="AH137" i="8"/>
  <c r="AG137" i="8"/>
  <c r="AG149" i="8"/>
  <c r="AH149" i="8"/>
  <c r="X165" i="8"/>
  <c r="Y165" i="8"/>
  <c r="BM42" i="5"/>
  <c r="BN42" i="5"/>
  <c r="BY62" i="5"/>
  <c r="BX62" i="5"/>
  <c r="BX78" i="5"/>
  <c r="BY78" i="5"/>
  <c r="AG110" i="8"/>
  <c r="AH110" i="8"/>
  <c r="AP11" i="8"/>
  <c r="AQ11" i="8"/>
  <c r="BY19" i="5"/>
  <c r="BX19" i="5"/>
  <c r="X103" i="8"/>
  <c r="Y103" i="8"/>
  <c r="AH115" i="8"/>
  <c r="AG115" i="8"/>
  <c r="AG147" i="8"/>
  <c r="AH147" i="8"/>
  <c r="BY183" i="5"/>
  <c r="BX183" i="5"/>
  <c r="X12" i="8"/>
  <c r="Y12" i="8"/>
  <c r="BN32" i="5"/>
  <c r="BM32" i="5"/>
  <c r="O56" i="8"/>
  <c r="P56" i="8"/>
  <c r="BN88" i="5"/>
  <c r="BM88" i="5"/>
  <c r="O116" i="8"/>
  <c r="P116" i="8"/>
  <c r="AP128" i="8"/>
  <c r="AQ128" i="8"/>
  <c r="BY17" i="5"/>
  <c r="BX17" i="5"/>
  <c r="O33" i="8"/>
  <c r="P33" i="8"/>
  <c r="BY45" i="5"/>
  <c r="BX45" i="5"/>
  <c r="BY61" i="5"/>
  <c r="BX61" i="5"/>
  <c r="AP77" i="8"/>
  <c r="AQ77" i="8"/>
  <c r="AP97" i="8"/>
  <c r="AQ97" i="8"/>
  <c r="AP113" i="8"/>
  <c r="AQ113" i="8"/>
  <c r="BY189" i="5"/>
  <c r="BX189" i="5"/>
  <c r="BX10" i="5"/>
  <c r="BY10" i="5"/>
  <c r="BM34" i="5"/>
  <c r="BN34" i="5"/>
  <c r="X70" i="8"/>
  <c r="Y70" i="8"/>
  <c r="AH102" i="8"/>
  <c r="AG102" i="8"/>
  <c r="BY118" i="5"/>
  <c r="BX118" i="5"/>
  <c r="AG138" i="8"/>
  <c r="AH138" i="8"/>
  <c r="G83" i="8"/>
  <c r="F83" i="8"/>
  <c r="AP95" i="8"/>
  <c r="AQ95" i="8"/>
  <c r="F36" i="8"/>
  <c r="G36" i="8"/>
  <c r="X48" i="8"/>
  <c r="Y48" i="8"/>
  <c r="G68" i="8"/>
  <c r="F68" i="8"/>
  <c r="BN104" i="5"/>
  <c r="BM104" i="5"/>
  <c r="BY128" i="5"/>
  <c r="BX128" i="5"/>
  <c r="AP140" i="8"/>
  <c r="AQ140" i="8"/>
  <c r="AJ168" i="5"/>
  <c r="AK168" i="5"/>
  <c r="AH188" i="8"/>
  <c r="AG188" i="8"/>
  <c r="F64" i="8"/>
  <c r="G64" i="8"/>
  <c r="O77" i="8"/>
  <c r="P77" i="8"/>
  <c r="O195" i="8"/>
  <c r="P195" i="8"/>
  <c r="G171" i="8"/>
  <c r="F171" i="8"/>
  <c r="O141" i="8"/>
  <c r="P141" i="8"/>
  <c r="O185" i="8"/>
  <c r="P185" i="8"/>
  <c r="G33" i="8"/>
  <c r="F33" i="8"/>
  <c r="F61" i="8"/>
  <c r="G61" i="8"/>
  <c r="AP73" i="8"/>
  <c r="AQ73" i="8"/>
  <c r="AP89" i="8"/>
  <c r="AQ89" i="8"/>
  <c r="BY101" i="5"/>
  <c r="BX101" i="5"/>
  <c r="AG121" i="8"/>
  <c r="AH121" i="8"/>
  <c r="AJ30" i="5"/>
  <c r="AK30" i="5"/>
  <c r="G46" i="8"/>
  <c r="F46" i="8"/>
  <c r="BX58" i="5"/>
  <c r="BY58" i="5"/>
  <c r="AG70" i="8"/>
  <c r="AH70" i="8"/>
  <c r="X114" i="8"/>
  <c r="Y114" i="8"/>
  <c r="BX126" i="5"/>
  <c r="BY126" i="5"/>
  <c r="AH142" i="8"/>
  <c r="AG142" i="8"/>
  <c r="O158" i="8"/>
  <c r="P158" i="8"/>
  <c r="O190" i="8"/>
  <c r="P190" i="8"/>
  <c r="BM202" i="5"/>
  <c r="BN202" i="5"/>
  <c r="AP135" i="8"/>
  <c r="AQ135" i="8"/>
  <c r="F151" i="8"/>
  <c r="G151" i="8"/>
  <c r="AQ167" i="8"/>
  <c r="AP167" i="8"/>
  <c r="BY187" i="5"/>
  <c r="BX187" i="5"/>
  <c r="BY3" i="5"/>
  <c r="BX3" i="5"/>
  <c r="BN16" i="5"/>
  <c r="BM16" i="5"/>
  <c r="O32" i="8"/>
  <c r="P32" i="8"/>
  <c r="O64" i="8"/>
  <c r="P64" i="8"/>
  <c r="AP76" i="8"/>
  <c r="AQ76" i="8"/>
  <c r="AJ92" i="5"/>
  <c r="AK92" i="5"/>
  <c r="BY104" i="5"/>
  <c r="BX104" i="5"/>
  <c r="BN124" i="5"/>
  <c r="BM124" i="5"/>
  <c r="BM144" i="5"/>
  <c r="BN144" i="5"/>
  <c r="X160" i="8"/>
  <c r="Y160" i="8"/>
  <c r="O105" i="8"/>
  <c r="P105" i="8"/>
  <c r="BM153" i="5"/>
  <c r="BN153" i="5"/>
  <c r="F114" i="8"/>
  <c r="G114" i="8"/>
  <c r="BM126" i="5"/>
  <c r="BN126" i="5"/>
  <c r="AP142" i="8"/>
  <c r="AQ142" i="8"/>
  <c r="BX158" i="5"/>
  <c r="BY158" i="5"/>
  <c r="BM174" i="5"/>
  <c r="BN174" i="5"/>
  <c r="X190" i="8"/>
  <c r="Y190" i="8"/>
  <c r="BY95" i="5"/>
  <c r="BX95" i="5"/>
  <c r="BY159" i="5"/>
  <c r="BX159" i="5"/>
  <c r="X179" i="8"/>
  <c r="Y179" i="8"/>
  <c r="G3" i="8"/>
  <c r="F3" i="8"/>
  <c r="AG60" i="8"/>
  <c r="AH60" i="8"/>
  <c r="O76" i="8"/>
  <c r="P76" i="8"/>
  <c r="AP192" i="8"/>
  <c r="AQ192" i="8"/>
  <c r="AP5" i="8"/>
  <c r="AQ5" i="8"/>
  <c r="BD21" i="5"/>
  <c r="BE21" i="5"/>
  <c r="BE37" i="5"/>
  <c r="BD37" i="5"/>
  <c r="AJ53" i="5"/>
  <c r="AK53" i="5"/>
  <c r="X69" i="8"/>
  <c r="Y69" i="8"/>
  <c r="X85" i="8"/>
  <c r="Y85" i="8"/>
  <c r="BN121" i="5"/>
  <c r="BM121" i="5"/>
  <c r="AP141" i="8"/>
  <c r="AQ141" i="8"/>
  <c r="X153" i="8"/>
  <c r="Y153" i="8"/>
  <c r="O50" i="8"/>
  <c r="P50" i="8"/>
  <c r="AG66" i="8"/>
  <c r="AH66" i="8"/>
  <c r="AG86" i="8"/>
  <c r="AH86" i="8"/>
  <c r="X102" i="8"/>
  <c r="Y102" i="8"/>
  <c r="AP114" i="8"/>
  <c r="AQ114" i="8"/>
  <c r="BY23" i="5"/>
  <c r="BX23" i="5"/>
  <c r="O107" i="8"/>
  <c r="P107" i="8"/>
  <c r="BN115" i="5"/>
  <c r="BM115" i="5"/>
  <c r="X135" i="8"/>
  <c r="Y135" i="8"/>
  <c r="BY147" i="5"/>
  <c r="BX147" i="5"/>
  <c r="X167" i="8"/>
  <c r="Y167" i="8"/>
  <c r="G175" i="8"/>
  <c r="F175" i="8"/>
  <c r="BY199" i="5"/>
  <c r="BX199" i="5"/>
  <c r="BN12" i="5"/>
  <c r="BM12" i="5"/>
  <c r="BX36" i="5"/>
  <c r="BY36" i="5"/>
  <c r="G60" i="8"/>
  <c r="F60" i="8"/>
  <c r="O80" i="8"/>
  <c r="P80" i="8"/>
  <c r="AP92" i="8"/>
  <c r="AQ92" i="8"/>
  <c r="O120" i="8"/>
  <c r="P120" i="8"/>
  <c r="BX5" i="5"/>
  <c r="BY5" i="5"/>
  <c r="BX21" i="5"/>
  <c r="BY21" i="5"/>
  <c r="BY33" i="5"/>
  <c r="BX33" i="5"/>
  <c r="AP53" i="8"/>
  <c r="AQ53" i="8"/>
  <c r="AP69" i="8"/>
  <c r="AQ69" i="8"/>
  <c r="AH81" i="8"/>
  <c r="AG81" i="8"/>
  <c r="AP101" i="8"/>
  <c r="AQ101" i="8"/>
  <c r="AJ121" i="5"/>
  <c r="AK121" i="5"/>
  <c r="AP197" i="8"/>
  <c r="AQ197" i="8"/>
  <c r="AJ14" i="5"/>
  <c r="AK14" i="5"/>
  <c r="AP26" i="8"/>
  <c r="AQ26" i="8"/>
  <c r="X38" i="8"/>
  <c r="Y38" i="8"/>
  <c r="BM74" i="5"/>
  <c r="BN74" i="5"/>
  <c r="AG90" i="8"/>
  <c r="AH90" i="8"/>
  <c r="X142" i="8"/>
  <c r="Y142" i="8"/>
  <c r="AH87" i="8"/>
  <c r="AG87" i="8"/>
  <c r="BN36" i="5"/>
  <c r="BM36" i="5"/>
  <c r="BN68" i="5"/>
  <c r="BM68" i="5"/>
  <c r="X112" i="8"/>
  <c r="Y112" i="8"/>
  <c r="AH148" i="8"/>
  <c r="AG148" i="8"/>
  <c r="O160" i="8"/>
  <c r="P160" i="8"/>
  <c r="G172" i="8"/>
  <c r="F172" i="8"/>
  <c r="BM188" i="5"/>
  <c r="BN188" i="5"/>
  <c r="O109" i="8"/>
  <c r="P109" i="8"/>
  <c r="G105" i="8"/>
  <c r="F105" i="8"/>
  <c r="O167" i="8"/>
  <c r="P167" i="8"/>
  <c r="F161" i="8"/>
  <c r="G161" i="8"/>
  <c r="F195" i="8"/>
  <c r="G195" i="8"/>
  <c r="O49" i="8"/>
  <c r="P49" i="8"/>
  <c r="BY73" i="5"/>
  <c r="BX73" i="5"/>
  <c r="BY89" i="5"/>
  <c r="BX89" i="5"/>
  <c r="BY105" i="5"/>
  <c r="BX105" i="5"/>
  <c r="AP125" i="8"/>
  <c r="AQ125" i="8"/>
  <c r="F10" i="8"/>
  <c r="G10" i="8"/>
  <c r="AG34" i="8"/>
  <c r="AH34" i="8"/>
  <c r="F50" i="8"/>
  <c r="G50" i="8"/>
  <c r="X118" i="8"/>
  <c r="Y118" i="8"/>
  <c r="O134" i="8"/>
  <c r="P134" i="8"/>
  <c r="AP146" i="8"/>
  <c r="AQ146" i="8"/>
  <c r="X162" i="8"/>
  <c r="Y162" i="8"/>
  <c r="BX174" i="5"/>
  <c r="BY174" i="5"/>
  <c r="X194" i="8"/>
  <c r="Y194" i="8"/>
  <c r="O31" i="8"/>
  <c r="P31" i="8"/>
  <c r="AH155" i="8"/>
  <c r="AG155" i="8"/>
  <c r="BM191" i="5"/>
  <c r="BN191" i="5"/>
  <c r="O8" i="8"/>
  <c r="P8" i="8"/>
  <c r="BN20" i="5"/>
  <c r="BM20" i="5"/>
  <c r="O36" i="8"/>
  <c r="P36" i="8"/>
  <c r="BN48" i="5"/>
  <c r="BM48" i="5"/>
  <c r="AP68" i="8"/>
  <c r="AQ68" i="8"/>
  <c r="AH84" i="8"/>
  <c r="AG84" i="8"/>
  <c r="O96" i="8"/>
  <c r="P96" i="8"/>
  <c r="AP108" i="8"/>
  <c r="AQ108" i="8"/>
  <c r="AP148" i="8"/>
  <c r="AQ148" i="8"/>
  <c r="X164" i="8"/>
  <c r="Y164" i="8"/>
  <c r="F118" i="8"/>
  <c r="G118" i="8"/>
  <c r="BY130" i="5"/>
  <c r="BX130" i="5"/>
  <c r="O146" i="8"/>
  <c r="P146" i="8"/>
  <c r="AH162" i="8"/>
  <c r="AG162" i="8"/>
  <c r="O182" i="8"/>
  <c r="P182" i="8"/>
  <c r="BY99" i="5"/>
  <c r="BX99" i="5"/>
  <c r="X131" i="8"/>
  <c r="Y131" i="8"/>
  <c r="BY163" i="5"/>
  <c r="BX163" i="5"/>
  <c r="O183" i="8"/>
  <c r="P183" i="8"/>
  <c r="X64" i="8"/>
  <c r="Y64" i="8"/>
  <c r="AP80" i="8"/>
  <c r="AQ80" i="8"/>
  <c r="X96" i="8"/>
  <c r="Y96" i="8"/>
  <c r="G196" i="8"/>
  <c r="F196" i="8"/>
  <c r="AP9" i="8"/>
  <c r="AQ9" i="8"/>
  <c r="AG25" i="8"/>
  <c r="AH25" i="8"/>
  <c r="AH41" i="8"/>
  <c r="AG41" i="8"/>
  <c r="AP57" i="8"/>
  <c r="AQ57" i="8"/>
  <c r="O73" i="8"/>
  <c r="P73" i="8"/>
  <c r="O89" i="8"/>
  <c r="P89" i="8"/>
  <c r="AH113" i="8"/>
  <c r="AG113" i="8"/>
  <c r="X125" i="8"/>
  <c r="Y125" i="8"/>
  <c r="AG157" i="8"/>
  <c r="AH157" i="8"/>
  <c r="BM50" i="5"/>
  <c r="BN50" i="5"/>
  <c r="AP74" i="8"/>
  <c r="AQ74" i="8"/>
  <c r="X90" i="8"/>
  <c r="Y90" i="8"/>
  <c r="BM102" i="5"/>
  <c r="BN102" i="5"/>
  <c r="F126" i="8"/>
  <c r="G126" i="8"/>
  <c r="AP27" i="8"/>
  <c r="AQ27" i="8"/>
  <c r="AH95" i="8"/>
  <c r="AG95" i="8"/>
  <c r="BN119" i="5"/>
  <c r="BM119" i="5"/>
  <c r="O139" i="8"/>
  <c r="P139" i="8"/>
  <c r="BM151" i="5"/>
  <c r="BN151" i="5"/>
  <c r="O171" i="8"/>
  <c r="P171" i="8"/>
  <c r="AG179" i="8"/>
  <c r="AH179" i="8"/>
  <c r="BN4" i="5"/>
  <c r="BM4" i="5"/>
  <c r="O24" i="8"/>
  <c r="P24" i="8"/>
  <c r="AG40" i="8"/>
  <c r="AH40" i="8"/>
  <c r="AP84" i="8"/>
  <c r="AQ84" i="8"/>
  <c r="BN120" i="5"/>
  <c r="BM120" i="5"/>
  <c r="BY9" i="5"/>
  <c r="BX9" i="5"/>
  <c r="BY25" i="5"/>
  <c r="BX25" i="5"/>
  <c r="BX37" i="5"/>
  <c r="BY37" i="5"/>
  <c r="BX53" i="5"/>
  <c r="BY53" i="5"/>
  <c r="BE69" i="5"/>
  <c r="BD69" i="5"/>
  <c r="AP85" i="8"/>
  <c r="AQ85" i="8"/>
  <c r="AH105" i="8"/>
  <c r="AG105" i="8"/>
  <c r="X181" i="8"/>
  <c r="Y181" i="8"/>
  <c r="AG201" i="8"/>
  <c r="AH201" i="8"/>
  <c r="AG18" i="8"/>
  <c r="AH18" i="8"/>
  <c r="BX26" i="5"/>
  <c r="BY26" i="5"/>
  <c r="AP78" i="8"/>
  <c r="AQ78" i="8"/>
  <c r="AG94" i="8"/>
  <c r="AH94" i="8"/>
  <c r="BX110" i="5"/>
  <c r="BY110" i="5"/>
  <c r="BY87" i="5"/>
  <c r="BX87" i="5"/>
  <c r="AP40" i="8"/>
  <c r="AQ40" i="8"/>
  <c r="O60" i="8"/>
  <c r="P60" i="8"/>
  <c r="X116" i="8"/>
  <c r="Y116" i="8"/>
  <c r="O136" i="8"/>
  <c r="P136" i="8"/>
  <c r="AH152" i="8"/>
  <c r="AG152" i="8"/>
  <c r="O164" i="8"/>
  <c r="P164" i="8"/>
  <c r="AG176" i="8"/>
  <c r="AH176" i="8"/>
  <c r="AG78" i="8"/>
  <c r="AH78" i="8"/>
  <c r="O159" i="8"/>
  <c r="P159" i="8"/>
  <c r="F167" i="8"/>
  <c r="G167" i="8"/>
  <c r="F11" i="8"/>
  <c r="G11" i="8"/>
  <c r="F159" i="8"/>
  <c r="G159" i="8"/>
  <c r="G173" i="8"/>
  <c r="F173" i="8"/>
  <c r="F163" i="8"/>
  <c r="G163" i="8"/>
  <c r="O41" i="8"/>
  <c r="P41" i="8"/>
  <c r="BN53" i="5"/>
  <c r="BM53" i="5"/>
  <c r="BY77" i="5"/>
  <c r="BX77" i="5"/>
  <c r="BY93" i="5"/>
  <c r="BX93" i="5"/>
  <c r="BY109" i="5"/>
  <c r="BX109" i="5"/>
  <c r="AG129" i="8"/>
  <c r="AH129" i="8"/>
  <c r="O137" i="8"/>
  <c r="P137" i="8"/>
  <c r="AG38" i="8"/>
  <c r="AH38" i="8"/>
  <c r="F54" i="8"/>
  <c r="G54" i="8"/>
  <c r="O66" i="8"/>
  <c r="P66" i="8"/>
  <c r="BM118" i="5"/>
  <c r="BN118" i="5"/>
  <c r="BY134" i="5"/>
  <c r="BX134" i="5"/>
  <c r="AG150" i="8"/>
  <c r="AH150" i="8"/>
  <c r="X166" i="8"/>
  <c r="Y166" i="8"/>
  <c r="AP178" i="8"/>
  <c r="AQ178" i="8"/>
  <c r="O198" i="8"/>
  <c r="P198" i="8"/>
  <c r="O15" i="8"/>
  <c r="P15" i="8"/>
  <c r="AP35" i="8"/>
  <c r="AQ35" i="8"/>
  <c r="O143" i="8"/>
  <c r="P143" i="8"/>
  <c r="BY155" i="5"/>
  <c r="BX155" i="5"/>
  <c r="O175" i="8"/>
  <c r="P175" i="8"/>
  <c r="F183" i="8"/>
  <c r="G183" i="8"/>
  <c r="F199" i="8"/>
  <c r="G199" i="8"/>
  <c r="F12" i="8"/>
  <c r="G12" i="8"/>
  <c r="AH24" i="8"/>
  <c r="AG24" i="8"/>
  <c r="O40" i="8"/>
  <c r="P40" i="8"/>
  <c r="BN52" i="5"/>
  <c r="BM52" i="5"/>
  <c r="O72" i="8"/>
  <c r="P72" i="8"/>
  <c r="AG88" i="8"/>
  <c r="AH88" i="8"/>
  <c r="AG120" i="8"/>
  <c r="AH120" i="8"/>
  <c r="X136" i="8"/>
  <c r="Y136" i="8"/>
  <c r="F152" i="8"/>
  <c r="G152" i="8"/>
  <c r="O172" i="8"/>
  <c r="P172" i="8"/>
  <c r="G77" i="8"/>
  <c r="F77" i="8"/>
  <c r="F122" i="8"/>
  <c r="G122" i="8"/>
  <c r="O138" i="8"/>
  <c r="P138" i="8"/>
  <c r="BM146" i="5"/>
  <c r="BN146" i="5"/>
  <c r="AH166" i="8"/>
  <c r="AG166" i="8"/>
  <c r="BM182" i="5"/>
  <c r="BN182" i="5"/>
  <c r="O135" i="8"/>
  <c r="P135" i="8"/>
  <c r="AP171" i="8"/>
  <c r="AQ171" i="8"/>
  <c r="G84" i="8"/>
  <c r="F84" i="8"/>
  <c r="BY96" i="5"/>
  <c r="BX96" i="5"/>
  <c r="BM196" i="5"/>
  <c r="BN196" i="5"/>
  <c r="O13" i="8"/>
  <c r="P13" i="8"/>
  <c r="O29" i="8"/>
  <c r="P29" i="8"/>
  <c r="O45" i="8"/>
  <c r="P45" i="8"/>
  <c r="BN61" i="5"/>
  <c r="BM61" i="5"/>
  <c r="AH77" i="8"/>
  <c r="AG77" i="8"/>
  <c r="AH93" i="8"/>
  <c r="AG93" i="8"/>
  <c r="X117" i="8"/>
  <c r="Y117" i="8"/>
  <c r="AP133" i="8"/>
  <c r="AQ133" i="8"/>
  <c r="BM145" i="5"/>
  <c r="BN145" i="5"/>
  <c r="X161" i="8"/>
  <c r="Y161" i="8"/>
  <c r="AQ42" i="8"/>
  <c r="AP42" i="8"/>
  <c r="AP58" i="8"/>
  <c r="AQ58" i="8"/>
  <c r="BX106" i="5"/>
  <c r="BY106" i="5"/>
  <c r="BY7" i="5"/>
  <c r="BX7" i="5"/>
  <c r="AH19" i="8"/>
  <c r="AG19" i="8"/>
  <c r="F47" i="8"/>
  <c r="G47" i="8"/>
  <c r="AG127" i="8"/>
  <c r="AH127" i="8"/>
  <c r="F143" i="8"/>
  <c r="G143" i="8"/>
  <c r="AG159" i="8"/>
  <c r="AH159" i="8"/>
  <c r="BM179" i="5"/>
  <c r="BN179" i="5"/>
  <c r="AH8" i="8"/>
  <c r="AG8" i="8"/>
  <c r="G28" i="8"/>
  <c r="F28" i="8"/>
  <c r="O48" i="8"/>
  <c r="P48" i="8"/>
  <c r="BN64" i="5"/>
  <c r="BM64" i="5"/>
  <c r="O88" i="8"/>
  <c r="P88" i="8"/>
  <c r="O112" i="8"/>
  <c r="P112" i="8"/>
  <c r="AP124" i="8"/>
  <c r="AQ124" i="8"/>
  <c r="BY13" i="5"/>
  <c r="BX13" i="5"/>
  <c r="BD29" i="5"/>
  <c r="BE29" i="5"/>
  <c r="BY41" i="5"/>
  <c r="BX41" i="5"/>
  <c r="BY57" i="5"/>
  <c r="BX57" i="5"/>
  <c r="X73" i="8"/>
  <c r="Y73" i="8"/>
  <c r="BN93" i="5"/>
  <c r="BM93" i="5"/>
  <c r="BN109" i="5"/>
  <c r="BM109" i="5"/>
  <c r="F189" i="8"/>
  <c r="G189" i="8"/>
  <c r="X6" i="8"/>
  <c r="Y6" i="8"/>
  <c r="BM18" i="5"/>
  <c r="BN18" i="5"/>
  <c r="X34" i="8"/>
  <c r="Y34" i="8"/>
  <c r="AP82" i="8"/>
  <c r="AQ82" i="8"/>
  <c r="AP98" i="8"/>
  <c r="AQ98" i="8"/>
  <c r="O118" i="8"/>
  <c r="P118" i="8"/>
  <c r="AP134" i="8"/>
  <c r="AQ134" i="8"/>
  <c r="BY91" i="5"/>
  <c r="BX91" i="5"/>
  <c r="AP32" i="8"/>
  <c r="AQ32" i="8"/>
  <c r="AG44" i="8"/>
  <c r="AH44" i="8"/>
  <c r="AP64" i="8"/>
  <c r="AQ64" i="8"/>
  <c r="O124" i="8"/>
  <c r="P124" i="8"/>
  <c r="BM136" i="5"/>
  <c r="BN136" i="5"/>
  <c r="BY152" i="5"/>
  <c r="BX152" i="5"/>
  <c r="BM164" i="5"/>
  <c r="BN164" i="5"/>
  <c r="AH184" i="8"/>
  <c r="AG184" i="8"/>
  <c r="X200" i="8"/>
  <c r="Y200" i="8"/>
  <c r="G179" i="8"/>
  <c r="F179" i="8"/>
  <c r="O163" i="8"/>
  <c r="P163" i="8"/>
  <c r="O191" i="8"/>
  <c r="P191" i="8"/>
  <c r="O153" i="8"/>
  <c r="P153" i="8"/>
  <c r="O169" i="8"/>
  <c r="P169" i="8"/>
  <c r="O181" i="8"/>
  <c r="P181" i="8"/>
  <c r="F131" i="8"/>
  <c r="G131" i="8"/>
  <c r="AL88" i="7"/>
  <c r="AL39" i="7"/>
  <c r="AL80" i="7"/>
  <c r="AL149" i="7"/>
  <c r="AL103" i="7"/>
  <c r="R170" i="7"/>
  <c r="AL47" i="7"/>
  <c r="R196" i="7"/>
  <c r="R130" i="7"/>
  <c r="Q130" i="7"/>
  <c r="R151" i="7"/>
  <c r="Q151" i="7"/>
  <c r="R134" i="7"/>
  <c r="Q134" i="7"/>
  <c r="R142" i="7"/>
  <c r="Q142" i="7"/>
  <c r="R9" i="7"/>
  <c r="Q9" i="7"/>
  <c r="R150" i="7"/>
  <c r="Q150" i="7"/>
  <c r="R175" i="7"/>
  <c r="Q175" i="7"/>
  <c r="R168" i="7"/>
  <c r="R124" i="7"/>
  <c r="Q124" i="7"/>
  <c r="R159" i="7"/>
  <c r="Q159" i="7"/>
  <c r="R36" i="7"/>
  <c r="Q36" i="7"/>
  <c r="R98" i="7"/>
  <c r="Q98" i="7"/>
  <c r="R93" i="7"/>
  <c r="Q93" i="7"/>
  <c r="R66" i="7"/>
  <c r="Q66" i="7"/>
  <c r="R191" i="7"/>
  <c r="Q191" i="7"/>
  <c r="AL148" i="7"/>
  <c r="AL13" i="7"/>
  <c r="R135" i="7"/>
  <c r="Q135" i="7"/>
  <c r="R161" i="7"/>
  <c r="Q161" i="7"/>
  <c r="R100" i="7"/>
  <c r="Q100" i="7"/>
  <c r="R149" i="7"/>
  <c r="Q149" i="7"/>
  <c r="R110" i="7"/>
  <c r="Q110" i="7"/>
  <c r="Q114" i="5"/>
  <c r="Q197" i="5"/>
  <c r="Q5" i="5"/>
  <c r="Q138" i="5"/>
  <c r="Q165" i="5"/>
  <c r="Q127" i="5"/>
  <c r="Q137" i="5"/>
  <c r="Q75" i="5"/>
  <c r="Q34" i="5"/>
  <c r="Q133" i="5"/>
  <c r="Q81" i="5"/>
  <c r="Q37" i="5"/>
  <c r="Q195" i="5"/>
  <c r="Q134" i="5"/>
  <c r="Q151" i="5"/>
  <c r="Q33" i="5"/>
  <c r="Q184" i="5"/>
  <c r="Q200" i="5"/>
  <c r="Q31" i="5"/>
  <c r="Q10" i="5"/>
  <c r="Q12" i="5"/>
  <c r="Q162" i="5"/>
  <c r="Q74" i="5"/>
  <c r="Q26" i="5"/>
  <c r="Q117" i="5"/>
  <c r="Q28" i="5"/>
  <c r="Q198" i="5"/>
  <c r="Q160" i="5"/>
  <c r="Q50" i="5"/>
  <c r="F15" i="5"/>
  <c r="G15" i="5"/>
  <c r="F143" i="5"/>
  <c r="G143" i="5"/>
  <c r="F134" i="5"/>
  <c r="G134" i="5"/>
  <c r="F48" i="5"/>
  <c r="G48" i="5"/>
  <c r="F153" i="5"/>
  <c r="G153" i="5"/>
  <c r="Q63" i="5"/>
  <c r="F75" i="5"/>
  <c r="G75" i="5"/>
  <c r="Q150" i="5"/>
  <c r="F131" i="5"/>
  <c r="G131" i="5"/>
  <c r="F150" i="5"/>
  <c r="G150" i="5"/>
  <c r="F119" i="5"/>
  <c r="G119" i="5"/>
  <c r="Q95" i="5"/>
  <c r="F19" i="5"/>
  <c r="G19" i="5"/>
  <c r="F95" i="5"/>
  <c r="G95" i="5"/>
  <c r="F123" i="5"/>
  <c r="G123" i="5"/>
  <c r="F111" i="5"/>
  <c r="G111" i="5"/>
  <c r="F22" i="5"/>
  <c r="G22" i="5"/>
  <c r="F81" i="5"/>
  <c r="G81" i="5"/>
  <c r="F12" i="5"/>
  <c r="G12" i="5"/>
  <c r="F25" i="5"/>
  <c r="G25" i="5"/>
  <c r="F116" i="5"/>
  <c r="G116" i="5"/>
  <c r="F180" i="5"/>
  <c r="G180" i="5"/>
  <c r="F28" i="5"/>
  <c r="G28" i="5"/>
  <c r="AA173" i="5"/>
  <c r="F194" i="5"/>
  <c r="G194" i="5"/>
  <c r="F99" i="5"/>
  <c r="G99" i="5"/>
  <c r="F186" i="5"/>
  <c r="G186" i="5"/>
  <c r="F87" i="5"/>
  <c r="G87" i="5"/>
  <c r="F63" i="5"/>
  <c r="G63" i="5"/>
  <c r="F191" i="5"/>
  <c r="G191" i="5"/>
  <c r="F178" i="5"/>
  <c r="G178" i="5"/>
  <c r="F27" i="5"/>
  <c r="G27" i="5"/>
  <c r="F39" i="5"/>
  <c r="G39" i="5"/>
  <c r="F79" i="5"/>
  <c r="G79" i="5"/>
  <c r="F88" i="5"/>
  <c r="G88" i="5"/>
  <c r="F132" i="5"/>
  <c r="G132" i="5"/>
  <c r="F76" i="5"/>
  <c r="G76" i="5"/>
  <c r="F24" i="5"/>
  <c r="G24" i="5"/>
  <c r="F109" i="5"/>
  <c r="G109" i="5"/>
  <c r="F155" i="5"/>
  <c r="G155" i="5"/>
  <c r="F147" i="5"/>
  <c r="G147" i="5"/>
  <c r="F139" i="5"/>
  <c r="G139" i="5"/>
  <c r="F114" i="5"/>
  <c r="G114" i="5"/>
  <c r="F67" i="5"/>
  <c r="G67" i="5"/>
  <c r="F195" i="5"/>
  <c r="G195" i="5"/>
  <c r="F90" i="5"/>
  <c r="G90" i="5"/>
  <c r="F138" i="5"/>
  <c r="G138" i="5"/>
  <c r="F85" i="5"/>
  <c r="G85" i="5"/>
  <c r="F130" i="5"/>
  <c r="G130" i="5"/>
  <c r="F179" i="5"/>
  <c r="G179" i="5"/>
  <c r="F31" i="5"/>
  <c r="G31" i="5"/>
  <c r="F159" i="5"/>
  <c r="G159" i="5"/>
  <c r="F82" i="5"/>
  <c r="G82" i="5"/>
  <c r="Q86" i="5"/>
  <c r="F47" i="5"/>
  <c r="G47" i="5"/>
  <c r="F175" i="5"/>
  <c r="G175" i="5"/>
  <c r="G3" i="5"/>
  <c r="F3" i="5"/>
  <c r="F59" i="5"/>
  <c r="G59" i="5"/>
  <c r="F71" i="5"/>
  <c r="G71" i="5"/>
  <c r="F107" i="5"/>
  <c r="G107" i="5"/>
  <c r="F106" i="5"/>
  <c r="G106" i="5"/>
  <c r="F69" i="5"/>
  <c r="G69" i="5"/>
  <c r="F35" i="5"/>
  <c r="G35" i="5"/>
  <c r="F163" i="5"/>
  <c r="G163" i="5"/>
  <c r="F6" i="5"/>
  <c r="G6" i="5"/>
  <c r="F23" i="5"/>
  <c r="G23" i="5"/>
  <c r="Q14" i="5"/>
  <c r="F187" i="5"/>
  <c r="G187" i="5"/>
  <c r="F83" i="5"/>
  <c r="G83" i="5"/>
  <c r="F167" i="5"/>
  <c r="G167" i="5"/>
  <c r="F127" i="5"/>
  <c r="G127" i="5"/>
  <c r="AA14" i="5"/>
  <c r="F51" i="5"/>
  <c r="G51" i="5"/>
  <c r="AL111" i="7"/>
  <c r="AL27" i="7"/>
  <c r="AL171" i="7"/>
  <c r="AL120" i="7"/>
  <c r="AL201" i="7"/>
  <c r="AL198" i="7"/>
  <c r="AL110" i="7"/>
  <c r="AL151" i="7"/>
  <c r="AL66" i="7"/>
  <c r="AL147" i="7"/>
  <c r="AK181" i="7"/>
  <c r="AJ181" i="7"/>
  <c r="AK166" i="7"/>
  <c r="AJ166" i="7"/>
  <c r="AK129" i="7"/>
  <c r="AJ129" i="7"/>
  <c r="AK112" i="7"/>
  <c r="AJ112" i="7"/>
  <c r="AK196" i="7"/>
  <c r="AJ196" i="7"/>
  <c r="AK50" i="7"/>
  <c r="AJ50" i="7"/>
  <c r="AJ33" i="7"/>
  <c r="AJ174" i="7"/>
  <c r="AJ180" i="7"/>
  <c r="AJ145" i="7"/>
  <c r="AJ140" i="7"/>
  <c r="AL175" i="7"/>
  <c r="AL127" i="7"/>
  <c r="AL107" i="7"/>
  <c r="AL42" i="7"/>
  <c r="AL38" i="7"/>
  <c r="AK114" i="7"/>
  <c r="AJ114" i="7"/>
  <c r="AK178" i="7"/>
  <c r="AJ178" i="7"/>
  <c r="AK197" i="7"/>
  <c r="AJ197" i="7"/>
  <c r="AK121" i="7"/>
  <c r="AJ121" i="7"/>
  <c r="AK132" i="7"/>
  <c r="AJ132" i="7"/>
  <c r="AK18" i="7"/>
  <c r="AJ18" i="7"/>
  <c r="AK73" i="7"/>
  <c r="AJ73" i="7"/>
  <c r="AK89" i="7"/>
  <c r="AJ89" i="7"/>
  <c r="AK160" i="7"/>
  <c r="AJ160" i="7"/>
  <c r="AK17" i="7"/>
  <c r="AJ17" i="7"/>
  <c r="AK137" i="7"/>
  <c r="AJ137" i="7"/>
  <c r="AK78" i="7"/>
  <c r="AJ78" i="7"/>
  <c r="AK126" i="7"/>
  <c r="AJ126" i="7"/>
  <c r="AK21" i="7"/>
  <c r="AJ21" i="7"/>
  <c r="AK162" i="7"/>
  <c r="AJ162" i="7"/>
  <c r="AK173" i="7"/>
  <c r="AJ173" i="7"/>
  <c r="AK49" i="7"/>
  <c r="AJ49" i="7"/>
  <c r="AK182" i="7"/>
  <c r="AJ182" i="7"/>
  <c r="AK63" i="7"/>
  <c r="AJ63" i="7"/>
  <c r="AJ57" i="7"/>
  <c r="AJ44" i="7"/>
  <c r="AJ64" i="7"/>
  <c r="AJ156" i="7"/>
  <c r="AJ154" i="7"/>
  <c r="AK93" i="7"/>
  <c r="AJ93" i="7"/>
  <c r="AK141" i="7"/>
  <c r="AJ141" i="7"/>
  <c r="AK105" i="7"/>
  <c r="AJ105" i="7"/>
  <c r="AK135" i="7"/>
  <c r="AJ135" i="7"/>
  <c r="AK188" i="7"/>
  <c r="AJ116" i="7"/>
  <c r="AH3" i="7"/>
  <c r="AK3" i="7" s="1"/>
  <c r="AJ3" i="7"/>
  <c r="AK30" i="7"/>
  <c r="AJ30" i="7"/>
  <c r="AK164" i="7"/>
  <c r="AJ164" i="7"/>
  <c r="AK193" i="7"/>
  <c r="AJ193" i="7"/>
  <c r="AK7" i="7"/>
  <c r="AJ7" i="7"/>
  <c r="AK48" i="7"/>
  <c r="AJ48" i="7"/>
  <c r="AK14" i="7"/>
  <c r="AJ14" i="7"/>
  <c r="AJ74" i="7"/>
  <c r="AJ150" i="7"/>
  <c r="AJ92" i="7"/>
  <c r="AJ32" i="7"/>
  <c r="AK5" i="7"/>
  <c r="AJ5" i="7"/>
  <c r="AK4" i="7"/>
  <c r="AJ4" i="7"/>
  <c r="AK165" i="7"/>
  <c r="AJ165" i="7"/>
  <c r="AK62" i="7"/>
  <c r="AJ62" i="7"/>
  <c r="AK184" i="7"/>
  <c r="AJ184" i="7"/>
  <c r="AK153" i="7"/>
  <c r="AJ153" i="7"/>
  <c r="AK159" i="7"/>
  <c r="AJ159" i="7"/>
  <c r="AL143" i="7"/>
  <c r="AK25" i="7"/>
  <c r="AJ25" i="7"/>
  <c r="AK41" i="7"/>
  <c r="AJ41" i="7"/>
  <c r="AK16" i="7"/>
  <c r="AJ16" i="7"/>
  <c r="AK192" i="7"/>
  <c r="AJ192" i="7"/>
  <c r="AK101" i="7"/>
  <c r="AJ101" i="7"/>
  <c r="AK97" i="7"/>
  <c r="AJ97" i="7"/>
  <c r="AK69" i="7"/>
  <c r="AJ69" i="7"/>
  <c r="AK144" i="7"/>
  <c r="AJ144" i="7"/>
  <c r="AK190" i="7"/>
  <c r="AJ190" i="7"/>
  <c r="AK86" i="7"/>
  <c r="AJ86" i="7"/>
  <c r="AK46" i="7"/>
  <c r="AJ46" i="7"/>
  <c r="AK85" i="7"/>
  <c r="AJ85" i="7"/>
  <c r="AK109" i="7"/>
  <c r="AJ109" i="7"/>
  <c r="AK68" i="7"/>
  <c r="AJ68" i="7"/>
  <c r="AK130" i="7"/>
  <c r="AJ130" i="7"/>
  <c r="AK65" i="7"/>
  <c r="AJ65" i="7"/>
  <c r="AJ125" i="7"/>
  <c r="AK168" i="7"/>
  <c r="AJ168" i="7"/>
  <c r="AJ185" i="7"/>
  <c r="AJ176" i="7"/>
  <c r="AJ202" i="7"/>
  <c r="Q113" i="5"/>
  <c r="Q146" i="5"/>
  <c r="Q182" i="5"/>
  <c r="Q121" i="5"/>
  <c r="AK133" i="7"/>
  <c r="AK128" i="7"/>
  <c r="R183" i="7"/>
  <c r="AK138" i="7"/>
  <c r="AK12" i="7"/>
  <c r="AK74" i="7"/>
  <c r="AK96" i="7"/>
  <c r="R186" i="7"/>
  <c r="AK53" i="7"/>
  <c r="AK191" i="7"/>
  <c r="R121" i="7"/>
  <c r="R174" i="7"/>
  <c r="R155" i="7"/>
  <c r="R117" i="7"/>
  <c r="R113" i="7"/>
  <c r="R119" i="7"/>
  <c r="R202" i="7"/>
  <c r="R112" i="7"/>
  <c r="R68" i="7"/>
  <c r="R50" i="7"/>
  <c r="R46" i="7"/>
  <c r="AL43" i="7"/>
  <c r="R94" i="7"/>
  <c r="R162" i="7"/>
  <c r="R126" i="7"/>
  <c r="R77" i="7"/>
  <c r="R13" i="7"/>
  <c r="R62" i="7"/>
  <c r="R109" i="7"/>
  <c r="R178" i="7"/>
  <c r="R45" i="7"/>
  <c r="R53" i="7"/>
  <c r="R18" i="7"/>
  <c r="AL91" i="7"/>
  <c r="AI3" i="7"/>
  <c r="R101" i="7"/>
  <c r="R201" i="7"/>
  <c r="R173" i="7"/>
  <c r="R141" i="7"/>
  <c r="R7" i="7"/>
  <c r="R32" i="7"/>
  <c r="R158" i="7"/>
  <c r="Q164" i="5"/>
  <c r="AK24" i="5"/>
  <c r="AK40" i="5"/>
  <c r="Q194" i="5"/>
  <c r="AK49" i="5"/>
  <c r="Q152" i="5"/>
  <c r="Q87" i="5"/>
  <c r="AK42" i="5"/>
  <c r="Q48" i="5"/>
  <c r="Q56" i="5"/>
  <c r="Q110" i="5"/>
  <c r="Q103" i="5"/>
  <c r="Q189" i="5"/>
  <c r="AK190" i="5"/>
  <c r="G103" i="5"/>
  <c r="Q145" i="5"/>
  <c r="AK158" i="5"/>
  <c r="G135" i="5"/>
  <c r="G199" i="5"/>
  <c r="G53" i="5"/>
  <c r="Q141" i="5"/>
  <c r="G55" i="5"/>
  <c r="Q59" i="5"/>
  <c r="Q17" i="5"/>
  <c r="G151" i="5"/>
  <c r="Q157" i="5"/>
  <c r="G141" i="5"/>
  <c r="R97" i="7"/>
  <c r="Q201" i="5"/>
  <c r="Q11" i="5"/>
  <c r="Q53" i="5"/>
  <c r="G74" i="5"/>
  <c r="G189" i="5"/>
  <c r="Q186" i="5"/>
  <c r="Q168" i="5"/>
  <c r="AK186" i="5"/>
  <c r="G133" i="5"/>
  <c r="G110" i="5"/>
  <c r="Q178" i="5"/>
  <c r="AK182" i="5"/>
  <c r="AK12" i="5"/>
  <c r="AK37" i="5"/>
  <c r="AK52" i="5"/>
  <c r="AK148" i="5"/>
  <c r="AK177" i="5"/>
  <c r="Q166" i="5"/>
  <c r="Q64" i="5"/>
  <c r="AK84" i="5"/>
  <c r="Q52" i="5"/>
  <c r="G78" i="5"/>
  <c r="AK13" i="5"/>
  <c r="G33" i="5"/>
  <c r="G57" i="5"/>
  <c r="G104" i="5"/>
  <c r="AK65" i="5"/>
  <c r="Q153" i="5"/>
  <c r="G121" i="5"/>
  <c r="AK113" i="5"/>
  <c r="Q177" i="5"/>
  <c r="G30" i="5"/>
  <c r="AK184" i="5"/>
  <c r="AK202" i="5"/>
  <c r="AK89" i="5"/>
  <c r="R180" i="7"/>
  <c r="AK174" i="5"/>
  <c r="Q44" i="5"/>
  <c r="AK20" i="5"/>
  <c r="R198" i="7"/>
  <c r="R21" i="7"/>
  <c r="AK192" i="5"/>
  <c r="R52" i="7"/>
  <c r="AK57" i="5"/>
  <c r="R132" i="7"/>
  <c r="R116" i="7"/>
  <c r="AK36" i="5"/>
  <c r="Q92" i="5"/>
  <c r="Q185" i="5"/>
  <c r="Q4" i="5"/>
  <c r="AK27" i="5"/>
  <c r="Q108" i="5"/>
  <c r="AK161" i="5"/>
  <c r="Q100" i="5"/>
  <c r="Q148" i="5"/>
  <c r="Q116" i="5"/>
  <c r="Q169" i="5"/>
  <c r="Q196" i="5"/>
  <c r="Q76" i="5"/>
  <c r="Q172" i="5"/>
  <c r="AA6" i="7"/>
  <c r="AJ40" i="7" l="1"/>
  <c r="AK194" i="7"/>
  <c r="AK20" i="7"/>
  <c r="AK60" i="7"/>
  <c r="AJ37" i="7"/>
  <c r="AJ104" i="7"/>
  <c r="AK24" i="7"/>
  <c r="AJ15" i="7"/>
  <c r="AK54" i="7"/>
  <c r="AK187" i="7"/>
  <c r="AJ10" i="7"/>
  <c r="AJ136" i="7"/>
  <c r="AK37" i="7"/>
  <c r="AL37" i="7"/>
  <c r="AK119" i="7"/>
  <c r="AL119" i="7"/>
  <c r="AK102" i="7"/>
  <c r="AL102" i="7"/>
  <c r="AK75" i="7"/>
  <c r="AL75" i="7"/>
  <c r="AK15" i="7"/>
  <c r="AL15" i="7"/>
  <c r="AK161" i="7"/>
  <c r="AL161" i="7"/>
  <c r="AK79" i="7"/>
  <c r="AL79" i="7"/>
  <c r="AK90" i="7"/>
  <c r="AL90" i="7"/>
  <c r="AK104" i="7"/>
  <c r="AL104" i="7"/>
  <c r="AK195" i="7"/>
  <c r="AL195" i="7"/>
  <c r="AK99" i="7"/>
  <c r="AL99" i="7"/>
  <c r="AK115" i="7"/>
  <c r="AL115" i="7"/>
  <c r="AL200" i="7"/>
  <c r="AJ157" i="7"/>
  <c r="AJ188" i="7"/>
  <c r="AL167" i="7"/>
  <c r="AJ90" i="7"/>
  <c r="AJ161" i="7"/>
  <c r="AK61" i="7"/>
  <c r="AK67" i="7"/>
  <c r="AJ187" i="7"/>
  <c r="AJ115" i="7"/>
  <c r="AJ119" i="7"/>
  <c r="AJ122" i="7"/>
  <c r="AJ72" i="7"/>
  <c r="AJ83" i="7"/>
  <c r="AK152" i="7"/>
  <c r="AJ131" i="7"/>
  <c r="AJ35" i="7"/>
  <c r="AL118" i="7"/>
  <c r="AJ52" i="7"/>
  <c r="AK136" i="7"/>
  <c r="AL10" i="7"/>
  <c r="AK22" i="7"/>
  <c r="AJ84" i="7"/>
  <c r="AJ82" i="7"/>
  <c r="AK26" i="7"/>
  <c r="AJ195" i="7"/>
  <c r="AJ123" i="7"/>
  <c r="AL20" i="7"/>
  <c r="AL60" i="7"/>
  <c r="AL54" i="7"/>
  <c r="AL95" i="7"/>
  <c r="AL45" i="7"/>
  <c r="AL26" i="7"/>
  <c r="AL28" i="7"/>
  <c r="AL194" i="7"/>
  <c r="AL19" i="7"/>
  <c r="AL124" i="7"/>
  <c r="AL122" i="7"/>
  <c r="AL100" i="7"/>
  <c r="AL72" i="7"/>
  <c r="AL188" i="7"/>
  <c r="AL168" i="7"/>
  <c r="AL12" i="7"/>
  <c r="AL36" i="7"/>
  <c r="AK36" i="7"/>
  <c r="AK185" i="7"/>
  <c r="AL185" i="7"/>
  <c r="AL58" i="7"/>
  <c r="AK58" i="7"/>
  <c r="AK32" i="7"/>
  <c r="AL32" i="7"/>
  <c r="AK150" i="7"/>
  <c r="AL150" i="7"/>
  <c r="AK154" i="7"/>
  <c r="AL154" i="7"/>
  <c r="AL57" i="7"/>
  <c r="AK57" i="7"/>
  <c r="AL70" i="7"/>
  <c r="AK70" i="7"/>
  <c r="AK145" i="7"/>
  <c r="AL145" i="7"/>
  <c r="AK180" i="7"/>
  <c r="AL180" i="7"/>
  <c r="AK174" i="7"/>
  <c r="AL174" i="7"/>
  <c r="AK118" i="7"/>
  <c r="AK202" i="7"/>
  <c r="AL202" i="7"/>
  <c r="AK125" i="7"/>
  <c r="AL125" i="7"/>
  <c r="AL191" i="7"/>
  <c r="AL189" i="7"/>
  <c r="AK189" i="7"/>
  <c r="AL29" i="7"/>
  <c r="AK29" i="7"/>
  <c r="AK169" i="7"/>
  <c r="AL169" i="7"/>
  <c r="AK52" i="7"/>
  <c r="AL52" i="7"/>
  <c r="AK64" i="7"/>
  <c r="AL64" i="7"/>
  <c r="AL81" i="7"/>
  <c r="AK81" i="7"/>
  <c r="AL8" i="7"/>
  <c r="AK8" i="7"/>
  <c r="AK176" i="7"/>
  <c r="AL176" i="7"/>
  <c r="AL117" i="7"/>
  <c r="AK117" i="7"/>
  <c r="AL76" i="7"/>
  <c r="AK76" i="7"/>
  <c r="AK157" i="7"/>
  <c r="AL157" i="7"/>
  <c r="AK92" i="7"/>
  <c r="AL92" i="7"/>
  <c r="AK116" i="7"/>
  <c r="AL116" i="7"/>
  <c r="AK156" i="7"/>
  <c r="AL156" i="7"/>
  <c r="AK44" i="7"/>
  <c r="AL44" i="7"/>
  <c r="AK140" i="7"/>
  <c r="AL140" i="7"/>
  <c r="AK33" i="7"/>
  <c r="AL33" i="7"/>
  <c r="AL96" i="7"/>
  <c r="AL74" i="7"/>
  <c r="AL128" i="7"/>
  <c r="AL133" i="7"/>
  <c r="AL138" i="7"/>
  <c r="AL63" i="7"/>
  <c r="AL135" i="7"/>
  <c r="AL159" i="7"/>
  <c r="AL182" i="7"/>
  <c r="AL53" i="7"/>
  <c r="AL153" i="7"/>
  <c r="AL162" i="7"/>
  <c r="AL93" i="7"/>
  <c r="AL144" i="7"/>
  <c r="AL68" i="7"/>
  <c r="AL21" i="7"/>
  <c r="AL178" i="7"/>
  <c r="AL65" i="7"/>
  <c r="AL48" i="7"/>
  <c r="AL69" i="7"/>
  <c r="AL50" i="7"/>
  <c r="AL137" i="7"/>
  <c r="AL97" i="7"/>
  <c r="AL30" i="7"/>
  <c r="AL46" i="7"/>
  <c r="AL165" i="7"/>
  <c r="AL17" i="7"/>
  <c r="AL14" i="7"/>
  <c r="AL196" i="7"/>
  <c r="AL105" i="7"/>
  <c r="AL3" i="7"/>
  <c r="AL160" i="7"/>
  <c r="AL184" i="7"/>
  <c r="AL112" i="7"/>
  <c r="AL86" i="7"/>
  <c r="AL166" i="7"/>
  <c r="AL197" i="7"/>
  <c r="AL193" i="7"/>
  <c r="AL101" i="7"/>
  <c r="AL62" i="7"/>
  <c r="AL141" i="7"/>
  <c r="AL49" i="7"/>
  <c r="AL173" i="7"/>
  <c r="AL192" i="7"/>
  <c r="AL164" i="7"/>
  <c r="AL181" i="7"/>
  <c r="AL7" i="7"/>
  <c r="AL89" i="7"/>
  <c r="AL5" i="7"/>
  <c r="AL85" i="7"/>
  <c r="AL109" i="7"/>
  <c r="AL190" i="7"/>
  <c r="AL129" i="7"/>
  <c r="AL41" i="7"/>
  <c r="AL73" i="7"/>
  <c r="AL18" i="7"/>
  <c r="AL78" i="7"/>
  <c r="AL16" i="7"/>
  <c r="AL25" i="7"/>
  <c r="AL126" i="7"/>
  <c r="AL132" i="7"/>
  <c r="AL121" i="7"/>
  <c r="AL114" i="7"/>
  <c r="AL130" i="7"/>
  <c r="AL4" i="7"/>
  <c r="AK61" i="5"/>
  <c r="AK50" i="5"/>
  <c r="AK98" i="5"/>
  <c r="AK66" i="5"/>
  <c r="AK106" i="5"/>
  <c r="AK32" i="5"/>
  <c r="AK170" i="5"/>
  <c r="AK18" i="5"/>
  <c r="AK194" i="5"/>
  <c r="AK21" i="5"/>
  <c r="AK178" i="5"/>
  <c r="AK193" i="5"/>
  <c r="AK197" i="5"/>
  <c r="AK137" i="5"/>
  <c r="AK101" i="5"/>
  <c r="AK22" i="5"/>
  <c r="AK172" i="5"/>
  <c r="AK25" i="5"/>
  <c r="AK69" i="5"/>
  <c r="AK44" i="5"/>
  <c r="AK81" i="5"/>
  <c r="AK140" i="5"/>
  <c r="AK133" i="5"/>
  <c r="AK60" i="5"/>
  <c r="AK166" i="5"/>
  <c r="AK97" i="5"/>
  <c r="AK6" i="5"/>
  <c r="AK124" i="5"/>
  <c r="AK76" i="5"/>
  <c r="AK70" i="5"/>
  <c r="AK185" i="5"/>
  <c r="AK5" i="5"/>
  <c r="AK134" i="5"/>
  <c r="AK64" i="5"/>
  <c r="AK33" i="5"/>
  <c r="AK77" i="5"/>
  <c r="AK45" i="5"/>
  <c r="AK80" i="5"/>
  <c r="AK128" i="5"/>
  <c r="AK16" i="5"/>
  <c r="AK112" i="5"/>
  <c r="AK96" i="5"/>
  <c r="AK141" i="5"/>
  <c r="AK176" i="5"/>
  <c r="AK144" i="5"/>
  <c r="AK109" i="5"/>
  <c r="AK48" i="5"/>
  <c r="AK41" i="5"/>
  <c r="AK105" i="5"/>
  <c r="AK156" i="5"/>
  <c r="AK195" i="5"/>
  <c r="AK67" i="5"/>
  <c r="AK51" i="5"/>
  <c r="AK87" i="5"/>
  <c r="AK107" i="5"/>
  <c r="AK43" i="5"/>
  <c r="AK23" i="5"/>
  <c r="AK191" i="5"/>
  <c r="AK47" i="5"/>
  <c r="AK91" i="5"/>
  <c r="AK99" i="5"/>
  <c r="AK139" i="5"/>
  <c r="AK63" i="5"/>
  <c r="AK15" i="5"/>
  <c r="AK59" i="5"/>
  <c r="AK11" i="5"/>
  <c r="AK175" i="5"/>
  <c r="AK151" i="5"/>
  <c r="AK163" i="5"/>
  <c r="AK75" i="5"/>
  <c r="AK35" i="5"/>
  <c r="AK143" i="5"/>
  <c r="AK183" i="5"/>
  <c r="AK187" i="5"/>
  <c r="AK31" i="5"/>
  <c r="AK167" i="5"/>
  <c r="AK123" i="5"/>
  <c r="AK71" i="5"/>
  <c r="AK127" i="5"/>
  <c r="AK103" i="5"/>
  <c r="AK179" i="5"/>
  <c r="AK95" i="5"/>
  <c r="AK111" i="5"/>
  <c r="AK147" i="5"/>
  <c r="AK55" i="5"/>
  <c r="AK19" i="5"/>
  <c r="AK171" i="5"/>
  <c r="AK199" i="5"/>
  <c r="AK115" i="5"/>
  <c r="AK39" i="5"/>
  <c r="AK79" i="5"/>
  <c r="AK7" i="5"/>
  <c r="AK131" i="5"/>
  <c r="AK119" i="5"/>
  <c r="AK83" i="5"/>
  <c r="AK135" i="5"/>
  <c r="AK155" i="5"/>
  <c r="AK159" i="5"/>
  <c r="AA5" i="7"/>
  <c r="AL22" i="7" l="1"/>
  <c r="AL24" i="7"/>
  <c r="AK10" i="7"/>
  <c r="AK200" i="7"/>
  <c r="AL61" i="7"/>
  <c r="AL67" i="7"/>
  <c r="AL187" i="7"/>
  <c r="AK183" i="7"/>
  <c r="AL183" i="7"/>
  <c r="AK131" i="7"/>
  <c r="AL131" i="7"/>
  <c r="AK84" i="7"/>
  <c r="AL84" i="7"/>
  <c r="AK40" i="7"/>
  <c r="AL40" i="7"/>
  <c r="AL136" i="7"/>
  <c r="AL152" i="7"/>
  <c r="AK82" i="7"/>
  <c r="AL82" i="7"/>
  <c r="AK35" i="7"/>
  <c r="AL35" i="7"/>
  <c r="AK186" i="7"/>
  <c r="AL186" i="7"/>
  <c r="AK123" i="7"/>
  <c r="AL123" i="7"/>
  <c r="AK83" i="7"/>
  <c r="AL83" i="7"/>
  <c r="AK6" i="7"/>
  <c r="AL6" i="7"/>
  <c r="AA8" i="7"/>
  <c r="AA7" i="7" l="1"/>
  <c r="AA10" i="7" l="1"/>
  <c r="AA9" i="7"/>
  <c r="AA11" i="7" l="1"/>
  <c r="AA12" i="7"/>
  <c r="AA13" i="7" l="1"/>
  <c r="AA14" i="7"/>
  <c r="AA16" i="7" l="1"/>
  <c r="AA15" i="7" l="1"/>
  <c r="AA18" i="7" l="1"/>
  <c r="AA17" i="7" l="1"/>
  <c r="AA20" i="7" l="1"/>
  <c r="AA19" i="7" l="1"/>
  <c r="AA22" i="7" l="1"/>
  <c r="AA21" i="7" l="1"/>
  <c r="AA24" i="7" l="1"/>
  <c r="AA23" i="7" l="1"/>
  <c r="AA26" i="7" l="1"/>
  <c r="AA25" i="7" l="1"/>
  <c r="AA28" i="7" l="1"/>
  <c r="AA27" i="7" l="1"/>
  <c r="AA30" i="7" l="1"/>
  <c r="AA29" i="7" l="1"/>
  <c r="AA32" i="7" l="1"/>
  <c r="AA31" i="7" l="1"/>
  <c r="AA34" i="7" l="1"/>
  <c r="AA33" i="7" l="1"/>
  <c r="AA36" i="7" l="1"/>
  <c r="AA35" i="7" l="1"/>
  <c r="AA38" i="7" l="1"/>
  <c r="AA37" i="7" l="1"/>
  <c r="AA40" i="7" l="1"/>
  <c r="AA39" i="7" l="1"/>
  <c r="AA42" i="7" l="1"/>
  <c r="AA41" i="7" l="1"/>
  <c r="AA44" i="7" l="1"/>
  <c r="AA43" i="7" l="1"/>
  <c r="AA46" i="7" l="1"/>
  <c r="AA45" i="7" l="1"/>
  <c r="AA48" i="7" l="1"/>
  <c r="AA47" i="7" l="1"/>
  <c r="AA50" i="7" l="1"/>
  <c r="AA49" i="7" l="1"/>
  <c r="AA52" i="7" l="1"/>
  <c r="AA51" i="7" l="1"/>
  <c r="AA54" i="7" l="1"/>
  <c r="AA53" i="7" l="1"/>
  <c r="AA56" i="7" l="1"/>
  <c r="AA55" i="7" l="1"/>
  <c r="AA58" i="7" l="1"/>
  <c r="AA57" i="7" l="1"/>
  <c r="AA60" i="7" l="1"/>
  <c r="AA59" i="7" l="1"/>
  <c r="AA62" i="7" l="1"/>
  <c r="AA61" i="7" l="1"/>
  <c r="AA64" i="7" l="1"/>
  <c r="AA63" i="7" l="1"/>
  <c r="AA66" i="7" l="1"/>
  <c r="AA65" i="7" l="1"/>
  <c r="AA68" i="7" l="1"/>
  <c r="AA67" i="7" l="1"/>
  <c r="AA70" i="7" l="1"/>
  <c r="AA69" i="7" l="1"/>
  <c r="AA72" i="7" l="1"/>
  <c r="AA71" i="7" l="1"/>
  <c r="AA74" i="7" l="1"/>
  <c r="AA73" i="7" l="1"/>
  <c r="AA76" i="7" l="1"/>
  <c r="AA75" i="7" l="1"/>
  <c r="AA78" i="7" l="1"/>
  <c r="AA77" i="7" l="1"/>
  <c r="AA80" i="7" l="1"/>
  <c r="AA79" i="7" l="1"/>
  <c r="AA82" i="7" l="1"/>
  <c r="AA81" i="7" l="1"/>
  <c r="AA84" i="7" l="1"/>
  <c r="AA83" i="7" l="1"/>
  <c r="AA86" i="7" l="1"/>
  <c r="AA85" i="7" l="1"/>
  <c r="AA88" i="7" l="1"/>
  <c r="AA87" i="7" l="1"/>
  <c r="AA90" i="7" l="1"/>
  <c r="AA89" i="7" l="1"/>
  <c r="AA92" i="7" l="1"/>
  <c r="AA91" i="7" l="1"/>
  <c r="AA94" i="7" l="1"/>
  <c r="AA93" i="7" l="1"/>
  <c r="AA96" i="7" l="1"/>
  <c r="AA95" i="7" l="1"/>
  <c r="AA98" i="7" l="1"/>
  <c r="AA97" i="7" l="1"/>
  <c r="AA100" i="7" l="1"/>
  <c r="AA99" i="7" l="1"/>
  <c r="AA102" i="7" l="1"/>
  <c r="AA101" i="7" l="1"/>
  <c r="AA104" i="7" l="1"/>
  <c r="AA103" i="7" l="1"/>
  <c r="AA106" i="7" l="1"/>
  <c r="AA105" i="7" l="1"/>
  <c r="AA108" i="7" l="1"/>
  <c r="AA107" i="7" l="1"/>
  <c r="AA110" i="7" l="1"/>
  <c r="AA109" i="7" l="1"/>
  <c r="AA112" i="7" l="1"/>
  <c r="AA111" i="7" l="1"/>
  <c r="AA114" i="7" l="1"/>
  <c r="AA113" i="7" l="1"/>
  <c r="AA116" i="7" l="1"/>
  <c r="AA115" i="7" l="1"/>
  <c r="AA118" i="7" l="1"/>
  <c r="AA117" i="7" l="1"/>
  <c r="AA120" i="7" l="1"/>
  <c r="AA119" i="7" l="1"/>
  <c r="AA122" i="7" l="1"/>
  <c r="AA121" i="7" l="1"/>
  <c r="AA124" i="7" l="1"/>
  <c r="AA123" i="7" l="1"/>
  <c r="AA126" i="7" l="1"/>
  <c r="AA125" i="7" l="1"/>
  <c r="AA128" i="7" l="1"/>
  <c r="AA127" i="7" l="1"/>
  <c r="AA130" i="7" l="1"/>
  <c r="AA129" i="7" l="1"/>
  <c r="AA132" i="7" l="1"/>
  <c r="AA131" i="7" l="1"/>
  <c r="AA134" i="7" l="1"/>
  <c r="AA133" i="7" l="1"/>
  <c r="AA136" i="7" l="1"/>
  <c r="AA135" i="7" l="1"/>
  <c r="AA138" i="7" l="1"/>
  <c r="AA137" i="7" l="1"/>
  <c r="AA140" i="7" l="1"/>
  <c r="AA139" i="7" l="1"/>
  <c r="AA142" i="7" l="1"/>
  <c r="AA141" i="7" l="1"/>
  <c r="AA144" i="7" l="1"/>
  <c r="AA143" i="7" l="1"/>
  <c r="AA146" i="7" l="1"/>
  <c r="AA145" i="7" l="1"/>
  <c r="AA148" i="7" l="1"/>
  <c r="AA147" i="7" l="1"/>
  <c r="AA150" i="7" l="1"/>
  <c r="AA149" i="7" l="1"/>
  <c r="AA152" i="7" l="1"/>
  <c r="AA151" i="7" l="1"/>
  <c r="AA154" i="7" l="1"/>
  <c r="AA153" i="7" l="1"/>
  <c r="AA156" i="7" l="1"/>
  <c r="AA155" i="7" l="1"/>
  <c r="AA158" i="7" l="1"/>
  <c r="AA157" i="7" l="1"/>
  <c r="AA160" i="7" l="1"/>
  <c r="AA159" i="7" l="1"/>
  <c r="AA162" i="7" l="1"/>
  <c r="AA161" i="7" l="1"/>
  <c r="AA164" i="7" l="1"/>
  <c r="AA163" i="7" l="1"/>
  <c r="AA166" i="7" l="1"/>
  <c r="AA165" i="7" l="1"/>
  <c r="AA168" i="7" l="1"/>
  <c r="AA167" i="7" l="1"/>
  <c r="AA170" i="7" l="1"/>
  <c r="AA169" i="7" l="1"/>
  <c r="AA172" i="7" l="1"/>
  <c r="AA171" i="7" l="1"/>
  <c r="AA174" i="7" l="1"/>
  <c r="AA173" i="7" l="1"/>
  <c r="AA176" i="7" l="1"/>
  <c r="AA175" i="7" l="1"/>
  <c r="AA178" i="7" l="1"/>
  <c r="AA177" i="7" l="1"/>
  <c r="AA180" i="7" l="1"/>
  <c r="AA179" i="7" l="1"/>
  <c r="AA182" i="7" l="1"/>
  <c r="AA181" i="7" l="1"/>
  <c r="AA184" i="7" l="1"/>
  <c r="AA183" i="7" l="1"/>
  <c r="AA186" i="7" l="1"/>
  <c r="AA185" i="7" l="1"/>
  <c r="AA188" i="7" l="1"/>
  <c r="AA187" i="7" l="1"/>
  <c r="AA190" i="7" l="1"/>
  <c r="AA189" i="7" l="1"/>
  <c r="AA192" i="7" l="1"/>
  <c r="AA191" i="7" l="1"/>
  <c r="AA194" i="7" l="1"/>
  <c r="AA193" i="7" l="1"/>
  <c r="AA196" i="7" l="1"/>
  <c r="AA195" i="7" l="1"/>
  <c r="AA198" i="7" l="1"/>
  <c r="AA197" i="7" l="1"/>
  <c r="AA200" i="7" l="1"/>
  <c r="AA199" i="7" l="1"/>
  <c r="AA202" i="7" l="1"/>
  <c r="AA201" i="7" l="1"/>
  <c r="M3" i="8"/>
  <c r="N3" i="8"/>
  <c r="L3" i="8"/>
  <c r="O3" i="8" s="1"/>
  <c r="P3" i="8" l="1"/>
</calcChain>
</file>

<file path=xl/sharedStrings.xml><?xml version="1.0" encoding="utf-8"?>
<sst xmlns="http://schemas.openxmlformats.org/spreadsheetml/2006/main" count="1398" uniqueCount="30">
  <si>
    <t>Frequency[Hz]</t>
  </si>
  <si>
    <t>Z[ohm]</t>
  </si>
  <si>
    <t>PHASE[deg]</t>
  </si>
  <si>
    <t>Rs[ohm]</t>
  </si>
  <si>
    <t>X[ohm]</t>
  </si>
  <si>
    <t>RC</t>
  </si>
  <si>
    <t>RL</t>
  </si>
  <si>
    <t>V</t>
  </si>
  <si>
    <t>U</t>
  </si>
  <si>
    <t>conductivity IM</t>
  </si>
  <si>
    <t>conductivity RE</t>
  </si>
  <si>
    <t>permittivity IM</t>
  </si>
  <si>
    <t>permittivity RE</t>
  </si>
  <si>
    <t>0+1i</t>
  </si>
  <si>
    <t>Unit</t>
  </si>
  <si>
    <t xml:space="preserve">conductivity </t>
  </si>
  <si>
    <t>permittivity</t>
  </si>
  <si>
    <t>Water</t>
  </si>
  <si>
    <t>Ethanol 0.9</t>
  </si>
  <si>
    <t>Ethanol 0.7</t>
  </si>
  <si>
    <t>Ethanol 0.5</t>
  </si>
  <si>
    <t>U+iV</t>
  </si>
  <si>
    <t>unit</t>
  </si>
  <si>
    <t>E</t>
  </si>
  <si>
    <t>Ethanol 0.3</t>
  </si>
  <si>
    <t>NaCl 0.1mol/L</t>
  </si>
  <si>
    <t xml:space="preserve">NaCl </t>
  </si>
  <si>
    <t>NaCl 0.01mol/L</t>
  </si>
  <si>
    <t>20180907/180907145103.csv</t>
  </si>
  <si>
    <t xml:space="preserve">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</si>
</sst>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Reflection!$A$1</c:f>
              <c:strCache>
                <c:ptCount val="1"/>
                <c:pt idx="0">
                  <c:v>#REF!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Reflection!$A$3:$A$202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Reflection!$E$3:$E$202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72-43A1-9F7D-5F69A324B971}"/>
            </c:ext>
          </c:extLst>
        </c:ser>
        <c:ser>
          <c:idx val="1"/>
          <c:order val="1"/>
          <c:tx>
            <c:strRef>
              <c:f>Reflection!$I$1</c:f>
              <c:strCache>
                <c:ptCount val="1"/>
                <c:pt idx="0">
                  <c:v>#REF!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Reflection!$I$3:$I$202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Reflection!$M$3:$M$202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72-43A1-9F7D-5F69A324B971}"/>
            </c:ext>
          </c:extLst>
        </c:ser>
        <c:ser>
          <c:idx val="2"/>
          <c:order val="2"/>
          <c:tx>
            <c:strRef>
              <c:f>Reflection!$Q$1</c:f>
              <c:strCache>
                <c:ptCount val="1"/>
                <c:pt idx="0">
                  <c:v>NaCl 0.01mol/L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Reflection!$Q$3:$Q$202</c:f>
              <c:numCache>
                <c:formatCode>General</c:formatCode>
                <c:ptCount val="200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4099999.9999999995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16100000.000000002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65599999.999999993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268399999.99999997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531799999.99999994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Reflection!$U$3:$U$202</c:f>
              <c:numCache>
                <c:formatCode>General</c:formatCode>
                <c:ptCount val="200"/>
                <c:pt idx="0">
                  <c:v>0.89795959172065254</c:v>
                </c:pt>
                <c:pt idx="1">
                  <c:v>0.89793771925522781</c:v>
                </c:pt>
                <c:pt idx="2">
                  <c:v>0.89762799671376947</c:v>
                </c:pt>
                <c:pt idx="3">
                  <c:v>0.89760901107410929</c:v>
                </c:pt>
                <c:pt idx="4">
                  <c:v>0.89738552261950133</c:v>
                </c:pt>
                <c:pt idx="5">
                  <c:v>0.89753538439677982</c:v>
                </c:pt>
                <c:pt idx="6">
                  <c:v>0.8973638183024244</c:v>
                </c:pt>
                <c:pt idx="7">
                  <c:v>0.89726729123407334</c:v>
                </c:pt>
                <c:pt idx="8">
                  <c:v>0.897269606722918</c:v>
                </c:pt>
                <c:pt idx="9">
                  <c:v>0.89735196869835843</c:v>
                </c:pt>
                <c:pt idx="10">
                  <c:v>0.89740076056890206</c:v>
                </c:pt>
                <c:pt idx="11">
                  <c:v>0.8974437386490316</c:v>
                </c:pt>
                <c:pt idx="12">
                  <c:v>0.89749388495566973</c:v>
                </c:pt>
                <c:pt idx="13">
                  <c:v>0.8976377790773733</c:v>
                </c:pt>
                <c:pt idx="14">
                  <c:v>0.89778089548890905</c:v>
                </c:pt>
                <c:pt idx="15">
                  <c:v>0.89782376516657114</c:v>
                </c:pt>
                <c:pt idx="16">
                  <c:v>0.89781370713771036</c:v>
                </c:pt>
                <c:pt idx="17">
                  <c:v>0.89779642290682204</c:v>
                </c:pt>
                <c:pt idx="18">
                  <c:v>0.89770581884390954</c:v>
                </c:pt>
                <c:pt idx="19">
                  <c:v>0.89767501443347009</c:v>
                </c:pt>
                <c:pt idx="20">
                  <c:v>0.89765640769943444</c:v>
                </c:pt>
                <c:pt idx="21">
                  <c:v>0.8975895970562251</c:v>
                </c:pt>
                <c:pt idx="22">
                  <c:v>0.89758017803688261</c:v>
                </c:pt>
                <c:pt idx="23">
                  <c:v>0.89762892635797153</c:v>
                </c:pt>
                <c:pt idx="24">
                  <c:v>0.8976003284125269</c:v>
                </c:pt>
                <c:pt idx="25">
                  <c:v>0.89765922994015535</c:v>
                </c:pt>
                <c:pt idx="26">
                  <c:v>0.89764170102233221</c:v>
                </c:pt>
                <c:pt idx="27">
                  <c:v>0.89779627284456909</c:v>
                </c:pt>
                <c:pt idx="28">
                  <c:v>0.89775474760358143</c:v>
                </c:pt>
                <c:pt idx="29">
                  <c:v>0.89778874453853974</c:v>
                </c:pt>
                <c:pt idx="30">
                  <c:v>0.89777656247989457</c:v>
                </c:pt>
                <c:pt idx="31">
                  <c:v>0.89784913256667509</c:v>
                </c:pt>
                <c:pt idx="32">
                  <c:v>0.89782460908805262</c:v>
                </c:pt>
                <c:pt idx="33">
                  <c:v>0.89786703809142898</c:v>
                </c:pt>
                <c:pt idx="34">
                  <c:v>0.89778991152665566</c:v>
                </c:pt>
                <c:pt idx="35">
                  <c:v>0.89780457210808307</c:v>
                </c:pt>
                <c:pt idx="36">
                  <c:v>0.89780014335645264</c:v>
                </c:pt>
                <c:pt idx="37">
                  <c:v>0.8977350539543415</c:v>
                </c:pt>
                <c:pt idx="38">
                  <c:v>0.89778799666720122</c:v>
                </c:pt>
                <c:pt idx="39">
                  <c:v>0.89782834017622215</c:v>
                </c:pt>
                <c:pt idx="40">
                  <c:v>0.89778478746811685</c:v>
                </c:pt>
                <c:pt idx="41">
                  <c:v>0.8978031503629702</c:v>
                </c:pt>
                <c:pt idx="42">
                  <c:v>0.89777273459691365</c:v>
                </c:pt>
                <c:pt idx="43">
                  <c:v>0.89781197587681794</c:v>
                </c:pt>
                <c:pt idx="44">
                  <c:v>0.89777803187715222</c:v>
                </c:pt>
                <c:pt idx="45">
                  <c:v>0.89775936571558879</c:v>
                </c:pt>
                <c:pt idx="46">
                  <c:v>0.89778981404415314</c:v>
                </c:pt>
                <c:pt idx="47">
                  <c:v>0.89778678083250596</c:v>
                </c:pt>
                <c:pt idx="48">
                  <c:v>0.89779766504979597</c:v>
                </c:pt>
                <c:pt idx="49">
                  <c:v>0.89782808993259255</c:v>
                </c:pt>
                <c:pt idx="50">
                  <c:v>0.89781375474844516</c:v>
                </c:pt>
                <c:pt idx="51">
                  <c:v>0.8978104791608813</c:v>
                </c:pt>
                <c:pt idx="52">
                  <c:v>0.89778466211757391</c:v>
                </c:pt>
                <c:pt idx="53">
                  <c:v>0.89773776732722466</c:v>
                </c:pt>
                <c:pt idx="54">
                  <c:v>0.89777535052395252</c:v>
                </c:pt>
                <c:pt idx="55">
                  <c:v>0.89783465840702192</c:v>
                </c:pt>
                <c:pt idx="56">
                  <c:v>0.89778239772418866</c:v>
                </c:pt>
                <c:pt idx="57">
                  <c:v>0.89777157489923665</c:v>
                </c:pt>
                <c:pt idx="58">
                  <c:v>0.89777436337938954</c:v>
                </c:pt>
                <c:pt idx="59">
                  <c:v>0.89776587207571446</c:v>
                </c:pt>
                <c:pt idx="60">
                  <c:v>0.8978069580656961</c:v>
                </c:pt>
                <c:pt idx="61">
                  <c:v>0.89775407051586109</c:v>
                </c:pt>
                <c:pt idx="62">
                  <c:v>0.89775285120993853</c:v>
                </c:pt>
                <c:pt idx="63">
                  <c:v>0.89783857375955045</c:v>
                </c:pt>
                <c:pt idx="64">
                  <c:v>0.89788355431738298</c:v>
                </c:pt>
                <c:pt idx="65">
                  <c:v>0.8979491781465534</c:v>
                </c:pt>
                <c:pt idx="66">
                  <c:v>0.89794767255814323</c:v>
                </c:pt>
                <c:pt idx="67">
                  <c:v>0.8980170931981335</c:v>
                </c:pt>
                <c:pt idx="68">
                  <c:v>0.8979643808016039</c:v>
                </c:pt>
                <c:pt idx="69">
                  <c:v>0.8980204316967586</c:v>
                </c:pt>
                <c:pt idx="70">
                  <c:v>0.89801321145057345</c:v>
                </c:pt>
                <c:pt idx="71">
                  <c:v>0.89794916567155458</c:v>
                </c:pt>
                <c:pt idx="72">
                  <c:v>0.89793191333529754</c:v>
                </c:pt>
                <c:pt idx="73">
                  <c:v>0.89787406668889658</c:v>
                </c:pt>
                <c:pt idx="74">
                  <c:v>0.89779072075302224</c:v>
                </c:pt>
                <c:pt idx="75">
                  <c:v>0.89781615713581664</c:v>
                </c:pt>
                <c:pt idx="76">
                  <c:v>0.89790084306344309</c:v>
                </c:pt>
                <c:pt idx="77">
                  <c:v>0.89800888506336107</c:v>
                </c:pt>
                <c:pt idx="78">
                  <c:v>0.89806996839934239</c:v>
                </c:pt>
                <c:pt idx="79">
                  <c:v>0.89809328557084589</c:v>
                </c:pt>
                <c:pt idx="80">
                  <c:v>0.89810914017407728</c:v>
                </c:pt>
                <c:pt idx="81">
                  <c:v>0.89811026287246087</c:v>
                </c:pt>
                <c:pt idx="82">
                  <c:v>0.89808505194421251</c:v>
                </c:pt>
                <c:pt idx="83">
                  <c:v>0.89803664695466823</c:v>
                </c:pt>
                <c:pt idx="84">
                  <c:v>0.89784289360975933</c:v>
                </c:pt>
                <c:pt idx="85">
                  <c:v>0.89782862463671087</c:v>
                </c:pt>
                <c:pt idx="86">
                  <c:v>0.89792983408888227</c:v>
                </c:pt>
                <c:pt idx="87">
                  <c:v>0.89802599663495486</c:v>
                </c:pt>
                <c:pt idx="88">
                  <c:v>0.89814783117284991</c:v>
                </c:pt>
                <c:pt idx="89">
                  <c:v>0.89818455986268586</c:v>
                </c:pt>
                <c:pt idx="90">
                  <c:v>0.89813456376032774</c:v>
                </c:pt>
                <c:pt idx="91">
                  <c:v>0.89798115126555311</c:v>
                </c:pt>
                <c:pt idx="92">
                  <c:v>0.89785935225024249</c:v>
                </c:pt>
                <c:pt idx="93">
                  <c:v>0.89803481994884882</c:v>
                </c:pt>
                <c:pt idx="94">
                  <c:v>0.89808436534680647</c:v>
                </c:pt>
                <c:pt idx="95">
                  <c:v>0.89807251505493979</c:v>
                </c:pt>
                <c:pt idx="96">
                  <c:v>0.89800353780620512</c:v>
                </c:pt>
                <c:pt idx="97">
                  <c:v>0.8979836282106618</c:v>
                </c:pt>
                <c:pt idx="98">
                  <c:v>0.89850599964772626</c:v>
                </c:pt>
                <c:pt idx="99">
                  <c:v>0.89890123149835788</c:v>
                </c:pt>
                <c:pt idx="100">
                  <c:v>0.89892788141130675</c:v>
                </c:pt>
                <c:pt idx="101">
                  <c:v>0.89882570661793637</c:v>
                </c:pt>
                <c:pt idx="102">
                  <c:v>0.89852701635029919</c:v>
                </c:pt>
                <c:pt idx="103">
                  <c:v>0.89827795935859456</c:v>
                </c:pt>
                <c:pt idx="104">
                  <c:v>0.89849471476197129</c:v>
                </c:pt>
                <c:pt idx="105">
                  <c:v>0.89869683914703458</c:v>
                </c:pt>
                <c:pt idx="106">
                  <c:v>0.89873651725443227</c:v>
                </c:pt>
                <c:pt idx="107">
                  <c:v>0.89855153080940808</c:v>
                </c:pt>
                <c:pt idx="108">
                  <c:v>0.89874993866396991</c:v>
                </c:pt>
                <c:pt idx="109">
                  <c:v>0.89882011291063879</c:v>
                </c:pt>
                <c:pt idx="110">
                  <c:v>0.89910541932368704</c:v>
                </c:pt>
                <c:pt idx="111">
                  <c:v>0.89889388875705389</c:v>
                </c:pt>
                <c:pt idx="112">
                  <c:v>0.8993531672198124</c:v>
                </c:pt>
                <c:pt idx="113">
                  <c:v>0.89958604570714373</c:v>
                </c:pt>
                <c:pt idx="114">
                  <c:v>0.89933438292703238</c:v>
                </c:pt>
                <c:pt idx="115">
                  <c:v>0.89956182150879271</c:v>
                </c:pt>
                <c:pt idx="116">
                  <c:v>0.89994733676700611</c:v>
                </c:pt>
                <c:pt idx="117">
                  <c:v>0.89990645442541228</c:v>
                </c:pt>
                <c:pt idx="118">
                  <c:v>0.90012810257130371</c:v>
                </c:pt>
                <c:pt idx="119">
                  <c:v>0.90043393487955026</c:v>
                </c:pt>
                <c:pt idx="120">
                  <c:v>0.90030614769581074</c:v>
                </c:pt>
                <c:pt idx="121">
                  <c:v>0.90076776464238484</c:v>
                </c:pt>
                <c:pt idx="122">
                  <c:v>0.90095712795599769</c:v>
                </c:pt>
                <c:pt idx="123">
                  <c:v>0.90132073836226501</c:v>
                </c:pt>
                <c:pt idx="124">
                  <c:v>0.90160833812386465</c:v>
                </c:pt>
                <c:pt idx="125">
                  <c:v>0.90187075129717287</c:v>
                </c:pt>
                <c:pt idx="126">
                  <c:v>0.90224401976537572</c:v>
                </c:pt>
                <c:pt idx="127">
                  <c:v>0.90257741373727618</c:v>
                </c:pt>
                <c:pt idx="128">
                  <c:v>0.90299366040976758</c:v>
                </c:pt>
                <c:pt idx="129">
                  <c:v>0.90337309876290195</c:v>
                </c:pt>
                <c:pt idx="130">
                  <c:v>0.90390636893523468</c:v>
                </c:pt>
                <c:pt idx="131">
                  <c:v>0.90416664330761565</c:v>
                </c:pt>
                <c:pt idx="132">
                  <c:v>0.90452614245539609</c:v>
                </c:pt>
                <c:pt idx="133">
                  <c:v>0.90504316397658324</c:v>
                </c:pt>
                <c:pt idx="134">
                  <c:v>0.9057861785393706</c:v>
                </c:pt>
                <c:pt idx="135">
                  <c:v>0.90628492966038177</c:v>
                </c:pt>
                <c:pt idx="136">
                  <c:v>0.906776262536788</c:v>
                </c:pt>
                <c:pt idx="137">
                  <c:v>0.90743004836644947</c:v>
                </c:pt>
                <c:pt idx="138">
                  <c:v>0.90805109857878308</c:v>
                </c:pt>
                <c:pt idx="139">
                  <c:v>0.90885396212648684</c:v>
                </c:pt>
                <c:pt idx="140">
                  <c:v>0.90955492022256279</c:v>
                </c:pt>
                <c:pt idx="141">
                  <c:v>0.91024900188423352</c:v>
                </c:pt>
                <c:pt idx="142">
                  <c:v>0.91091734453296758</c:v>
                </c:pt>
                <c:pt idx="143">
                  <c:v>0.911593412637552</c:v>
                </c:pt>
                <c:pt idx="144">
                  <c:v>0.91231199638669214</c:v>
                </c:pt>
                <c:pt idx="145">
                  <c:v>0.91318592766070317</c:v>
                </c:pt>
                <c:pt idx="146">
                  <c:v>0.91397526297069331</c:v>
                </c:pt>
                <c:pt idx="147">
                  <c:v>0.91464228163354255</c:v>
                </c:pt>
                <c:pt idx="148">
                  <c:v>0.91552094641044335</c:v>
                </c:pt>
                <c:pt idx="149">
                  <c:v>0.9165093040926674</c:v>
                </c:pt>
                <c:pt idx="150">
                  <c:v>0.91721275399573954</c:v>
                </c:pt>
                <c:pt idx="151">
                  <c:v>0.91793768349696969</c:v>
                </c:pt>
                <c:pt idx="152">
                  <c:v>0.91890213086528816</c:v>
                </c:pt>
                <c:pt idx="153">
                  <c:v>0.91978334139074203</c:v>
                </c:pt>
                <c:pt idx="154">
                  <c:v>0.92065963033188514</c:v>
                </c:pt>
                <c:pt idx="155">
                  <c:v>0.92156778650010296</c:v>
                </c:pt>
                <c:pt idx="156">
                  <c:v>0.92240046782396889</c:v>
                </c:pt>
                <c:pt idx="157">
                  <c:v>0.92312505818642088</c:v>
                </c:pt>
                <c:pt idx="158">
                  <c:v>0.92396371958790258</c:v>
                </c:pt>
                <c:pt idx="159">
                  <c:v>0.92463470907775058</c:v>
                </c:pt>
                <c:pt idx="160">
                  <c:v>0.92546649111078039</c:v>
                </c:pt>
                <c:pt idx="161">
                  <c:v>0.92620937031619521</c:v>
                </c:pt>
                <c:pt idx="162">
                  <c:v>0.92707358103013382</c:v>
                </c:pt>
                <c:pt idx="163">
                  <c:v>0.9277493371514699</c:v>
                </c:pt>
                <c:pt idx="164">
                  <c:v>0.92874399562106824</c:v>
                </c:pt>
                <c:pt idx="165">
                  <c:v>0.92959668543427532</c:v>
                </c:pt>
                <c:pt idx="166">
                  <c:v>0.93062613042974662</c:v>
                </c:pt>
                <c:pt idx="167">
                  <c:v>0.93084737054614386</c:v>
                </c:pt>
                <c:pt idx="168">
                  <c:v>0.93122477455942876</c:v>
                </c:pt>
                <c:pt idx="169">
                  <c:v>0.93218334624818677</c:v>
                </c:pt>
                <c:pt idx="170">
                  <c:v>0.93214329596731016</c:v>
                </c:pt>
                <c:pt idx="171">
                  <c:v>0.93266474237703223</c:v>
                </c:pt>
                <c:pt idx="172">
                  <c:v>0.93281099790587141</c:v>
                </c:pt>
                <c:pt idx="173">
                  <c:v>0.93333852999314826</c:v>
                </c:pt>
                <c:pt idx="174">
                  <c:v>0.93377154367302218</c:v>
                </c:pt>
                <c:pt idx="175">
                  <c:v>0.93440145148867093</c:v>
                </c:pt>
                <c:pt idx="176">
                  <c:v>0.93511614788974673</c:v>
                </c:pt>
                <c:pt idx="177">
                  <c:v>0.93500242658686283</c:v>
                </c:pt>
                <c:pt idx="178">
                  <c:v>0.93610821631056462</c:v>
                </c:pt>
                <c:pt idx="179">
                  <c:v>0.93590243496733772</c:v>
                </c:pt>
                <c:pt idx="180">
                  <c:v>0.93574124558781357</c:v>
                </c:pt>
                <c:pt idx="181">
                  <c:v>0.93670056237124755</c:v>
                </c:pt>
                <c:pt idx="182">
                  <c:v>0.93664115520218016</c:v>
                </c:pt>
                <c:pt idx="183">
                  <c:v>0.93639550404471772</c:v>
                </c:pt>
                <c:pt idx="184">
                  <c:v>0.93693732672032259</c:v>
                </c:pt>
                <c:pt idx="185">
                  <c:v>0.93850976378015771</c:v>
                </c:pt>
                <c:pt idx="186">
                  <c:v>0.93941300021727969</c:v>
                </c:pt>
                <c:pt idx="187">
                  <c:v>0.93964380595970931</c:v>
                </c:pt>
                <c:pt idx="188">
                  <c:v>0.93908904379855507</c:v>
                </c:pt>
                <c:pt idx="189">
                  <c:v>0.93960962111182944</c:v>
                </c:pt>
                <c:pt idx="190">
                  <c:v>0.93916922535314451</c:v>
                </c:pt>
                <c:pt idx="191">
                  <c:v>0.93946305204537495</c:v>
                </c:pt>
                <c:pt idx="192">
                  <c:v>0.93953033093483984</c:v>
                </c:pt>
                <c:pt idx="193">
                  <c:v>0.94150297847359321</c:v>
                </c:pt>
                <c:pt idx="194">
                  <c:v>0.94105815653877245</c:v>
                </c:pt>
                <c:pt idx="195">
                  <c:v>0.94181092939449318</c:v>
                </c:pt>
                <c:pt idx="196">
                  <c:v>0.93995895980334032</c:v>
                </c:pt>
                <c:pt idx="197">
                  <c:v>0.93494485625098944</c:v>
                </c:pt>
                <c:pt idx="198">
                  <c:v>0.92933686398124093</c:v>
                </c:pt>
                <c:pt idx="199">
                  <c:v>0.9415873302577723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72-43A1-9F7D-5F69A324B971}"/>
            </c:ext>
          </c:extLst>
        </c:ser>
        <c:ser>
          <c:idx val="3"/>
          <c:order val="3"/>
          <c:tx>
            <c:strRef>
              <c:f>Reflection!$Y$1</c:f>
              <c:strCache>
                <c:ptCount val="1"/>
                <c:pt idx="0">
                  <c:v>#REF!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Reflection!$Y$3:$Y$202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Reflection!$AC$3:$AC$202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72-43A1-9F7D-5F69A324B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6359152"/>
        <c:axId val="-1606368944"/>
      </c:scatterChart>
      <c:valAx>
        <c:axId val="-1606359152"/>
        <c:scaling>
          <c:logBase val="10"/>
          <c:orientation val="minMax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6368944"/>
        <c:crosses val="autoZero"/>
        <c:crossBetween val="midCat"/>
      </c:valAx>
      <c:valAx>
        <c:axId val="-16063689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RC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63591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4097315394630794"/>
          <c:y val="0.30159348179637052"/>
          <c:w val="0.30347126294252591"/>
          <c:h val="0.45407275010869041"/>
        </c:manualLayout>
      </c:layout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Reflection!$A$1</c:f>
              <c:strCache>
                <c:ptCount val="1"/>
                <c:pt idx="0">
                  <c:v>#REF!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Reflection!$A$3:$A$202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Reflection!$F$3:$F$202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6-422F-B6C6-9642B736393F}"/>
            </c:ext>
          </c:extLst>
        </c:ser>
        <c:ser>
          <c:idx val="1"/>
          <c:order val="1"/>
          <c:tx>
            <c:strRef>
              <c:f>Reflection!$I$1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Reflection!$I$3:$I$202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Reflection!$N$3:$N$202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6-422F-B6C6-9642B736393F}"/>
            </c:ext>
          </c:extLst>
        </c:ser>
        <c:ser>
          <c:idx val="2"/>
          <c:order val="2"/>
          <c:tx>
            <c:strRef>
              <c:f>Reflection!$Q$1</c:f>
              <c:strCache>
                <c:ptCount val="1"/>
                <c:pt idx="0">
                  <c:v>NaCl 0.01mol/L</c:v>
                </c:pt>
              </c:strCache>
            </c:strRef>
          </c:tx>
          <c:marker>
            <c:symbol val="none"/>
          </c:marker>
          <c:xVal>
            <c:numRef>
              <c:f>Reflection!$Q$3:$Q$202</c:f>
              <c:numCache>
                <c:formatCode>General</c:formatCode>
                <c:ptCount val="200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4099999.9999999995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16100000.000000002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65599999.999999993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268399999.99999997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531799999.99999994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Reflection!$V$3:$V$202</c:f>
              <c:numCache>
                <c:formatCode>General</c:formatCode>
                <c:ptCount val="200"/>
                <c:pt idx="0">
                  <c:v>0.93486412383862139</c:v>
                </c:pt>
                <c:pt idx="1">
                  <c:v>0.93507569698329951</c:v>
                </c:pt>
                <c:pt idx="2">
                  <c:v>0.93807220757189436</c:v>
                </c:pt>
                <c:pt idx="3">
                  <c:v>0.93825592389468315</c:v>
                </c:pt>
                <c:pt idx="4">
                  <c:v>0.94041882302969348</c:v>
                </c:pt>
                <c:pt idx="5">
                  <c:v>0.93896841609940296</c:v>
                </c:pt>
                <c:pt idx="6">
                  <c:v>0.94062890395688548</c:v>
                </c:pt>
                <c:pt idx="7">
                  <c:v>0.94156327254008509</c:v>
                </c:pt>
                <c:pt idx="8">
                  <c:v>0.94154085775375695</c:v>
                </c:pt>
                <c:pt idx="9">
                  <c:v>0.94074360106259858</c:v>
                </c:pt>
                <c:pt idx="10">
                  <c:v>0.94027133455371392</c:v>
                </c:pt>
                <c:pt idx="11">
                  <c:v>0.93985536218274235</c:v>
                </c:pt>
                <c:pt idx="12">
                  <c:v>0.93937003580749612</c:v>
                </c:pt>
                <c:pt idx="13">
                  <c:v>0.93797754912988673</c:v>
                </c:pt>
                <c:pt idx="14">
                  <c:v>0.93659280987520721</c:v>
                </c:pt>
                <c:pt idx="15">
                  <c:v>0.93617806235619894</c:v>
                </c:pt>
                <c:pt idx="16">
                  <c:v>0.93627536810973744</c:v>
                </c:pt>
                <c:pt idx="17">
                  <c:v>0.93644258583642237</c:v>
                </c:pt>
                <c:pt idx="18">
                  <c:v>0.93731919503644101</c:v>
                </c:pt>
                <c:pt idx="19">
                  <c:v>0.93761725292422682</c:v>
                </c:pt>
                <c:pt idx="20">
                  <c:v>0.93779729326259764</c:v>
                </c:pt>
                <c:pt idx="21">
                  <c:v>0.93844378947792984</c:v>
                </c:pt>
                <c:pt idx="22">
                  <c:v>0.9385349369155076</c:v>
                </c:pt>
                <c:pt idx="23">
                  <c:v>0.93806321188237718</c:v>
                </c:pt>
                <c:pt idx="24">
                  <c:v>0.93833994377872787</c:v>
                </c:pt>
                <c:pt idx="25">
                  <c:v>0.93776998478165996</c:v>
                </c:pt>
                <c:pt idx="26">
                  <c:v>0.93793959895950119</c:v>
                </c:pt>
                <c:pt idx="27">
                  <c:v>0.9364440376402432</c:v>
                </c:pt>
                <c:pt idx="28">
                  <c:v>0.93684579025698267</c:v>
                </c:pt>
                <c:pt idx="29">
                  <c:v>0.9365168718805601</c:v>
                </c:pt>
                <c:pt idx="30">
                  <c:v>0.93663473116035845</c:v>
                </c:pt>
                <c:pt idx="31">
                  <c:v>0.93593265191646879</c:v>
                </c:pt>
                <c:pt idx="32">
                  <c:v>0.93616989794165506</c:v>
                </c:pt>
                <c:pt idx="33">
                  <c:v>0.9357594336601871</c:v>
                </c:pt>
                <c:pt idx="34">
                  <c:v>0.93650558155924835</c:v>
                </c:pt>
                <c:pt idx="35">
                  <c:v>0.93636374531117372</c:v>
                </c:pt>
                <c:pt idx="36">
                  <c:v>0.93640659176570251</c:v>
                </c:pt>
                <c:pt idx="37">
                  <c:v>0.9370363308701648</c:v>
                </c:pt>
                <c:pt idx="38">
                  <c:v>0.93652410735845515</c:v>
                </c:pt>
                <c:pt idx="39">
                  <c:v>0.93613380208016483</c:v>
                </c:pt>
                <c:pt idx="40">
                  <c:v>0.93655515566718384</c:v>
                </c:pt>
                <c:pt idx="41">
                  <c:v>0.93637750012074517</c:v>
                </c:pt>
                <c:pt idx="42">
                  <c:v>0.93667176558673026</c:v>
                </c:pt>
                <c:pt idx="43">
                  <c:v>0.93629211719189698</c:v>
                </c:pt>
                <c:pt idx="44">
                  <c:v>0.93662051491491038</c:v>
                </c:pt>
                <c:pt idx="45">
                  <c:v>0.93680110955975548</c:v>
                </c:pt>
                <c:pt idx="46">
                  <c:v>0.9365065246777815</c:v>
                </c:pt>
                <c:pt idx="47">
                  <c:v>0.93653587028374619</c:v>
                </c:pt>
                <c:pt idx="48">
                  <c:v>0.93643056851373407</c:v>
                </c:pt>
                <c:pt idx="49">
                  <c:v>0.93613622302051058</c:v>
                </c:pt>
                <c:pt idx="50">
                  <c:v>0.93627490750017683</c:v>
                </c:pt>
                <c:pt idx="51">
                  <c:v>0.93630659719509435</c:v>
                </c:pt>
                <c:pt idx="52">
                  <c:v>0.93655636840889356</c:v>
                </c:pt>
                <c:pt idx="53">
                  <c:v>0.93701007811141446</c:v>
                </c:pt>
                <c:pt idx="54">
                  <c:v>0.93664645670890168</c:v>
                </c:pt>
                <c:pt idx="55">
                  <c:v>0.93607267763144808</c:v>
                </c:pt>
                <c:pt idx="56">
                  <c:v>0.93657827599617494</c:v>
                </c:pt>
                <c:pt idx="57">
                  <c:v>0.93668298558947005</c:v>
                </c:pt>
                <c:pt idx="58">
                  <c:v>0.93665600724227249</c:v>
                </c:pt>
                <c:pt idx="59">
                  <c:v>0.93673816026246026</c:v>
                </c:pt>
                <c:pt idx="60">
                  <c:v>0.93634066218416134</c:v>
                </c:pt>
                <c:pt idx="61">
                  <c:v>0.9368523411679609</c:v>
                </c:pt>
                <c:pt idx="62">
                  <c:v>0.93686413812240343</c:v>
                </c:pt>
                <c:pt idx="63">
                  <c:v>0.93603479955948288</c:v>
                </c:pt>
                <c:pt idx="64">
                  <c:v>0.93559965855947513</c:v>
                </c:pt>
                <c:pt idx="65">
                  <c:v>0.93496485407267516</c:v>
                </c:pt>
                <c:pt idx="66">
                  <c:v>0.93497941768724568</c:v>
                </c:pt>
                <c:pt idx="67">
                  <c:v>0.93430793456089867</c:v>
                </c:pt>
                <c:pt idx="68">
                  <c:v>0.93481779957406697</c:v>
                </c:pt>
                <c:pt idx="69">
                  <c:v>0.93427564366473137</c:v>
                </c:pt>
                <c:pt idx="70">
                  <c:v>0.93434548006424811</c:v>
                </c:pt>
                <c:pt idx="71">
                  <c:v>0.93496497474371809</c:v>
                </c:pt>
                <c:pt idx="72">
                  <c:v>0.93513185872115256</c:v>
                </c:pt>
                <c:pt idx="73">
                  <c:v>0.93569143987004466</c:v>
                </c:pt>
                <c:pt idx="74">
                  <c:v>0.93649775250296874</c:v>
                </c:pt>
                <c:pt idx="75">
                  <c:v>0.93625166566015361</c:v>
                </c:pt>
                <c:pt idx="76">
                  <c:v>0.93543241338184435</c:v>
                </c:pt>
                <c:pt idx="77">
                  <c:v>0.93438732645570544</c:v>
                </c:pt>
                <c:pt idx="78">
                  <c:v>0.93379652487231135</c:v>
                </c:pt>
                <c:pt idx="79">
                  <c:v>0.93357101042877189</c:v>
                </c:pt>
                <c:pt idx="80">
                  <c:v>0.9334176743326249</c:v>
                </c:pt>
                <c:pt idx="81">
                  <c:v>0.93340681637814527</c:v>
                </c:pt>
                <c:pt idx="82">
                  <c:v>0.93365064213433846</c:v>
                </c:pt>
                <c:pt idx="83">
                  <c:v>0.93411880684441673</c:v>
                </c:pt>
                <c:pt idx="84">
                  <c:v>0.93599300847030675</c:v>
                </c:pt>
                <c:pt idx="85">
                  <c:v>0.93613105011532993</c:v>
                </c:pt>
                <c:pt idx="86">
                  <c:v>0.93515197174479625</c:v>
                </c:pt>
                <c:pt idx="87">
                  <c:v>0.93422181828666417</c:v>
                </c:pt>
                <c:pt idx="88">
                  <c:v>0.93304348984706587</c:v>
                </c:pt>
                <c:pt idx="89">
                  <c:v>0.93268829795930364</c:v>
                </c:pt>
                <c:pt idx="90">
                  <c:v>0.93317179849305321</c:v>
                </c:pt>
                <c:pt idx="91">
                  <c:v>0.93465558262879178</c:v>
                </c:pt>
                <c:pt idx="92">
                  <c:v>0.935833786154733</c:v>
                </c:pt>
                <c:pt idx="93">
                  <c:v>0.93413647782378251</c:v>
                </c:pt>
                <c:pt idx="94">
                  <c:v>0.93365728260960457</c:v>
                </c:pt>
                <c:pt idx="95">
                  <c:v>0.93377189434364349</c:v>
                </c:pt>
                <c:pt idx="96">
                  <c:v>0.93443904735132022</c:v>
                </c:pt>
                <c:pt idx="97">
                  <c:v>0.93463162394975818</c:v>
                </c:pt>
                <c:pt idx="98">
                  <c:v>0.92958037209733069</c:v>
                </c:pt>
                <c:pt idx="99">
                  <c:v>0.92576049173646791</c:v>
                </c:pt>
                <c:pt idx="100">
                  <c:v>0.9255029831656113</c:v>
                </c:pt>
                <c:pt idx="101">
                  <c:v>0.92649030310297342</c:v>
                </c:pt>
                <c:pt idx="102">
                  <c:v>0.92937720525789291</c:v>
                </c:pt>
                <c:pt idx="103">
                  <c:v>0.93178512552373682</c:v>
                </c:pt>
                <c:pt idx="104">
                  <c:v>0.92968946417666165</c:v>
                </c:pt>
                <c:pt idx="105">
                  <c:v>0.92773571572352098</c:v>
                </c:pt>
                <c:pt idx="106">
                  <c:v>0.92735223595696137</c:v>
                </c:pt>
                <c:pt idx="107">
                  <c:v>0.92914023188051176</c:v>
                </c:pt>
                <c:pt idx="108">
                  <c:v>0.92722252495786095</c:v>
                </c:pt>
                <c:pt idx="109">
                  <c:v>0.92654435860570561</c:v>
                </c:pt>
                <c:pt idx="110">
                  <c:v>0.92378769266694394</c:v>
                </c:pt>
                <c:pt idx="111">
                  <c:v>0.92583144335925183</c:v>
                </c:pt>
                <c:pt idx="112">
                  <c:v>0.92139463128257737</c:v>
                </c:pt>
                <c:pt idx="113">
                  <c:v>0.91914579837393506</c:v>
                </c:pt>
                <c:pt idx="114">
                  <c:v>0.92157605055576797</c:v>
                </c:pt>
                <c:pt idx="115">
                  <c:v>0.91937969656239904</c:v>
                </c:pt>
                <c:pt idx="116">
                  <c:v>0.91565807833949608</c:v>
                </c:pt>
                <c:pt idx="117">
                  <c:v>0.9160526653987654</c:v>
                </c:pt>
                <c:pt idx="118">
                  <c:v>0.9139135827506667</c:v>
                </c:pt>
                <c:pt idx="119">
                  <c:v>0.91096291996040679</c:v>
                </c:pt>
                <c:pt idx="120">
                  <c:v>0.91219568574123655</c:v>
                </c:pt>
                <c:pt idx="121">
                  <c:v>0.90774328219096356</c:v>
                </c:pt>
                <c:pt idx="122">
                  <c:v>0.90591748863463006</c:v>
                </c:pt>
                <c:pt idx="123">
                  <c:v>0.90241272395659256</c:v>
                </c:pt>
                <c:pt idx="124">
                  <c:v>0.89964161127894293</c:v>
                </c:pt>
                <c:pt idx="125">
                  <c:v>0.8971139502792842</c:v>
                </c:pt>
                <c:pt idx="126">
                  <c:v>0.89351975680728846</c:v>
                </c:pt>
                <c:pt idx="127">
                  <c:v>0.89031077089310684</c:v>
                </c:pt>
                <c:pt idx="128">
                  <c:v>0.88630597398946831</c:v>
                </c:pt>
                <c:pt idx="129">
                  <c:v>0.88265692576433674</c:v>
                </c:pt>
                <c:pt idx="130">
                  <c:v>0.87753107104029682</c:v>
                </c:pt>
                <c:pt idx="131">
                  <c:v>0.87503038166058111</c:v>
                </c:pt>
                <c:pt idx="132">
                  <c:v>0.87157753440172236</c:v>
                </c:pt>
                <c:pt idx="133">
                  <c:v>0.86661415225352478</c:v>
                </c:pt>
                <c:pt idx="134">
                  <c:v>0.85948621070485953</c:v>
                </c:pt>
                <c:pt idx="135">
                  <c:v>0.85470483398762664</c:v>
                </c:pt>
                <c:pt idx="136">
                  <c:v>0.84999714594835341</c:v>
                </c:pt>
                <c:pt idx="137">
                  <c:v>0.84373687469357184</c:v>
                </c:pt>
                <c:pt idx="138">
                  <c:v>0.83779423648603701</c:v>
                </c:pt>
                <c:pt idx="139">
                  <c:v>0.83011790295106769</c:v>
                </c:pt>
                <c:pt idx="140">
                  <c:v>0.82342144977808573</c:v>
                </c:pt>
                <c:pt idx="141">
                  <c:v>0.81679577221780342</c:v>
                </c:pt>
                <c:pt idx="142">
                  <c:v>0.81042057122713418</c:v>
                </c:pt>
                <c:pt idx="143">
                  <c:v>0.80397643564056864</c:v>
                </c:pt>
                <c:pt idx="144">
                  <c:v>0.79713228743771158</c:v>
                </c:pt>
                <c:pt idx="145">
                  <c:v>0.78881579353516518</c:v>
                </c:pt>
                <c:pt idx="146">
                  <c:v>0.78131116848986426</c:v>
                </c:pt>
                <c:pt idx="147">
                  <c:v>0.77497452279148815</c:v>
                </c:pt>
                <c:pt idx="148">
                  <c:v>0.76663429854213805</c:v>
                </c:pt>
                <c:pt idx="149">
                  <c:v>0.75726243737201704</c:v>
                </c:pt>
                <c:pt idx="150">
                  <c:v>0.75059829926366217</c:v>
                </c:pt>
                <c:pt idx="151">
                  <c:v>0.74373601937429801</c:v>
                </c:pt>
                <c:pt idx="152">
                  <c:v>0.73461482752376128</c:v>
                </c:pt>
                <c:pt idx="153">
                  <c:v>0.72628920786394136</c:v>
                </c:pt>
                <c:pt idx="154">
                  <c:v>0.71801799302497882</c:v>
                </c:pt>
                <c:pt idx="155">
                  <c:v>0.70945428930612486</c:v>
                </c:pt>
                <c:pt idx="156">
                  <c:v>0.70160970894805263</c:v>
                </c:pt>
                <c:pt idx="157">
                  <c:v>0.69478919939047201</c:v>
                </c:pt>
                <c:pt idx="158">
                  <c:v>0.68690162953978273</c:v>
                </c:pt>
                <c:pt idx="159">
                  <c:v>0.68059615959812736</c:v>
                </c:pt>
                <c:pt idx="160">
                  <c:v>0.67278602745198979</c:v>
                </c:pt>
                <c:pt idx="161">
                  <c:v>0.66581659260299131</c:v>
                </c:pt>
                <c:pt idx="162">
                  <c:v>0.65771589818507925</c:v>
                </c:pt>
                <c:pt idx="163">
                  <c:v>0.6513869453838943</c:v>
                </c:pt>
                <c:pt idx="164">
                  <c:v>0.64207961918061829</c:v>
                </c:pt>
                <c:pt idx="165">
                  <c:v>0.63410866938836785</c:v>
                </c:pt>
                <c:pt idx="166">
                  <c:v>0.62449514733535227</c:v>
                </c:pt>
                <c:pt idx="167">
                  <c:v>0.62243047411536812</c:v>
                </c:pt>
                <c:pt idx="168">
                  <c:v>0.61890956901847516</c:v>
                </c:pt>
                <c:pt idx="169">
                  <c:v>0.60997320286209278</c:v>
                </c:pt>
                <c:pt idx="170">
                  <c:v>0.61034639102756127</c:v>
                </c:pt>
                <c:pt idx="171">
                  <c:v>0.6054888121326536</c:v>
                </c:pt>
                <c:pt idx="172">
                  <c:v>0.60412684386083448</c:v>
                </c:pt>
                <c:pt idx="173">
                  <c:v>0.59921610595460029</c:v>
                </c:pt>
                <c:pt idx="174">
                  <c:v>0.59518730320147406</c:v>
                </c:pt>
                <c:pt idx="175">
                  <c:v>0.58932991206008312</c:v>
                </c:pt>
                <c:pt idx="176">
                  <c:v>0.58268886800792496</c:v>
                </c:pt>
                <c:pt idx="177">
                  <c:v>0.58374524026265273</c:v>
                </c:pt>
                <c:pt idx="178">
                  <c:v>0.57347885793233</c:v>
                </c:pt>
                <c:pt idx="179">
                  <c:v>0.57538845608853795</c:v>
                </c:pt>
                <c:pt idx="180">
                  <c:v>0.57688454551985646</c:v>
                </c:pt>
                <c:pt idx="181">
                  <c:v>0.56798438060953305</c:v>
                </c:pt>
                <c:pt idx="182">
                  <c:v>0.56853527221629296</c:v>
                </c:pt>
                <c:pt idx="183">
                  <c:v>0.57081360333691633</c:v>
                </c:pt>
                <c:pt idx="184">
                  <c:v>0.56578917626485825</c:v>
                </c:pt>
                <c:pt idx="185">
                  <c:v>0.55122409678689732</c:v>
                </c:pt>
                <c:pt idx="186">
                  <c:v>0.54286868114860787</c:v>
                </c:pt>
                <c:pt idx="187">
                  <c:v>0.54073489444235479</c:v>
                </c:pt>
                <c:pt idx="188">
                  <c:v>0.54586452535058139</c:v>
                </c:pt>
                <c:pt idx="189">
                  <c:v>0.54105089845941179</c:v>
                </c:pt>
                <c:pt idx="190">
                  <c:v>0.54512293603239881</c:v>
                </c:pt>
                <c:pt idx="191">
                  <c:v>0.54240591016954509</c:v>
                </c:pt>
                <c:pt idx="192">
                  <c:v>0.54178389945422634</c:v>
                </c:pt>
                <c:pt idx="193">
                  <c:v>0.52356603482418318</c:v>
                </c:pt>
                <c:pt idx="194">
                  <c:v>0.52767073478264936</c:v>
                </c:pt>
                <c:pt idx="195">
                  <c:v>0.52072548049540979</c:v>
                </c:pt>
                <c:pt idx="196">
                  <c:v>0.53782216034735875</c:v>
                </c:pt>
                <c:pt idx="197">
                  <c:v>0.58428006772925567</c:v>
                </c:pt>
                <c:pt idx="198">
                  <c:v>0.63653670720829281</c:v>
                </c:pt>
                <c:pt idx="199">
                  <c:v>0.52278787746736777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06-422F-B6C6-9642B736393F}"/>
            </c:ext>
          </c:extLst>
        </c:ser>
        <c:ser>
          <c:idx val="3"/>
          <c:order val="3"/>
          <c:tx>
            <c:strRef>
              <c:f>Reflection!$Y$1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Reflection!$Y$3:$Y$202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Reflection!$AD$3:$AD$202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06-422F-B6C6-9642B7363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6354256"/>
        <c:axId val="-1606357520"/>
      </c:scatterChart>
      <c:valAx>
        <c:axId val="-1606354256"/>
        <c:scaling>
          <c:logBase val="10"/>
          <c:orientation val="minMax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6357520"/>
        <c:crosses val="autoZero"/>
        <c:crossBetween val="midCat"/>
      </c:valAx>
      <c:valAx>
        <c:axId val="-1606357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RL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63542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226462076855776"/>
          <c:y val="0.17480411574320082"/>
          <c:w val="0.22158153307759607"/>
          <c:h val="0.45407275010869041"/>
        </c:manualLayout>
      </c:layout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'Permitivity bank'!$A$1</c:f>
              <c:strCache>
                <c:ptCount val="1"/>
                <c:pt idx="0">
                  <c:v>Water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bank'!$A$3:$A$203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bank'!$E$3:$E$203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D8-4145-9254-D745BFC23218}"/>
            </c:ext>
          </c:extLst>
        </c:ser>
        <c:ser>
          <c:idx val="5"/>
          <c:order val="5"/>
          <c:tx>
            <c:strRef>
              <c:f>Permitivity!$AE$1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Permitivity!$AE$3:$AE$202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Permitivity!$AJ$3:$AJ$202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D8-4145-9254-D745BFC23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6366224"/>
        <c:axId val="-160636731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'Permitivity Ref.'!$J$1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'Permitivity Ref.'!$J$3:$J$202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'Permitivity Ref.'!$N$3:$N$202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AD8-4145-9254-D745BFC2321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Ref.'!$S$1</c15:sqref>
                        </c15:formulaRef>
                      </c:ext>
                    </c:extLst>
                    <c:strCache>
                      <c:ptCount val="1"/>
                      <c:pt idx="0">
                        <c:v>Ethanol 0.7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Ref.'!$S$3:$S$202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Ref.'!$W$3:$W$202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AD8-4145-9254-D745BFC2321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Ref.'!$AB$1</c15:sqref>
                        </c15:formulaRef>
                      </c:ext>
                    </c:extLst>
                    <c:strCache>
                      <c:ptCount val="1"/>
                      <c:pt idx="0">
                        <c:v>NaCl 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Ref.'!$AB$3:$AB$202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Ref.'!$AF$3:$AF$202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AD8-4145-9254-D745BFC2321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Ref.'!$AK$1</c15:sqref>
                        </c15:formulaRef>
                      </c:ext>
                    </c:extLst>
                    <c:strCache>
                      <c:ptCount val="1"/>
                      <c:pt idx="0">
                        <c:v>NaCl 0.01mol/L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Ref.'!$AK$3:$AK$202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Ref.'!$AO$3:$AO$202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AD8-4145-9254-D745BFC23218}"/>
                  </c:ext>
                </c:extLst>
              </c15:ser>
            </c15:filteredScatterSeries>
          </c:ext>
        </c:extLst>
      </c:scatterChart>
      <c:valAx>
        <c:axId val="-1606366224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6367312"/>
        <c:crosses val="autoZero"/>
        <c:crossBetween val="midCat"/>
      </c:valAx>
      <c:valAx>
        <c:axId val="-1606367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6366224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'Permitivity Ref.'!$A$1</c:f>
              <c:strCache>
                <c:ptCount val="1"/>
                <c:pt idx="0">
                  <c:v>Water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Ref.'!$A$3:$A$202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Ref.'!$F$3:$F$202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E-40DA-BCAD-8DC63D1DEF1A}"/>
            </c:ext>
          </c:extLst>
        </c:ser>
        <c:ser>
          <c:idx val="5"/>
          <c:order val="5"/>
          <c:tx>
            <c:strRef>
              <c:f>Permitivity!$AE$1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Permitivity!$AE$3:$AE$202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Permitivity!$AK$3:$AK$202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0E-40DA-BCAD-8DC63D1DE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6360784"/>
        <c:axId val="-160635697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'Permitivity Ref.'!$J$1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38100"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'Permitivity Ref.'!$J$3:$J$202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'Permitivity Ref.'!$O$3:$O$202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30E-40DA-BCAD-8DC63D1DEF1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Ref.'!$S$1</c15:sqref>
                        </c15:formulaRef>
                      </c:ext>
                    </c:extLst>
                    <c:strCache>
                      <c:ptCount val="1"/>
                      <c:pt idx="0">
                        <c:v>Ethanol 0.7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Ref.'!$S$3:$S$202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Ref.'!$X$3:$X$202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30E-40DA-BCAD-8DC63D1DEF1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Ref.'!$AB$1</c15:sqref>
                        </c15:formulaRef>
                      </c:ext>
                    </c:extLst>
                    <c:strCache>
                      <c:ptCount val="1"/>
                      <c:pt idx="0">
                        <c:v>NaCl 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Ref.'!$AB$3:$AB$202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Ref.'!$AG$3:$AG$202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30E-40DA-BCAD-8DC63D1DEF1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Ref.'!$AK$1</c15:sqref>
                        </c15:formulaRef>
                      </c:ext>
                    </c:extLst>
                    <c:strCache>
                      <c:ptCount val="1"/>
                      <c:pt idx="0">
                        <c:v>NaCl 0.01mol/L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Ref.'!$AK$3:$AK$202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Ref.'!$AP$3:$AP$202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30E-40DA-BCAD-8DC63D1DEF1A}"/>
                  </c:ext>
                </c:extLst>
              </c15:ser>
            </c15:filteredScatterSeries>
          </c:ext>
        </c:extLst>
      </c:scatterChart>
      <c:valAx>
        <c:axId val="-1606360784"/>
        <c:scaling>
          <c:logBase val="10"/>
          <c:orientation val="minMax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6356976"/>
        <c:crosses val="autoZero"/>
        <c:crossBetween val="midCat"/>
      </c:valAx>
      <c:valAx>
        <c:axId val="-1606356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6360784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'Permitivity Ref.'!$A$1</c:f>
              <c:strCache>
                <c:ptCount val="1"/>
                <c:pt idx="0">
                  <c:v>Water</c:v>
                </c:pt>
              </c:strCache>
              <c:extLst xmlns:c15="http://schemas.microsoft.com/office/drawing/2012/chart"/>
            </c:strRef>
          </c:tx>
          <c:spPr>
            <a:ln w="38100"/>
          </c:spPr>
          <c:marker>
            <c:symbol val="none"/>
          </c:marker>
          <c:xVal>
            <c:numRef>
              <c:f>'Permitivity Ref.'!$A$3:$A$202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'Permitivity Ref.'!$G$3:$G$202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2-1284-4BC4-AF1E-C2CE530C559F}"/>
            </c:ext>
          </c:extLst>
        </c:ser>
        <c:ser>
          <c:idx val="5"/>
          <c:order val="5"/>
          <c:tx>
            <c:strRef>
              <c:f>Permitivity!$AE$1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Permitivity!$AE$3:$AE$202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Permitivity!$AL$3:$AL$202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84-4BC4-AF1E-C2CE530C5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6361328"/>
        <c:axId val="-16063596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'Permitivity Ref.'!$J$1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38100"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'Permitivity Ref.'!$J$3:$J$202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'Permitivity Ref.'!$P$3:$P$202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1284-4BC4-AF1E-C2CE530C559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Ref.'!$S$1</c15:sqref>
                        </c15:formulaRef>
                      </c:ext>
                    </c:extLst>
                    <c:strCache>
                      <c:ptCount val="1"/>
                      <c:pt idx="0">
                        <c:v>Ethanol 0.7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Ref.'!$S$3:$S$202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Ref.'!$Y$3:$Y$202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284-4BC4-AF1E-C2CE530C559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Ref.'!$AB$1</c15:sqref>
                        </c15:formulaRef>
                      </c:ext>
                    </c:extLst>
                    <c:strCache>
                      <c:ptCount val="1"/>
                      <c:pt idx="0">
                        <c:v>NaCl 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Ref.'!$AB$3:$AB$202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Ref.'!$AH$3:$AH$202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284-4BC4-AF1E-C2CE530C559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Ref.'!$AK$1</c15:sqref>
                        </c15:formulaRef>
                      </c:ext>
                    </c:extLst>
                    <c:strCache>
                      <c:ptCount val="1"/>
                      <c:pt idx="0">
                        <c:v>NaCl 0.01mol/L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Ref.'!$AK$3:$AK$202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Ref.'!$AQ$3:$AQ$202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284-4BC4-AF1E-C2CE530C559F}"/>
                  </c:ext>
                </c:extLst>
              </c15:ser>
            </c15:filteredScatterSeries>
          </c:ext>
        </c:extLst>
      </c:scatterChart>
      <c:valAx>
        <c:axId val="-1606361328"/>
        <c:scaling>
          <c:logBase val="10"/>
          <c:orientation val="minMax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6359696"/>
        <c:crosses val="autoZero"/>
        <c:crossBetween val="midCat"/>
      </c:valAx>
      <c:valAx>
        <c:axId val="-1606359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6361328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'Permitivity Ref.'!$A$1</c:f>
              <c:strCache>
                <c:ptCount val="1"/>
                <c:pt idx="0">
                  <c:v>Water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Ref.'!$A$3:$A$202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Ref.'!$D$3:$D$202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F-4C5B-8CE3-C90A16C307DC}"/>
            </c:ext>
          </c:extLst>
        </c:ser>
        <c:ser>
          <c:idx val="5"/>
          <c:order val="5"/>
          <c:tx>
            <c:strRef>
              <c:f>Permitivity!$AE$1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Permitivity!$AE$3:$AE$202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Permitivity!$AI$3:$AI$202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CF-4C5B-8CE3-C90A16C30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6364592"/>
        <c:axId val="-16063678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'Permitivity Ref.'!$J$1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'Permitivity Ref.'!$J$3:$J$202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'Permitivity Ref.'!$M$3:$M$202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46CF-4C5B-8CE3-C90A16C307D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Ref.'!$S$1</c15:sqref>
                        </c15:formulaRef>
                      </c:ext>
                    </c:extLst>
                    <c:strCache>
                      <c:ptCount val="1"/>
                      <c:pt idx="0">
                        <c:v>Ethanol 0.7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Ref.'!$S$3:$S$202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Ref.'!$V$3:$V$202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CF-4C5B-8CE3-C90A16C307D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Ref.'!$AB$1</c15:sqref>
                        </c15:formulaRef>
                      </c:ext>
                    </c:extLst>
                    <c:strCache>
                      <c:ptCount val="1"/>
                      <c:pt idx="0">
                        <c:v>NaCl 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Ref.'!$AB$3:$AB$202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Ref.'!$AE$3:$AE$202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CF-4C5B-8CE3-C90A16C307D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Ref.'!$AK$1</c15:sqref>
                        </c15:formulaRef>
                      </c:ext>
                    </c:extLst>
                    <c:strCache>
                      <c:ptCount val="1"/>
                      <c:pt idx="0">
                        <c:v>NaCl 0.01mol/L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Ref.'!$AK$3:$AK$202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'Permitivity Ref.'!$AN$3:$AN$202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CF-4C5B-8CE3-C90A16C307DC}"/>
                  </c:ext>
                </c:extLst>
              </c15:ser>
            </c15:filteredScatterSeries>
          </c:ext>
        </c:extLst>
      </c:scatterChart>
      <c:valAx>
        <c:axId val="-1606364592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6367856"/>
        <c:crosses val="autoZero"/>
        <c:crossBetween val="midCat"/>
      </c:valAx>
      <c:valAx>
        <c:axId val="-1606367856"/>
        <c:scaling>
          <c:orientation val="minMax"/>
          <c:max val="90"/>
          <c:min val="6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6364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2190539271920982"/>
          <c:y val="0.47278002782550205"/>
          <c:w val="0.15035867952024645"/>
          <c:h val="0.22367705919026837"/>
        </c:manualLayout>
      </c:layout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'Permitivity bank'!$A$1</c:f>
              <c:strCache>
                <c:ptCount val="1"/>
                <c:pt idx="0">
                  <c:v>Water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bank'!$A$3:$A$203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bank'!$E$3:$E$203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0-4AF4-878C-C98C59D124D4}"/>
            </c:ext>
          </c:extLst>
        </c:ser>
        <c:ser>
          <c:idx val="1"/>
          <c:order val="1"/>
          <c:tx>
            <c:strRef>
              <c:f>'Permitivity Ref.'!$J$1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'Permitivity Ref.'!$J$3:$J$202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Ref.'!$N$3:$N$202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C0-4AF4-878C-C98C59D124D4}"/>
            </c:ext>
          </c:extLst>
        </c:ser>
        <c:ser>
          <c:idx val="2"/>
          <c:order val="2"/>
          <c:tx>
            <c:strRef>
              <c:f>'Permitivity Ref.'!$S$1</c:f>
              <c:strCache>
                <c:ptCount val="1"/>
                <c:pt idx="0">
                  <c:v>Ethanol 0.7</c:v>
                </c:pt>
              </c:strCache>
            </c:strRef>
          </c:tx>
          <c:marker>
            <c:symbol val="none"/>
          </c:marker>
          <c:xVal>
            <c:numRef>
              <c:f>'Permitivity Ref.'!$S$3:$S$202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Ref.'!$W$3:$W$202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C0-4AF4-878C-C98C59D124D4}"/>
            </c:ext>
          </c:extLst>
        </c:ser>
        <c:ser>
          <c:idx val="3"/>
          <c:order val="3"/>
          <c:tx>
            <c:strRef>
              <c:f>'Permitivity Ref.'!$AB$1</c:f>
              <c:strCache>
                <c:ptCount val="1"/>
                <c:pt idx="0">
                  <c:v>NaCl </c:v>
                </c:pt>
              </c:strCache>
            </c:strRef>
          </c:tx>
          <c:marker>
            <c:symbol val="none"/>
          </c:marker>
          <c:xVal>
            <c:numRef>
              <c:f>'Permitivity Ref.'!$AB$3:$AB$202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Ref.'!$AF$3:$AF$202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C0-4AF4-878C-C98C59D124D4}"/>
            </c:ext>
          </c:extLst>
        </c:ser>
        <c:ser>
          <c:idx val="4"/>
          <c:order val="4"/>
          <c:tx>
            <c:strRef>
              <c:f>'Permitivity Ref.'!$AK$1</c:f>
              <c:strCache>
                <c:ptCount val="1"/>
                <c:pt idx="0">
                  <c:v>NaCl 0.01mol/L</c:v>
                </c:pt>
              </c:strCache>
            </c:strRef>
          </c:tx>
          <c:marker>
            <c:symbol val="none"/>
          </c:marker>
          <c:xVal>
            <c:numRef>
              <c:f>'Permitivity Ref.'!$AK$3:$AK$202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Ref.'!$AO$3:$AO$202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C0-4AF4-878C-C98C59D12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6365680"/>
        <c:axId val="-1606364048"/>
      </c:scatterChart>
      <c:valAx>
        <c:axId val="-1606365680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6364048"/>
        <c:crosses val="autoZero"/>
        <c:crossBetween val="midCat"/>
      </c:valAx>
      <c:valAx>
        <c:axId val="-16063640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636568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'Permitivity Ref.'!$A$1</c:f>
              <c:strCache>
                <c:ptCount val="1"/>
                <c:pt idx="0">
                  <c:v>Water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Ref.'!$A$3:$A$202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Ref.'!$F$3:$F$202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B2-4E71-836C-D35988F6ED47}"/>
            </c:ext>
          </c:extLst>
        </c:ser>
        <c:ser>
          <c:idx val="1"/>
          <c:order val="1"/>
          <c:tx>
            <c:strRef>
              <c:f>'Permitivity Ref.'!$J$1</c:f>
              <c:strCache>
                <c:ptCount val="1"/>
                <c:pt idx="0">
                  <c:v>#REF!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Ref.'!$J$3:$J$202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Ref.'!$O$3:$O$202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B2-4E71-836C-D35988F6ED47}"/>
            </c:ext>
          </c:extLst>
        </c:ser>
        <c:ser>
          <c:idx val="2"/>
          <c:order val="2"/>
          <c:tx>
            <c:strRef>
              <c:f>'Permitivity Ref.'!$S$1</c:f>
              <c:strCache>
                <c:ptCount val="1"/>
                <c:pt idx="0">
                  <c:v>Ethanol 0.7</c:v>
                </c:pt>
              </c:strCache>
            </c:strRef>
          </c:tx>
          <c:marker>
            <c:symbol val="none"/>
          </c:marker>
          <c:xVal>
            <c:numRef>
              <c:f>'Permitivity Ref.'!$S$3:$S$202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Ref.'!$X$3:$X$202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B2-4E71-836C-D35988F6ED47}"/>
            </c:ext>
          </c:extLst>
        </c:ser>
        <c:ser>
          <c:idx val="3"/>
          <c:order val="3"/>
          <c:tx>
            <c:strRef>
              <c:f>'Permitivity Ref.'!$AB$1</c:f>
              <c:strCache>
                <c:ptCount val="1"/>
                <c:pt idx="0">
                  <c:v>NaCl </c:v>
                </c:pt>
              </c:strCache>
            </c:strRef>
          </c:tx>
          <c:marker>
            <c:symbol val="none"/>
          </c:marker>
          <c:xVal>
            <c:numRef>
              <c:f>'Permitivity Ref.'!$AB$3:$AB$202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Ref.'!$AG$3:$AG$202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B2-4E71-836C-D35988F6ED47}"/>
            </c:ext>
          </c:extLst>
        </c:ser>
        <c:ser>
          <c:idx val="4"/>
          <c:order val="4"/>
          <c:tx>
            <c:strRef>
              <c:f>'Permitivity Ref.'!$AK$1</c:f>
              <c:strCache>
                <c:ptCount val="1"/>
                <c:pt idx="0">
                  <c:v>NaCl 0.01mol/L</c:v>
                </c:pt>
              </c:strCache>
            </c:strRef>
          </c:tx>
          <c:marker>
            <c:symbol val="none"/>
          </c:marker>
          <c:xVal>
            <c:numRef>
              <c:f>'Permitivity Ref.'!$AK$3:$AK$202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Ref.'!$AP$3:$AP$202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B2-4E71-836C-D35988F6E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2834000"/>
        <c:axId val="-1602837808"/>
      </c:scatterChart>
      <c:valAx>
        <c:axId val="-1602834000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2837808"/>
        <c:crosses val="autoZero"/>
        <c:crossBetween val="midCat"/>
      </c:valAx>
      <c:valAx>
        <c:axId val="-1602837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283400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'Permitivity Ref.'!$A$1</c:f>
              <c:strCache>
                <c:ptCount val="1"/>
                <c:pt idx="0">
                  <c:v>Water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Ref.'!$A$3:$A$202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Ref.'!$G$3:$G$202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5F-4B39-B9D7-87179045265B}"/>
            </c:ext>
          </c:extLst>
        </c:ser>
        <c:ser>
          <c:idx val="1"/>
          <c:order val="1"/>
          <c:tx>
            <c:strRef>
              <c:f>'Permitivity Ref.'!$J$1</c:f>
              <c:strCache>
                <c:ptCount val="1"/>
                <c:pt idx="0">
                  <c:v>#REF!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Ref.'!$J$3:$J$202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Ref.'!$P$3:$P$202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5F-4B39-B9D7-87179045265B}"/>
            </c:ext>
          </c:extLst>
        </c:ser>
        <c:ser>
          <c:idx val="2"/>
          <c:order val="2"/>
          <c:tx>
            <c:strRef>
              <c:f>'Permitivity Ref.'!$S$1</c:f>
              <c:strCache>
                <c:ptCount val="1"/>
                <c:pt idx="0">
                  <c:v>Ethanol 0.7</c:v>
                </c:pt>
              </c:strCache>
            </c:strRef>
          </c:tx>
          <c:marker>
            <c:symbol val="none"/>
          </c:marker>
          <c:xVal>
            <c:numRef>
              <c:f>'Permitivity Ref.'!$S$3:$S$202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Ref.'!$Y$3:$Y$202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5F-4B39-B9D7-87179045265B}"/>
            </c:ext>
          </c:extLst>
        </c:ser>
        <c:ser>
          <c:idx val="3"/>
          <c:order val="3"/>
          <c:tx>
            <c:strRef>
              <c:f>'Permitivity Ref.'!$AB$1</c:f>
              <c:strCache>
                <c:ptCount val="1"/>
                <c:pt idx="0">
                  <c:v>NaCl </c:v>
                </c:pt>
              </c:strCache>
            </c:strRef>
          </c:tx>
          <c:marker>
            <c:symbol val="none"/>
          </c:marker>
          <c:xVal>
            <c:numRef>
              <c:f>'Permitivity Ref.'!$AB$3:$AB$202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Ref.'!$AH$3:$AH$202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5F-4B39-B9D7-87179045265B}"/>
            </c:ext>
          </c:extLst>
        </c:ser>
        <c:ser>
          <c:idx val="4"/>
          <c:order val="4"/>
          <c:tx>
            <c:strRef>
              <c:f>'Permitivity Ref.'!$AK$1</c:f>
              <c:strCache>
                <c:ptCount val="1"/>
                <c:pt idx="0">
                  <c:v>NaCl 0.01mol/L</c:v>
                </c:pt>
              </c:strCache>
            </c:strRef>
          </c:tx>
          <c:marker>
            <c:symbol val="none"/>
          </c:marker>
          <c:xVal>
            <c:numRef>
              <c:f>'Permitivity Ref.'!$AK$3:$AK$202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Ref.'!$AQ$3:$AQ$202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5F-4B39-B9D7-871790452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2824752"/>
        <c:axId val="-1602837264"/>
      </c:scatterChart>
      <c:valAx>
        <c:axId val="-1602824752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2837264"/>
        <c:crosses val="autoZero"/>
        <c:crossBetween val="midCat"/>
      </c:valAx>
      <c:valAx>
        <c:axId val="-16028372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282475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'Permitivity Ref.'!$A$1</c:f>
              <c:strCache>
                <c:ptCount val="1"/>
                <c:pt idx="0">
                  <c:v>Water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Ref.'!$A$3:$A$202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Ref.'!$D$3:$D$202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3-4EEF-B75C-B5CB435F459E}"/>
            </c:ext>
          </c:extLst>
        </c:ser>
        <c:ser>
          <c:idx val="1"/>
          <c:order val="1"/>
          <c:tx>
            <c:strRef>
              <c:f>'Permitivity Ref.'!$J$1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'Permitivity Ref.'!$J$3:$J$202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Ref.'!$M$3:$M$202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B3-4EEF-B75C-B5CB435F459E}"/>
            </c:ext>
          </c:extLst>
        </c:ser>
        <c:ser>
          <c:idx val="2"/>
          <c:order val="2"/>
          <c:tx>
            <c:strRef>
              <c:f>'Permitivity Ref.'!$S$1</c:f>
              <c:strCache>
                <c:ptCount val="1"/>
                <c:pt idx="0">
                  <c:v>Ethanol 0.7</c:v>
                </c:pt>
              </c:strCache>
            </c:strRef>
          </c:tx>
          <c:marker>
            <c:symbol val="none"/>
          </c:marker>
          <c:xVal>
            <c:numRef>
              <c:f>'Permitivity Ref.'!$S$3:$S$202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Ref.'!$V$3:$V$202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B3-4EEF-B75C-B5CB435F459E}"/>
            </c:ext>
          </c:extLst>
        </c:ser>
        <c:ser>
          <c:idx val="3"/>
          <c:order val="3"/>
          <c:tx>
            <c:strRef>
              <c:f>'Permitivity Ref.'!$AB$1</c:f>
              <c:strCache>
                <c:ptCount val="1"/>
                <c:pt idx="0">
                  <c:v>NaCl </c:v>
                </c:pt>
              </c:strCache>
            </c:strRef>
          </c:tx>
          <c:marker>
            <c:symbol val="none"/>
          </c:marker>
          <c:xVal>
            <c:numRef>
              <c:f>'Permitivity Ref.'!$AB$3:$AB$202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Ref.'!$AE$3:$AE$202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B3-4EEF-B75C-B5CB435F459E}"/>
            </c:ext>
          </c:extLst>
        </c:ser>
        <c:ser>
          <c:idx val="4"/>
          <c:order val="4"/>
          <c:tx>
            <c:strRef>
              <c:f>'Permitivity Ref.'!$AK$1</c:f>
              <c:strCache>
                <c:ptCount val="1"/>
                <c:pt idx="0">
                  <c:v>NaCl 0.01mol/L</c:v>
                </c:pt>
              </c:strCache>
            </c:strRef>
          </c:tx>
          <c:marker>
            <c:symbol val="none"/>
          </c:marker>
          <c:xVal>
            <c:numRef>
              <c:f>'Permitivity Ref.'!$AK$3:$AK$202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Ref.'!$AN$3:$AN$202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B3-4EEF-B75C-B5CB435F4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2832912"/>
        <c:axId val="-1602829648"/>
      </c:scatterChart>
      <c:valAx>
        <c:axId val="-1602832912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2829648"/>
        <c:crosses val="autoZero"/>
        <c:crossBetween val="midCat"/>
      </c:valAx>
      <c:valAx>
        <c:axId val="-1602829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283291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'Permitivity bank'!$A$1</c:f>
              <c:strCache>
                <c:ptCount val="1"/>
                <c:pt idx="0">
                  <c:v>Water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bank'!$A$3:$A$202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bank'!$D$3:$D$202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E7-42CB-A08F-4D6DCFCA550E}"/>
            </c:ext>
          </c:extLst>
        </c:ser>
        <c:ser>
          <c:idx val="1"/>
          <c:order val="1"/>
          <c:tx>
            <c:strRef>
              <c:f>'Permitivity bank'!$J$1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'Permitivity bank'!$J$3:$J$202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bank'!$N$3:$N$202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E7-42CB-A08F-4D6DCFCA550E}"/>
            </c:ext>
          </c:extLst>
        </c:ser>
        <c:ser>
          <c:idx val="2"/>
          <c:order val="2"/>
          <c:tx>
            <c:strRef>
              <c:f>'Permitivity bank'!$T$1</c:f>
              <c:strCache>
                <c:ptCount val="1"/>
                <c:pt idx="0">
                  <c:v>Ethanol 0.9</c:v>
                </c:pt>
              </c:strCache>
            </c:strRef>
          </c:tx>
          <c:marker>
            <c:symbol val="none"/>
          </c:marker>
          <c:xVal>
            <c:numRef>
              <c:f>'Permitivity bank'!$T$3:$T$202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bank'!$X$3:$X$202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E7-42CB-A08F-4D6DCFCA550E}"/>
            </c:ext>
          </c:extLst>
        </c:ser>
        <c:ser>
          <c:idx val="3"/>
          <c:order val="3"/>
          <c:tx>
            <c:strRef>
              <c:f>'Permitivity bank'!$AD$1</c:f>
              <c:strCache>
                <c:ptCount val="1"/>
                <c:pt idx="0">
                  <c:v>Ethanol 0.7</c:v>
                </c:pt>
              </c:strCache>
            </c:strRef>
          </c:tx>
          <c:marker>
            <c:symbol val="none"/>
          </c:marker>
          <c:xVal>
            <c:numRef>
              <c:f>'Permitivity bank'!$AD$3:$AD$202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bank'!$AH$3:$AH$202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E7-42CB-A08F-4D6DCFCA550E}"/>
            </c:ext>
          </c:extLst>
        </c:ser>
        <c:ser>
          <c:idx val="4"/>
          <c:order val="4"/>
          <c:tx>
            <c:strRef>
              <c:f>'Permitivity bank'!$AN$1</c:f>
              <c:strCache>
                <c:ptCount val="1"/>
                <c:pt idx="0">
                  <c:v>Ethanol 0.5</c:v>
                </c:pt>
              </c:strCache>
            </c:strRef>
          </c:tx>
          <c:marker>
            <c:symbol val="none"/>
          </c:marker>
          <c:xVal>
            <c:numRef>
              <c:f>'Permitivity bank'!$AN$3:$AN$202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bank'!$AR$3:$AR$202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E7-42CB-A08F-4D6DCFCA550E}"/>
            </c:ext>
          </c:extLst>
        </c:ser>
        <c:ser>
          <c:idx val="5"/>
          <c:order val="5"/>
          <c:tx>
            <c:strRef>
              <c:f>'Permitivity bank'!$AX$1</c:f>
              <c:strCache>
                <c:ptCount val="1"/>
                <c:pt idx="0">
                  <c:v>Ethanol 0.3</c:v>
                </c:pt>
              </c:strCache>
            </c:strRef>
          </c:tx>
          <c:marker>
            <c:symbol val="none"/>
          </c:marker>
          <c:xVal>
            <c:numRef>
              <c:f>'Permitivity bank'!$AX$3:$AX$202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bank'!$BB$3:$BB$202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E7-42CB-A08F-4D6DCFCA550E}"/>
            </c:ext>
          </c:extLst>
        </c:ser>
        <c:ser>
          <c:idx val="6"/>
          <c:order val="6"/>
          <c:tx>
            <c:strRef>
              <c:f>'Permitivity bank'!$BH$1</c:f>
              <c:strCache>
                <c:ptCount val="1"/>
                <c:pt idx="0">
                  <c:v>NaCl </c:v>
                </c:pt>
              </c:strCache>
            </c:strRef>
          </c:tx>
          <c:marker>
            <c:symbol val="none"/>
          </c:marker>
          <c:xVal>
            <c:numRef>
              <c:f>'Permitivity bank'!$BH$3:$BH$202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bank'!$BK$3:$BK$202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EE7-42CB-A08F-4D6DCFCA550E}"/>
            </c:ext>
          </c:extLst>
        </c:ser>
        <c:ser>
          <c:idx val="7"/>
          <c:order val="7"/>
          <c:tx>
            <c:strRef>
              <c:f>'Permitivity bank'!$BR$1</c:f>
              <c:strCache>
                <c:ptCount val="1"/>
                <c:pt idx="0">
                  <c:v>NaCl 0.1mol/L</c:v>
                </c:pt>
              </c:strCache>
            </c:strRef>
          </c:tx>
          <c:marker>
            <c:symbol val="none"/>
          </c:marker>
          <c:xVal>
            <c:numRef>
              <c:f>'Permitivity bank'!$BR$3:$BR$202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bank'!$BV$3:$BV$202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E7-42CB-A08F-4D6DCFCA5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2831280"/>
        <c:axId val="-1602836176"/>
      </c:scatterChart>
      <c:valAx>
        <c:axId val="-1602831280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2836176"/>
        <c:crosses val="autoZero"/>
        <c:crossBetween val="midCat"/>
      </c:valAx>
      <c:valAx>
        <c:axId val="-16028361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283128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'Permitivity bank'!$A$1</c:f>
              <c:strCache>
                <c:ptCount val="1"/>
                <c:pt idx="0">
                  <c:v>Water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bank'!$A$3:$A$202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bank'!$E$3:$E$202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DF-4919-ABCC-2E69E6A058AE}"/>
            </c:ext>
          </c:extLst>
        </c:ser>
        <c:ser>
          <c:idx val="1"/>
          <c:order val="1"/>
          <c:tx>
            <c:strRef>
              <c:f>'Permitivity bank'!$J$1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'Permitivity bank'!$J$3:$J$202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bank'!$O$3:$O$202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DF-4919-ABCC-2E69E6A058AE}"/>
            </c:ext>
          </c:extLst>
        </c:ser>
        <c:ser>
          <c:idx val="2"/>
          <c:order val="2"/>
          <c:tx>
            <c:strRef>
              <c:f>'Permitivity bank'!$T$1</c:f>
              <c:strCache>
                <c:ptCount val="1"/>
                <c:pt idx="0">
                  <c:v>Ethanol 0.9</c:v>
                </c:pt>
              </c:strCache>
            </c:strRef>
          </c:tx>
          <c:marker>
            <c:symbol val="none"/>
          </c:marker>
          <c:xVal>
            <c:numRef>
              <c:f>'Permitivity bank'!$T$3:$T$202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bank'!$Y$3:$Y$202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DF-4919-ABCC-2E69E6A058AE}"/>
            </c:ext>
          </c:extLst>
        </c:ser>
        <c:ser>
          <c:idx val="3"/>
          <c:order val="3"/>
          <c:tx>
            <c:strRef>
              <c:f>'Permitivity bank'!$AD$1</c:f>
              <c:strCache>
                <c:ptCount val="1"/>
                <c:pt idx="0">
                  <c:v>Ethanol 0.7</c:v>
                </c:pt>
              </c:strCache>
            </c:strRef>
          </c:tx>
          <c:marker>
            <c:symbol val="none"/>
          </c:marker>
          <c:xVal>
            <c:numRef>
              <c:f>'Permitivity bank'!$AD$3:$AD$202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bank'!$AI$3:$AI$202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DF-4919-ABCC-2E69E6A058AE}"/>
            </c:ext>
          </c:extLst>
        </c:ser>
        <c:ser>
          <c:idx val="4"/>
          <c:order val="4"/>
          <c:tx>
            <c:strRef>
              <c:f>'Permitivity bank'!$AN$1</c:f>
              <c:strCache>
                <c:ptCount val="1"/>
                <c:pt idx="0">
                  <c:v>Ethanol 0.5</c:v>
                </c:pt>
              </c:strCache>
            </c:strRef>
          </c:tx>
          <c:marker>
            <c:symbol val="none"/>
          </c:marker>
          <c:xVal>
            <c:numRef>
              <c:f>'Permitivity bank'!$AN$3:$AN$202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bank'!$AS$3:$AS$202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DF-4919-ABCC-2E69E6A058AE}"/>
            </c:ext>
          </c:extLst>
        </c:ser>
        <c:ser>
          <c:idx val="5"/>
          <c:order val="5"/>
          <c:tx>
            <c:strRef>
              <c:f>'Permitivity bank'!$AX$1</c:f>
              <c:strCache>
                <c:ptCount val="1"/>
                <c:pt idx="0">
                  <c:v>Ethanol 0.3</c:v>
                </c:pt>
              </c:strCache>
            </c:strRef>
          </c:tx>
          <c:marker>
            <c:symbol val="none"/>
          </c:marker>
          <c:xVal>
            <c:numRef>
              <c:f>'Permitivity bank'!$AX$3:$AX$202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bank'!$BC$3:$BC$202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DF-4919-ABCC-2E69E6A058AE}"/>
            </c:ext>
          </c:extLst>
        </c:ser>
        <c:ser>
          <c:idx val="6"/>
          <c:order val="6"/>
          <c:tx>
            <c:strRef>
              <c:f>'Permitivity bank'!$BH$1</c:f>
              <c:strCache>
                <c:ptCount val="1"/>
                <c:pt idx="0">
                  <c:v>NaCl </c:v>
                </c:pt>
              </c:strCache>
            </c:strRef>
          </c:tx>
          <c:marker>
            <c:symbol val="none"/>
          </c:marker>
          <c:xVal>
            <c:numRef>
              <c:f>'Permitivity bank'!$BH$3:$BH$202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bank'!$BL$3:$BL$202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DF-4919-ABCC-2E69E6A058AE}"/>
            </c:ext>
          </c:extLst>
        </c:ser>
        <c:ser>
          <c:idx val="7"/>
          <c:order val="7"/>
          <c:tx>
            <c:strRef>
              <c:f>'Permitivity bank'!$BR$1</c:f>
              <c:strCache>
                <c:ptCount val="1"/>
                <c:pt idx="0">
                  <c:v>NaCl 0.1mol/L</c:v>
                </c:pt>
              </c:strCache>
            </c:strRef>
          </c:tx>
          <c:marker>
            <c:symbol val="none"/>
          </c:marker>
          <c:xVal>
            <c:numRef>
              <c:f>'Permitivity bank'!$BR$3:$BR$202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bank'!$BW$3:$BW$202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DF-4919-ABCC-2E69E6A05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2827472"/>
        <c:axId val="-1602826928"/>
      </c:scatterChart>
      <c:valAx>
        <c:axId val="-1602827472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2826928"/>
        <c:crosses val="autoZero"/>
        <c:crossBetween val="midCat"/>
      </c:valAx>
      <c:valAx>
        <c:axId val="-1602826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282747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'Permitivity bank'!$A$1</c:f>
              <c:strCache>
                <c:ptCount val="1"/>
                <c:pt idx="0">
                  <c:v>Water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bank'!$A$3:$A$202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bank'!$F$3:$F$202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10-4C21-B102-7CD564934C93}"/>
            </c:ext>
          </c:extLst>
        </c:ser>
        <c:ser>
          <c:idx val="1"/>
          <c:order val="1"/>
          <c:tx>
            <c:strRef>
              <c:f>'Permitivity bank'!$J$1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'Permitivity bank'!$J$3:$J$202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bank'!$P$3:$P$202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10-4C21-B102-7CD564934C93}"/>
            </c:ext>
          </c:extLst>
        </c:ser>
        <c:ser>
          <c:idx val="2"/>
          <c:order val="2"/>
          <c:tx>
            <c:strRef>
              <c:f>'Permitivity bank'!$T$1</c:f>
              <c:strCache>
                <c:ptCount val="1"/>
                <c:pt idx="0">
                  <c:v>Ethanol 0.9</c:v>
                </c:pt>
              </c:strCache>
            </c:strRef>
          </c:tx>
          <c:marker>
            <c:symbol val="none"/>
          </c:marker>
          <c:xVal>
            <c:numRef>
              <c:f>'Permitivity bank'!$T$3:$T$202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bank'!$Z$3:$Z$202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10-4C21-B102-7CD564934C93}"/>
            </c:ext>
          </c:extLst>
        </c:ser>
        <c:ser>
          <c:idx val="3"/>
          <c:order val="3"/>
          <c:tx>
            <c:strRef>
              <c:f>'Permitivity bank'!$AD$1</c:f>
              <c:strCache>
                <c:ptCount val="1"/>
                <c:pt idx="0">
                  <c:v>Ethanol 0.7</c:v>
                </c:pt>
              </c:strCache>
            </c:strRef>
          </c:tx>
          <c:marker>
            <c:symbol val="none"/>
          </c:marker>
          <c:xVal>
            <c:numRef>
              <c:f>'Permitivity bank'!$AD$3:$AD$202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bank'!$AJ$3:$AJ$202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10-4C21-B102-7CD564934C93}"/>
            </c:ext>
          </c:extLst>
        </c:ser>
        <c:ser>
          <c:idx val="4"/>
          <c:order val="4"/>
          <c:tx>
            <c:strRef>
              <c:f>'Permitivity bank'!$AN$1</c:f>
              <c:strCache>
                <c:ptCount val="1"/>
                <c:pt idx="0">
                  <c:v>Ethanol 0.5</c:v>
                </c:pt>
              </c:strCache>
            </c:strRef>
          </c:tx>
          <c:marker>
            <c:symbol val="none"/>
          </c:marker>
          <c:xVal>
            <c:numRef>
              <c:f>'Permitivity bank'!$AN$3:$AN$202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bank'!$AT$3:$AT$202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10-4C21-B102-7CD564934C93}"/>
            </c:ext>
          </c:extLst>
        </c:ser>
        <c:ser>
          <c:idx val="5"/>
          <c:order val="5"/>
          <c:tx>
            <c:strRef>
              <c:f>'Permitivity bank'!$AX$1</c:f>
              <c:strCache>
                <c:ptCount val="1"/>
                <c:pt idx="0">
                  <c:v>Ethanol 0.3</c:v>
                </c:pt>
              </c:strCache>
            </c:strRef>
          </c:tx>
          <c:marker>
            <c:symbol val="none"/>
          </c:marker>
          <c:xVal>
            <c:numRef>
              <c:f>'Permitivity bank'!$AX$3:$AX$202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bank'!$BD$3:$BD$202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10-4C21-B102-7CD564934C93}"/>
            </c:ext>
          </c:extLst>
        </c:ser>
        <c:ser>
          <c:idx val="6"/>
          <c:order val="6"/>
          <c:tx>
            <c:strRef>
              <c:f>'Permitivity bank'!$BH$1</c:f>
              <c:strCache>
                <c:ptCount val="1"/>
                <c:pt idx="0">
                  <c:v>NaCl </c:v>
                </c:pt>
              </c:strCache>
            </c:strRef>
          </c:tx>
          <c:marker>
            <c:symbol val="none"/>
          </c:marker>
          <c:xVal>
            <c:numRef>
              <c:f>'Permitivity bank'!$BH$3:$BH$202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bank'!$BM$3:$BM$202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910-4C21-B102-7CD564934C93}"/>
            </c:ext>
          </c:extLst>
        </c:ser>
        <c:ser>
          <c:idx val="7"/>
          <c:order val="7"/>
          <c:tx>
            <c:strRef>
              <c:f>'Permitivity bank'!$BR$1</c:f>
              <c:strCache>
                <c:ptCount val="1"/>
                <c:pt idx="0">
                  <c:v>NaCl 0.1mol/L</c:v>
                </c:pt>
              </c:strCache>
            </c:strRef>
          </c:tx>
          <c:marker>
            <c:symbol val="none"/>
          </c:marker>
          <c:xVal>
            <c:numRef>
              <c:f>'Permitivity bank'!$BR$3:$BR$202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bank'!$BX$3:$BX$202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910-4C21-B102-7CD564934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2824208"/>
        <c:axId val="-1602830736"/>
      </c:scatterChart>
      <c:valAx>
        <c:axId val="-1602824208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2830736"/>
        <c:crosses val="autoZero"/>
        <c:crossBetween val="midCat"/>
      </c:valAx>
      <c:valAx>
        <c:axId val="-1602830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="1" i="0" baseline="0">
                    <a:effectLst/>
                  </a:rPr>
                  <a:t>σ' </a:t>
                </a:r>
                <a:endParaRPr lang="en-US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2824208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'Permitivity bank'!$A$1</c:f>
              <c:strCache>
                <c:ptCount val="1"/>
                <c:pt idx="0">
                  <c:v>Water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'Permitivity bank'!$A$3:$A$202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bank'!$G$3:$G$202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81-49F9-9008-4A5580F310EF}"/>
            </c:ext>
          </c:extLst>
        </c:ser>
        <c:ser>
          <c:idx val="1"/>
          <c:order val="1"/>
          <c:tx>
            <c:strRef>
              <c:f>'Permitivity bank'!$J$1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'Permitivity bank'!$J$3:$J$202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bank'!$Q$3:$Q$202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81-49F9-9008-4A5580F310EF}"/>
            </c:ext>
          </c:extLst>
        </c:ser>
        <c:ser>
          <c:idx val="2"/>
          <c:order val="2"/>
          <c:tx>
            <c:strRef>
              <c:f>'Permitivity bank'!$T$1</c:f>
              <c:strCache>
                <c:ptCount val="1"/>
                <c:pt idx="0">
                  <c:v>Ethanol 0.9</c:v>
                </c:pt>
              </c:strCache>
            </c:strRef>
          </c:tx>
          <c:marker>
            <c:symbol val="none"/>
          </c:marker>
          <c:xVal>
            <c:numRef>
              <c:f>'Permitivity bank'!$T$3:$T$202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bank'!$AA$3:$AA$202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81-49F9-9008-4A5580F310EF}"/>
            </c:ext>
          </c:extLst>
        </c:ser>
        <c:ser>
          <c:idx val="3"/>
          <c:order val="3"/>
          <c:tx>
            <c:strRef>
              <c:f>'Permitivity bank'!$AD$1</c:f>
              <c:strCache>
                <c:ptCount val="1"/>
                <c:pt idx="0">
                  <c:v>Ethanol 0.7</c:v>
                </c:pt>
              </c:strCache>
            </c:strRef>
          </c:tx>
          <c:marker>
            <c:symbol val="none"/>
          </c:marker>
          <c:xVal>
            <c:numRef>
              <c:f>'Permitivity bank'!$AD$3:$AD$202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bank'!$AK$3:$AK$202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81-49F9-9008-4A5580F310EF}"/>
            </c:ext>
          </c:extLst>
        </c:ser>
        <c:ser>
          <c:idx val="4"/>
          <c:order val="4"/>
          <c:tx>
            <c:strRef>
              <c:f>'Permitivity bank'!$AN$1</c:f>
              <c:strCache>
                <c:ptCount val="1"/>
                <c:pt idx="0">
                  <c:v>Ethanol 0.5</c:v>
                </c:pt>
              </c:strCache>
            </c:strRef>
          </c:tx>
          <c:marker>
            <c:symbol val="none"/>
          </c:marker>
          <c:xVal>
            <c:numRef>
              <c:f>'Permitivity bank'!$AN$3:$AN$202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bank'!$AU$3:$AU$202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81-49F9-9008-4A5580F310EF}"/>
            </c:ext>
          </c:extLst>
        </c:ser>
        <c:ser>
          <c:idx val="5"/>
          <c:order val="5"/>
          <c:tx>
            <c:strRef>
              <c:f>'Permitivity bank'!$AX$1</c:f>
              <c:strCache>
                <c:ptCount val="1"/>
                <c:pt idx="0">
                  <c:v>Ethanol 0.3</c:v>
                </c:pt>
              </c:strCache>
            </c:strRef>
          </c:tx>
          <c:marker>
            <c:symbol val="none"/>
          </c:marker>
          <c:xVal>
            <c:numRef>
              <c:f>'Permitivity bank'!$AX$3:$AX$202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bank'!$BE$3:$BE$202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81-49F9-9008-4A5580F310EF}"/>
            </c:ext>
          </c:extLst>
        </c:ser>
        <c:ser>
          <c:idx val="6"/>
          <c:order val="6"/>
          <c:tx>
            <c:strRef>
              <c:f>'Permitivity bank'!$BH$1</c:f>
              <c:strCache>
                <c:ptCount val="1"/>
                <c:pt idx="0">
                  <c:v>NaCl </c:v>
                </c:pt>
              </c:strCache>
            </c:strRef>
          </c:tx>
          <c:marker>
            <c:symbol val="none"/>
          </c:marker>
          <c:xVal>
            <c:numRef>
              <c:f>'Permitivity bank'!$BH$3:$BH$202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bank'!$BN$3:$BN$202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081-49F9-9008-4A5580F310EF}"/>
            </c:ext>
          </c:extLst>
        </c:ser>
        <c:ser>
          <c:idx val="7"/>
          <c:order val="7"/>
          <c:tx>
            <c:strRef>
              <c:f>'Permitivity bank'!$BR$1</c:f>
              <c:strCache>
                <c:ptCount val="1"/>
                <c:pt idx="0">
                  <c:v>NaCl 0.1mol/L</c:v>
                </c:pt>
              </c:strCache>
            </c:strRef>
          </c:tx>
          <c:marker>
            <c:symbol val="none"/>
          </c:marker>
          <c:xVal>
            <c:numRef>
              <c:f>'Permitivity bank'!$BR$3:$BR$202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'Permitivity bank'!$BY$3:$BY$202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081-49F9-9008-4A5580F31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2836720"/>
        <c:axId val="-1602835088"/>
      </c:scatterChart>
      <c:valAx>
        <c:axId val="-1602836720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02835088"/>
        <c:crosses val="autoZero"/>
        <c:crossBetween val="midCat"/>
      </c:valAx>
      <c:valAx>
        <c:axId val="-16028350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="1" i="0" baseline="0">
                    <a:effectLst/>
                  </a:rPr>
                  <a:t>σ'' </a:t>
                </a:r>
                <a:endParaRPr lang="en-US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0283672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695324</xdr:colOff>
      <xdr:row>9</xdr:row>
      <xdr:rowOff>85725</xdr:rowOff>
    </xdr:from>
    <xdr:to>
      <xdr:col>12</xdr:col>
      <xdr:colOff>171449</xdr:colOff>
      <xdr:row>25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504825</xdr:colOff>
      <xdr:row>9</xdr:row>
      <xdr:rowOff>95250</xdr:rowOff>
    </xdr:from>
    <xdr:to>
      <xdr:col>22</xdr:col>
      <xdr:colOff>352425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790981</xdr:colOff>
      <xdr:row>23</xdr:row>
      <xdr:rowOff>147187</xdr:rowOff>
    </xdr:from>
    <xdr:to>
      <xdr:col>8</xdr:col>
      <xdr:colOff>490681</xdr:colOff>
      <xdr:row>42</xdr:row>
      <xdr:rowOff>130736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88612</xdr:colOff>
      <xdr:row>5</xdr:row>
      <xdr:rowOff>7470</xdr:rowOff>
    </xdr:from>
    <xdr:to>
      <xdr:col>17</xdr:col>
      <xdr:colOff>548120</xdr:colOff>
      <xdr:row>23</xdr:row>
      <xdr:rowOff>42106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96781</xdr:colOff>
      <xdr:row>23</xdr:row>
      <xdr:rowOff>15383</xdr:rowOff>
    </xdr:from>
    <xdr:to>
      <xdr:col>18</xdr:col>
      <xdr:colOff>556289</xdr:colOff>
      <xdr:row>42</xdr:row>
      <xdr:rowOff>4415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798805</xdr:colOff>
      <xdr:row>5</xdr:row>
      <xdr:rowOff>51399</xdr:rowOff>
    </xdr:from>
    <xdr:to>
      <xdr:col>8</xdr:col>
      <xdr:colOff>493204</xdr:colOff>
      <xdr:row>22</xdr:row>
      <xdr:rowOff>155184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22</xdr:row>
      <xdr:rowOff>0</xdr:rowOff>
    </xdr:from>
    <xdr:to>
      <xdr:col>7</xdr:col>
      <xdr:colOff>180975</xdr:colOff>
      <xdr:row>38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371475</xdr:colOff>
      <xdr:row>4</xdr:row>
      <xdr:rowOff>38100</xdr:rowOff>
    </xdr:from>
    <xdr:to>
      <xdr:col>16</xdr:col>
      <xdr:colOff>219075</xdr:colOff>
      <xdr:row>20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447675</xdr:colOff>
      <xdr:row>22</xdr:row>
      <xdr:rowOff>9525</xdr:rowOff>
    </xdr:from>
    <xdr:to>
      <xdr:col>16</xdr:col>
      <xdr:colOff>295275</xdr:colOff>
      <xdr:row>38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790575</xdr:colOff>
      <xdr:row>4</xdr:row>
      <xdr:rowOff>38100</xdr:rowOff>
    </xdr:from>
    <xdr:to>
      <xdr:col>7</xdr:col>
      <xdr:colOff>171450</xdr:colOff>
      <xdr:row>20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1164772</xdr:colOff>
      <xdr:row>6</xdr:row>
      <xdr:rowOff>46264</xdr:rowOff>
    </xdr:from>
    <xdr:to>
      <xdr:col>6</xdr:col>
      <xdr:colOff>400050</xdr:colOff>
      <xdr:row>22</xdr:row>
      <xdr:rowOff>103414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1156608</xdr:colOff>
      <xdr:row>24</xdr:row>
      <xdr:rowOff>27214</xdr:rowOff>
    </xdr:from>
    <xdr:to>
      <xdr:col>6</xdr:col>
      <xdr:colOff>391886</xdr:colOff>
      <xdr:row>40</xdr:row>
      <xdr:rowOff>84364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530679</xdr:colOff>
      <xdr:row>6</xdr:row>
      <xdr:rowOff>81642</xdr:rowOff>
    </xdr:from>
    <xdr:to>
      <xdr:col>16</xdr:col>
      <xdr:colOff>378279</xdr:colOff>
      <xdr:row>22</xdr:row>
      <xdr:rowOff>138792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16</xdr:col>
      <xdr:colOff>459922</xdr:colOff>
      <xdr:row>41</xdr:row>
      <xdr:rowOff>57150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workbookViewId="0">
      <selection activeCell="I9" sqref="I9"/>
    </sheetView>
  </sheetViews>
  <sheetFormatPr defaultRowHeight="13.5" x14ac:dyDescent="0.15"/>
  <sheetData>
    <row r="1" spans="1:5" x14ac:dyDescent="0.15">
      <c r="A1" t="s">
        <v>27</v>
      </c>
      <c r="C1" t="s">
        <v>28</v>
      </c>
    </row>
    <row r="2" spans="1: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15">
      <c r="A3" s="1">
        <v>1000000</v>
      </c>
      <c r="B3" s="2">
        <v>929.42100000000005</v>
      </c>
      <c r="C3" s="2">
        <v>-2.0219999999999998</v>
      </c>
      <c r="D3" s="2">
        <v>928.84299999999996</v>
      </c>
      <c r="E3" s="2">
        <v>-32.790100000000002</v>
      </c>
    </row>
    <row r="4" spans="1:5" x14ac:dyDescent="0.15">
      <c r="A4" s="1">
        <v>1000000</v>
      </c>
      <c r="B4" s="2">
        <v>929.226</v>
      </c>
      <c r="C4" s="2">
        <v>-1.9970000000000001</v>
      </c>
      <c r="D4" s="2">
        <v>928.66200000000003</v>
      </c>
      <c r="E4" s="2">
        <v>-32.374499999999998</v>
      </c>
    </row>
    <row r="5" spans="1:5" x14ac:dyDescent="0.15">
      <c r="A5" s="1">
        <v>1100000</v>
      </c>
      <c r="B5" s="2">
        <v>926.125</v>
      </c>
      <c r="C5" s="2">
        <v>-2.2280000000000002</v>
      </c>
      <c r="D5" s="2">
        <v>925.42499999999995</v>
      </c>
      <c r="E5" s="2">
        <v>-36.000500000000002</v>
      </c>
    </row>
    <row r="6" spans="1:5" x14ac:dyDescent="0.15">
      <c r="A6" s="1">
        <v>1100000</v>
      </c>
      <c r="B6" s="2">
        <v>925.98</v>
      </c>
      <c r="C6" s="2">
        <v>-2.17</v>
      </c>
      <c r="D6" s="2">
        <v>925.31600000000003</v>
      </c>
      <c r="E6" s="2">
        <v>-35.061900000000001</v>
      </c>
    </row>
    <row r="7" spans="1:5" x14ac:dyDescent="0.15">
      <c r="A7" s="1">
        <v>1200000</v>
      </c>
      <c r="B7" s="2">
        <v>923.72400000000005</v>
      </c>
      <c r="C7" s="2">
        <v>-2.3730000000000002</v>
      </c>
      <c r="D7" s="2">
        <v>922.93200000000002</v>
      </c>
      <c r="E7" s="2">
        <v>-38.243600000000001</v>
      </c>
    </row>
    <row r="8" spans="1:5" x14ac:dyDescent="0.15">
      <c r="A8" s="1">
        <v>1200000</v>
      </c>
      <c r="B8" s="2">
        <v>925.14</v>
      </c>
      <c r="C8" s="2">
        <v>-2.3849999999999998</v>
      </c>
      <c r="D8" s="2">
        <v>924.33900000000006</v>
      </c>
      <c r="E8" s="2">
        <v>-38.492699999999999</v>
      </c>
    </row>
    <row r="9" spans="1:5" x14ac:dyDescent="0.15">
      <c r="A9" s="1">
        <v>1300000</v>
      </c>
      <c r="B9" s="2">
        <v>923.38499999999999</v>
      </c>
      <c r="C9" s="2">
        <v>-2.5630000000000002</v>
      </c>
      <c r="D9" s="2">
        <v>922.46199999999999</v>
      </c>
      <c r="E9" s="2">
        <v>-41.2864</v>
      </c>
    </row>
    <row r="10" spans="1:5" x14ac:dyDescent="0.15">
      <c r="A10" s="1">
        <v>1300000</v>
      </c>
      <c r="B10" s="2">
        <v>922.45699999999999</v>
      </c>
      <c r="C10" s="2">
        <v>-2.5819999999999999</v>
      </c>
      <c r="D10" s="2">
        <v>921.52</v>
      </c>
      <c r="E10" s="2">
        <v>-41.559600000000003</v>
      </c>
    </row>
    <row r="11" spans="1:5" x14ac:dyDescent="0.15">
      <c r="A11" s="1">
        <v>1400000</v>
      </c>
      <c r="B11" s="2">
        <v>922.35500000000002</v>
      </c>
      <c r="C11" s="2">
        <v>-2.7469999999999999</v>
      </c>
      <c r="D11" s="2">
        <v>921.29499999999996</v>
      </c>
      <c r="E11" s="2">
        <v>-44.1997</v>
      </c>
    </row>
    <row r="12" spans="1:5" x14ac:dyDescent="0.15">
      <c r="A12" s="1">
        <v>1400000</v>
      </c>
      <c r="B12" s="2">
        <v>923.14800000000002</v>
      </c>
      <c r="C12" s="2">
        <v>-2.73</v>
      </c>
      <c r="D12" s="2">
        <v>922.1</v>
      </c>
      <c r="E12" s="2">
        <v>-43.9694</v>
      </c>
    </row>
    <row r="13" spans="1:5" x14ac:dyDescent="0.15">
      <c r="A13" s="1">
        <v>1500000</v>
      </c>
      <c r="B13" s="2">
        <v>923.41700000000003</v>
      </c>
      <c r="C13" s="2">
        <v>-2.97</v>
      </c>
      <c r="D13" s="2">
        <v>922.17700000000002</v>
      </c>
      <c r="E13" s="2">
        <v>-47.8399</v>
      </c>
    </row>
    <row r="14" spans="1:5" x14ac:dyDescent="0.15">
      <c r="A14" s="1">
        <v>1600000</v>
      </c>
      <c r="B14" s="2">
        <v>923.66399999999999</v>
      </c>
      <c r="C14" s="2">
        <v>-3.1560000000000001</v>
      </c>
      <c r="D14" s="2">
        <v>922.26300000000003</v>
      </c>
      <c r="E14" s="2">
        <v>-50.846699999999998</v>
      </c>
    </row>
    <row r="15" spans="1:5" x14ac:dyDescent="0.15">
      <c r="A15" s="1">
        <v>1600000</v>
      </c>
      <c r="B15" s="2">
        <v>924.13499999999999</v>
      </c>
      <c r="C15" s="2">
        <v>-3.1619999999999999</v>
      </c>
      <c r="D15" s="2">
        <v>922.72799999999995</v>
      </c>
      <c r="E15" s="2">
        <v>-50.9681</v>
      </c>
    </row>
    <row r="16" spans="1:5" x14ac:dyDescent="0.15">
      <c r="A16" s="1">
        <v>1700000</v>
      </c>
      <c r="B16" s="2">
        <v>925.24099999999999</v>
      </c>
      <c r="C16" s="2">
        <v>-3.4420000000000002</v>
      </c>
      <c r="D16" s="2">
        <v>923.572</v>
      </c>
      <c r="E16" s="2">
        <v>-55.549799999999998</v>
      </c>
    </row>
    <row r="17" spans="1:5" x14ac:dyDescent="0.15">
      <c r="A17" s="1">
        <v>1800000</v>
      </c>
      <c r="B17" s="2">
        <v>926.41700000000003</v>
      </c>
      <c r="C17" s="2">
        <v>-3.6309999999999998</v>
      </c>
      <c r="D17" s="2">
        <v>924.55700000000002</v>
      </c>
      <c r="E17" s="2">
        <v>-58.668300000000002</v>
      </c>
    </row>
    <row r="18" spans="1:5" x14ac:dyDescent="0.15">
      <c r="A18" s="1">
        <v>1800000</v>
      </c>
      <c r="B18" s="2">
        <v>926.74300000000005</v>
      </c>
      <c r="C18" s="2">
        <v>-3.71</v>
      </c>
      <c r="D18" s="2">
        <v>924.80100000000004</v>
      </c>
      <c r="E18" s="2">
        <v>-59.969799999999999</v>
      </c>
    </row>
    <row r="19" spans="1:5" x14ac:dyDescent="0.15">
      <c r="A19" s="1">
        <v>1900000</v>
      </c>
      <c r="B19" s="2">
        <v>926.55799999999999</v>
      </c>
      <c r="C19" s="2">
        <v>-3.794</v>
      </c>
      <c r="D19" s="2">
        <v>924.52700000000004</v>
      </c>
      <c r="E19" s="2">
        <v>-61.311399999999999</v>
      </c>
    </row>
    <row r="20" spans="1:5" x14ac:dyDescent="0.15">
      <c r="A20" s="1">
        <v>2000000</v>
      </c>
      <c r="B20" s="2">
        <v>926.48599999999999</v>
      </c>
      <c r="C20" s="2">
        <v>-3.7069999999999999</v>
      </c>
      <c r="D20" s="2">
        <v>924.54700000000003</v>
      </c>
      <c r="E20" s="2">
        <v>-59.901299999999999</v>
      </c>
    </row>
    <row r="21" spans="1:5" x14ac:dyDescent="0.15">
      <c r="A21" s="1">
        <v>2100000</v>
      </c>
      <c r="B21" s="2">
        <v>925.68399999999997</v>
      </c>
      <c r="C21" s="2">
        <v>-3.6459999999999999</v>
      </c>
      <c r="D21" s="2">
        <v>923.81</v>
      </c>
      <c r="E21" s="2">
        <v>-58.8718</v>
      </c>
    </row>
    <row r="22" spans="1:5" x14ac:dyDescent="0.15">
      <c r="A22" s="1">
        <v>2100000</v>
      </c>
      <c r="B22" s="2">
        <v>925.36199999999997</v>
      </c>
      <c r="C22" s="2">
        <v>-3.6739999999999999</v>
      </c>
      <c r="D22" s="2">
        <v>923.46</v>
      </c>
      <c r="E22" s="2">
        <v>-59.294699999999999</v>
      </c>
    </row>
    <row r="23" spans="1:5" x14ac:dyDescent="0.15">
      <c r="A23" s="1">
        <v>2200000</v>
      </c>
      <c r="B23" s="2">
        <v>925.13199999999995</v>
      </c>
      <c r="C23" s="2">
        <v>-3.7240000000000002</v>
      </c>
      <c r="D23" s="2">
        <v>923.17899999999997</v>
      </c>
      <c r="E23" s="2">
        <v>-60.0824</v>
      </c>
    </row>
    <row r="24" spans="1:5" x14ac:dyDescent="0.15">
      <c r="A24" s="1">
        <v>2300000</v>
      </c>
      <c r="B24" s="2">
        <v>924.37400000000002</v>
      </c>
      <c r="C24" s="2">
        <v>-3.8370000000000002</v>
      </c>
      <c r="D24" s="2">
        <v>922.30200000000002</v>
      </c>
      <c r="E24" s="2">
        <v>-61.860700000000001</v>
      </c>
    </row>
    <row r="25" spans="1:5" x14ac:dyDescent="0.15">
      <c r="A25" s="1">
        <v>2400000</v>
      </c>
      <c r="B25" s="2">
        <v>924.01400000000001</v>
      </c>
      <c r="C25" s="2">
        <v>-4.0780000000000003</v>
      </c>
      <c r="D25" s="2">
        <v>921.67399999999998</v>
      </c>
      <c r="E25" s="2">
        <v>-65.716999999999999</v>
      </c>
    </row>
    <row r="26" spans="1:5" x14ac:dyDescent="0.15">
      <c r="A26" s="1">
        <v>2500000</v>
      </c>
      <c r="B26" s="2">
        <v>924.29600000000005</v>
      </c>
      <c r="C26" s="2">
        <v>-4.2329999999999997</v>
      </c>
      <c r="D26" s="2">
        <v>921.774</v>
      </c>
      <c r="E26" s="2">
        <v>-68.224699999999999</v>
      </c>
    </row>
    <row r="27" spans="1:5" x14ac:dyDescent="0.15">
      <c r="A27" s="1">
        <v>2600000</v>
      </c>
      <c r="B27" s="2">
        <v>923.76900000000001</v>
      </c>
      <c r="C27" s="2">
        <v>-4.4400000000000004</v>
      </c>
      <c r="D27" s="2">
        <v>920.99599999999998</v>
      </c>
      <c r="E27" s="2">
        <v>-71.516300000000001</v>
      </c>
    </row>
    <row r="28" spans="1:5" x14ac:dyDescent="0.15">
      <c r="A28" s="1">
        <v>2700000</v>
      </c>
      <c r="B28" s="2">
        <v>924.01</v>
      </c>
      <c r="C28" s="2">
        <v>-4.6859999999999999</v>
      </c>
      <c r="D28" s="2">
        <v>920.92100000000005</v>
      </c>
      <c r="E28" s="2">
        <v>-75.492599999999996</v>
      </c>
    </row>
    <row r="29" spans="1:5" x14ac:dyDescent="0.15">
      <c r="A29" s="1">
        <v>2800000</v>
      </c>
      <c r="B29" s="2">
        <v>923.52700000000004</v>
      </c>
      <c r="C29" s="2">
        <v>-4.9180000000000001</v>
      </c>
      <c r="D29" s="2">
        <v>920.12699999999995</v>
      </c>
      <c r="E29" s="2">
        <v>-79.177800000000005</v>
      </c>
    </row>
    <row r="30" spans="1:5" x14ac:dyDescent="0.15">
      <c r="A30" s="1">
        <v>3000000</v>
      </c>
      <c r="B30" s="2">
        <v>924.14499999999998</v>
      </c>
      <c r="C30" s="2">
        <v>-5.4960000000000004</v>
      </c>
      <c r="D30" s="2">
        <v>919.89599999999996</v>
      </c>
      <c r="E30" s="2">
        <v>-88.513599999999997</v>
      </c>
    </row>
    <row r="31" spans="1:5" x14ac:dyDescent="0.15">
      <c r="A31" s="1">
        <v>3100000</v>
      </c>
      <c r="B31" s="2">
        <v>923.38199999999995</v>
      </c>
      <c r="C31" s="2">
        <v>-5.7270000000000003</v>
      </c>
      <c r="D31" s="2">
        <v>918.774</v>
      </c>
      <c r="E31" s="2">
        <v>-92.135099999999994</v>
      </c>
    </row>
    <row r="32" spans="1:5" x14ac:dyDescent="0.15">
      <c r="A32" s="1">
        <v>3200000</v>
      </c>
      <c r="B32" s="2">
        <v>923.40899999999999</v>
      </c>
      <c r="C32" s="2">
        <v>-5.9059999999999997</v>
      </c>
      <c r="D32" s="2">
        <v>918.50699999999995</v>
      </c>
      <c r="E32" s="2">
        <v>-95.020300000000006</v>
      </c>
    </row>
    <row r="33" spans="1:5" x14ac:dyDescent="0.15">
      <c r="A33" s="1">
        <v>3300000</v>
      </c>
      <c r="B33" s="2">
        <v>922.96400000000006</v>
      </c>
      <c r="C33" s="2">
        <v>-6.1</v>
      </c>
      <c r="D33" s="2">
        <v>917.73800000000006</v>
      </c>
      <c r="E33" s="2">
        <v>-98.072699999999998</v>
      </c>
    </row>
    <row r="34" spans="1:5" x14ac:dyDescent="0.15">
      <c r="A34" s="1">
        <v>3500000</v>
      </c>
      <c r="B34" s="2">
        <v>923.06399999999996</v>
      </c>
      <c r="C34" s="2">
        <v>-6.431</v>
      </c>
      <c r="D34" s="2">
        <v>917.255</v>
      </c>
      <c r="E34" s="2">
        <v>-103.395</v>
      </c>
    </row>
    <row r="35" spans="1:5" x14ac:dyDescent="0.15">
      <c r="A35" s="1">
        <v>3600000</v>
      </c>
      <c r="B35" s="2">
        <v>922.61800000000005</v>
      </c>
      <c r="C35" s="2">
        <v>-6.5469999999999997</v>
      </c>
      <c r="D35" s="2">
        <v>916.60199999999998</v>
      </c>
      <c r="E35" s="2">
        <v>-105.19</v>
      </c>
    </row>
    <row r="36" spans="1:5" x14ac:dyDescent="0.15">
      <c r="A36" s="1">
        <v>3800000</v>
      </c>
      <c r="B36" s="2">
        <v>922.24400000000003</v>
      </c>
      <c r="C36" s="2">
        <v>-6.952</v>
      </c>
      <c r="D36" s="2">
        <v>915.46299999999997</v>
      </c>
      <c r="E36" s="2">
        <v>-111.633</v>
      </c>
    </row>
    <row r="37" spans="1:5" x14ac:dyDescent="0.15">
      <c r="A37" s="1">
        <v>3900000</v>
      </c>
      <c r="B37" s="2">
        <v>921.16300000000001</v>
      </c>
      <c r="C37" s="2">
        <v>-7.1269999999999998</v>
      </c>
      <c r="D37" s="2">
        <v>914.04600000000005</v>
      </c>
      <c r="E37" s="2">
        <v>-114.283</v>
      </c>
    </row>
    <row r="38" spans="1:5" x14ac:dyDescent="0.15">
      <c r="A38" s="1">
        <v>4099999.9999999995</v>
      </c>
      <c r="B38" s="2">
        <v>920.60900000000004</v>
      </c>
      <c r="C38" s="2">
        <v>-7.4610000000000003</v>
      </c>
      <c r="D38" s="2">
        <v>912.81399999999996</v>
      </c>
      <c r="E38" s="2">
        <v>-119.54900000000001</v>
      </c>
    </row>
    <row r="39" spans="1:5" x14ac:dyDescent="0.15">
      <c r="A39" s="1">
        <v>4300000</v>
      </c>
      <c r="B39" s="2">
        <v>919.82299999999998</v>
      </c>
      <c r="C39" s="2">
        <v>-7.8049999999999997</v>
      </c>
      <c r="D39" s="2">
        <v>911.30200000000002</v>
      </c>
      <c r="E39" s="2">
        <v>-124.914</v>
      </c>
    </row>
    <row r="40" spans="1:5" x14ac:dyDescent="0.15">
      <c r="A40" s="1">
        <v>4400000</v>
      </c>
      <c r="B40" s="2">
        <v>918.81100000000004</v>
      </c>
      <c r="C40" s="2">
        <v>-7.9820000000000002</v>
      </c>
      <c r="D40" s="2">
        <v>909.91</v>
      </c>
      <c r="E40" s="2">
        <v>-127.583</v>
      </c>
    </row>
    <row r="41" spans="1:5" x14ac:dyDescent="0.15">
      <c r="A41" s="1">
        <v>4600000</v>
      </c>
      <c r="B41" s="2">
        <v>918.47299999999996</v>
      </c>
      <c r="C41" s="2">
        <v>-8.3439999999999994</v>
      </c>
      <c r="D41" s="2">
        <v>908.75099999999998</v>
      </c>
      <c r="E41" s="2">
        <v>-133.28800000000001</v>
      </c>
    </row>
    <row r="42" spans="1:5" x14ac:dyDescent="0.15">
      <c r="A42" s="1">
        <v>4800000</v>
      </c>
      <c r="B42" s="2">
        <v>918.01800000000003</v>
      </c>
      <c r="C42" s="2">
        <v>-8.6910000000000007</v>
      </c>
      <c r="D42" s="2">
        <v>907.47699999999998</v>
      </c>
      <c r="E42" s="2">
        <v>-138.71899999999999</v>
      </c>
    </row>
    <row r="43" spans="1:5" x14ac:dyDescent="0.15">
      <c r="A43" s="1">
        <v>5000000</v>
      </c>
      <c r="B43" s="2">
        <v>916.63800000000003</v>
      </c>
      <c r="C43" s="2">
        <v>-9.0760000000000005</v>
      </c>
      <c r="D43" s="2">
        <v>905.16200000000003</v>
      </c>
      <c r="E43" s="2">
        <v>-144.59100000000001</v>
      </c>
    </row>
    <row r="44" spans="1:5" x14ac:dyDescent="0.15">
      <c r="A44" s="1">
        <v>5200000</v>
      </c>
      <c r="B44" s="2">
        <v>915.99800000000005</v>
      </c>
      <c r="C44" s="2">
        <v>-9.3870000000000005</v>
      </c>
      <c r="D44" s="2">
        <v>903.73400000000004</v>
      </c>
      <c r="E44" s="2">
        <v>-149.39400000000001</v>
      </c>
    </row>
    <row r="45" spans="1:5" x14ac:dyDescent="0.15">
      <c r="A45" s="1">
        <v>5400000</v>
      </c>
      <c r="B45" s="2">
        <v>914.73599999999999</v>
      </c>
      <c r="C45" s="2">
        <v>-9.7469999999999999</v>
      </c>
      <c r="D45" s="2">
        <v>901.53300000000002</v>
      </c>
      <c r="E45" s="2">
        <v>-154.857</v>
      </c>
    </row>
    <row r="46" spans="1:5" x14ac:dyDescent="0.15">
      <c r="A46" s="1">
        <v>5600000</v>
      </c>
      <c r="B46" s="2">
        <v>914.18499999999995</v>
      </c>
      <c r="C46" s="2">
        <v>-10.074999999999999</v>
      </c>
      <c r="D46" s="2">
        <v>900.08799999999997</v>
      </c>
      <c r="E46" s="2">
        <v>-159.92500000000001</v>
      </c>
    </row>
    <row r="47" spans="1:5" x14ac:dyDescent="0.15">
      <c r="A47" s="1">
        <v>5900000</v>
      </c>
      <c r="B47" s="2">
        <v>912.322</v>
      </c>
      <c r="C47" s="2">
        <v>-10.603</v>
      </c>
      <c r="D47" s="2">
        <v>896.745</v>
      </c>
      <c r="E47" s="2">
        <v>-167.86600000000001</v>
      </c>
    </row>
    <row r="48" spans="1:5" x14ac:dyDescent="0.15">
      <c r="A48" s="1">
        <v>6100000</v>
      </c>
      <c r="B48" s="2">
        <v>911.19100000000003</v>
      </c>
      <c r="C48" s="2">
        <v>-10.917</v>
      </c>
      <c r="D48" s="2">
        <v>894.702</v>
      </c>
      <c r="E48" s="2">
        <v>-172.56200000000001</v>
      </c>
    </row>
    <row r="49" spans="1:5" x14ac:dyDescent="0.15">
      <c r="A49" s="1">
        <v>6400000</v>
      </c>
      <c r="B49" s="2">
        <v>909.779</v>
      </c>
      <c r="C49" s="2">
        <v>-11.454000000000001</v>
      </c>
      <c r="D49" s="2">
        <v>891.66200000000003</v>
      </c>
      <c r="E49" s="2">
        <v>-180.65899999999999</v>
      </c>
    </row>
    <row r="50" spans="1:5" x14ac:dyDescent="0.15">
      <c r="A50" s="1">
        <v>6600000</v>
      </c>
      <c r="B50" s="2">
        <v>908.49199999999996</v>
      </c>
      <c r="C50" s="2">
        <v>-11.836</v>
      </c>
      <c r="D50" s="2">
        <v>889.17600000000004</v>
      </c>
      <c r="E50" s="2">
        <v>-186.345</v>
      </c>
    </row>
    <row r="51" spans="1:5" x14ac:dyDescent="0.15">
      <c r="A51" s="1">
        <v>6900000</v>
      </c>
      <c r="B51" s="2">
        <v>906.84299999999996</v>
      </c>
      <c r="C51" s="2">
        <v>-12.349</v>
      </c>
      <c r="D51" s="2">
        <v>885.86199999999997</v>
      </c>
      <c r="E51" s="2">
        <v>-193.94200000000001</v>
      </c>
    </row>
    <row r="52" spans="1:5" x14ac:dyDescent="0.15">
      <c r="A52" s="1">
        <v>7200000</v>
      </c>
      <c r="B52" s="2">
        <v>905.26700000000005</v>
      </c>
      <c r="C52" s="2">
        <v>-12.872</v>
      </c>
      <c r="D52" s="2">
        <v>882.51900000000001</v>
      </c>
      <c r="E52" s="2">
        <v>-201.66499999999999</v>
      </c>
    </row>
    <row r="53" spans="1:5" x14ac:dyDescent="0.15">
      <c r="A53" s="1">
        <v>7500000</v>
      </c>
      <c r="B53" s="2">
        <v>903.19100000000003</v>
      </c>
      <c r="C53" s="2">
        <v>-13.396000000000001</v>
      </c>
      <c r="D53" s="2">
        <v>878.61699999999996</v>
      </c>
      <c r="E53" s="2">
        <v>-209.251</v>
      </c>
    </row>
    <row r="54" spans="1:5" x14ac:dyDescent="0.15">
      <c r="A54" s="1">
        <v>7800000</v>
      </c>
      <c r="B54" s="2">
        <v>901.27099999999996</v>
      </c>
      <c r="C54" s="2">
        <v>-13.888</v>
      </c>
      <c r="D54" s="2">
        <v>874.92499999999995</v>
      </c>
      <c r="E54" s="2">
        <v>-216.32</v>
      </c>
    </row>
    <row r="55" spans="1:5" x14ac:dyDescent="0.15">
      <c r="A55" s="1">
        <v>8100000</v>
      </c>
      <c r="B55" s="2">
        <v>898.93100000000004</v>
      </c>
      <c r="C55" s="2">
        <v>-14.414</v>
      </c>
      <c r="D55" s="2">
        <v>870.63400000000001</v>
      </c>
      <c r="E55" s="2">
        <v>-223.77199999999999</v>
      </c>
    </row>
    <row r="56" spans="1:5" x14ac:dyDescent="0.15">
      <c r="A56" s="1">
        <v>8400000</v>
      </c>
      <c r="B56" s="2">
        <v>896.41600000000005</v>
      </c>
      <c r="C56" s="2">
        <v>-14.919</v>
      </c>
      <c r="D56" s="2">
        <v>866.2</v>
      </c>
      <c r="E56" s="2">
        <v>-230.78</v>
      </c>
    </row>
    <row r="57" spans="1:5" x14ac:dyDescent="0.15">
      <c r="A57" s="1">
        <v>8800000</v>
      </c>
      <c r="B57" s="2">
        <v>893.83199999999999</v>
      </c>
      <c r="C57" s="2">
        <v>-15.602</v>
      </c>
      <c r="D57" s="2">
        <v>860.89800000000002</v>
      </c>
      <c r="E57" s="2">
        <v>-240.398</v>
      </c>
    </row>
    <row r="58" spans="1:5" x14ac:dyDescent="0.15">
      <c r="A58" s="1">
        <v>9100000</v>
      </c>
      <c r="B58" s="2">
        <v>892.07399999999996</v>
      </c>
      <c r="C58" s="2">
        <v>-16.119</v>
      </c>
      <c r="D58" s="2">
        <v>857.00400000000002</v>
      </c>
      <c r="E58" s="2">
        <v>-247.67099999999999</v>
      </c>
    </row>
    <row r="59" spans="1:5" x14ac:dyDescent="0.15">
      <c r="A59" s="1">
        <v>9500000</v>
      </c>
      <c r="B59" s="2">
        <v>888.49300000000005</v>
      </c>
      <c r="C59" s="2">
        <v>-16.791</v>
      </c>
      <c r="D59" s="2">
        <v>850.61400000000003</v>
      </c>
      <c r="E59" s="2">
        <v>-256.66300000000001</v>
      </c>
    </row>
    <row r="60" spans="1:5" x14ac:dyDescent="0.15">
      <c r="A60" s="1">
        <v>9900000</v>
      </c>
      <c r="B60" s="2">
        <v>885.19200000000001</v>
      </c>
      <c r="C60" s="2">
        <v>-17.457999999999998</v>
      </c>
      <c r="D60" s="2">
        <v>844.41800000000001</v>
      </c>
      <c r="E60" s="2">
        <v>-265.56099999999998</v>
      </c>
    </row>
    <row r="61" spans="1:5" x14ac:dyDescent="0.15">
      <c r="A61" s="1">
        <v>10300000</v>
      </c>
      <c r="B61" s="2">
        <v>881.89599999999996</v>
      </c>
      <c r="C61" s="2">
        <v>-18.125</v>
      </c>
      <c r="D61" s="2">
        <v>838.13900000000001</v>
      </c>
      <c r="E61" s="2">
        <v>-274.34399999999999</v>
      </c>
    </row>
    <row r="62" spans="1:5" x14ac:dyDescent="0.15">
      <c r="A62" s="1">
        <v>10700000</v>
      </c>
      <c r="B62" s="2">
        <v>878.41099999999994</v>
      </c>
      <c r="C62" s="2">
        <v>-18.785</v>
      </c>
      <c r="D62" s="2">
        <v>831.62</v>
      </c>
      <c r="E62" s="2">
        <v>-282.86700000000002</v>
      </c>
    </row>
    <row r="63" spans="1:5" x14ac:dyDescent="0.15">
      <c r="A63" s="1">
        <v>11200000</v>
      </c>
      <c r="B63" s="2">
        <v>874.40300000000002</v>
      </c>
      <c r="C63" s="2">
        <v>-19.602</v>
      </c>
      <c r="D63" s="2">
        <v>823.726</v>
      </c>
      <c r="E63" s="2">
        <v>-293.35300000000001</v>
      </c>
    </row>
    <row r="64" spans="1:5" x14ac:dyDescent="0.15">
      <c r="A64" s="1">
        <v>11600000</v>
      </c>
      <c r="B64" s="2">
        <v>870.50800000000004</v>
      </c>
      <c r="C64" s="2">
        <v>-20.218</v>
      </c>
      <c r="D64" s="2">
        <v>816.87</v>
      </c>
      <c r="E64" s="2">
        <v>-300.84399999999999</v>
      </c>
    </row>
    <row r="65" spans="1:5" x14ac:dyDescent="0.15">
      <c r="A65" s="1">
        <v>12100000</v>
      </c>
      <c r="B65" s="2">
        <v>866.01900000000001</v>
      </c>
      <c r="C65" s="2">
        <v>-20.998999999999999</v>
      </c>
      <c r="D65" s="2">
        <v>808.505</v>
      </c>
      <c r="E65" s="2">
        <v>-310.33600000000001</v>
      </c>
    </row>
    <row r="66" spans="1:5" x14ac:dyDescent="0.15">
      <c r="A66" s="1">
        <v>12600000</v>
      </c>
      <c r="B66" s="2">
        <v>861.95899999999995</v>
      </c>
      <c r="C66" s="2">
        <v>-21.809000000000001</v>
      </c>
      <c r="D66" s="2">
        <v>800.26400000000001</v>
      </c>
      <c r="E66" s="2">
        <v>-320.23599999999999</v>
      </c>
    </row>
    <row r="67" spans="1:5" x14ac:dyDescent="0.15">
      <c r="A67" s="1">
        <v>13100000</v>
      </c>
      <c r="B67" s="2">
        <v>857.37</v>
      </c>
      <c r="C67" s="2">
        <v>-22.617999999999999</v>
      </c>
      <c r="D67" s="2">
        <v>791.43</v>
      </c>
      <c r="E67" s="2">
        <v>-329.73200000000003</v>
      </c>
    </row>
    <row r="68" spans="1:5" x14ac:dyDescent="0.15">
      <c r="A68" s="1">
        <v>13700000</v>
      </c>
      <c r="B68" s="2">
        <v>851.97500000000002</v>
      </c>
      <c r="C68" s="2">
        <v>-23.550999999999998</v>
      </c>
      <c r="D68" s="2">
        <v>781.00599999999997</v>
      </c>
      <c r="E68" s="2">
        <v>-340.42599999999999</v>
      </c>
    </row>
    <row r="69" spans="1:5" x14ac:dyDescent="0.15">
      <c r="A69" s="1">
        <v>14200000</v>
      </c>
      <c r="B69" s="2">
        <v>847.02</v>
      </c>
      <c r="C69" s="2">
        <v>-24.297000000000001</v>
      </c>
      <c r="D69" s="2">
        <v>771.99199999999996</v>
      </c>
      <c r="E69" s="2">
        <v>-348.52699999999999</v>
      </c>
    </row>
    <row r="70" spans="1:5" x14ac:dyDescent="0.15">
      <c r="A70" s="1">
        <v>14800000</v>
      </c>
      <c r="B70" s="2">
        <v>841.17</v>
      </c>
      <c r="C70" s="2">
        <v>-25.241</v>
      </c>
      <c r="D70" s="2">
        <v>760.85900000000004</v>
      </c>
      <c r="E70" s="2">
        <v>-358.69200000000001</v>
      </c>
    </row>
    <row r="71" spans="1:5" x14ac:dyDescent="0.15">
      <c r="A71" s="1">
        <v>15400000</v>
      </c>
      <c r="B71" s="2">
        <v>834.69299999999998</v>
      </c>
      <c r="C71" s="2">
        <v>-26.091000000000001</v>
      </c>
      <c r="D71" s="2">
        <v>749.63400000000001</v>
      </c>
      <c r="E71" s="2">
        <v>-367.09800000000001</v>
      </c>
    </row>
    <row r="72" spans="1:5" x14ac:dyDescent="0.15">
      <c r="A72" s="1">
        <v>16100000.000000002</v>
      </c>
      <c r="B72" s="2">
        <v>827.86199999999997</v>
      </c>
      <c r="C72" s="2">
        <v>-27.091000000000001</v>
      </c>
      <c r="D72" s="2">
        <v>737.03499999999997</v>
      </c>
      <c r="E72" s="2">
        <v>-377.00900000000001</v>
      </c>
    </row>
    <row r="73" spans="1:5" x14ac:dyDescent="0.15">
      <c r="A73" s="1">
        <v>16700000</v>
      </c>
      <c r="B73" s="2">
        <v>821.12</v>
      </c>
      <c r="C73" s="2">
        <v>-27.975000000000001</v>
      </c>
      <c r="D73" s="2">
        <v>725.17600000000004</v>
      </c>
      <c r="E73" s="2">
        <v>-385.173</v>
      </c>
    </row>
    <row r="74" spans="1:5" x14ac:dyDescent="0.15">
      <c r="A74" s="1">
        <v>17400000</v>
      </c>
      <c r="B74" s="2">
        <v>813.04300000000001</v>
      </c>
      <c r="C74" s="2">
        <v>-28.942</v>
      </c>
      <c r="D74" s="2">
        <v>711.49900000000002</v>
      </c>
      <c r="E74" s="2">
        <v>-393.45600000000002</v>
      </c>
    </row>
    <row r="75" spans="1:5" x14ac:dyDescent="0.15">
      <c r="A75" s="1">
        <v>18100000</v>
      </c>
      <c r="B75" s="2">
        <v>805.38300000000004</v>
      </c>
      <c r="C75" s="2">
        <v>-29.879000000000001</v>
      </c>
      <c r="D75" s="2">
        <v>698.32899999999995</v>
      </c>
      <c r="E75" s="2">
        <v>-401.22</v>
      </c>
    </row>
    <row r="76" spans="1:5" x14ac:dyDescent="0.15">
      <c r="A76" s="1">
        <v>18900000</v>
      </c>
      <c r="B76" s="2">
        <v>795.98900000000003</v>
      </c>
      <c r="C76" s="2">
        <v>-30.957000000000001</v>
      </c>
      <c r="D76" s="2">
        <v>682.60199999999998</v>
      </c>
      <c r="E76" s="2">
        <v>-409.45499999999998</v>
      </c>
    </row>
    <row r="77" spans="1:5" x14ac:dyDescent="0.15">
      <c r="A77" s="1">
        <v>19600000</v>
      </c>
      <c r="B77" s="2">
        <v>787.875</v>
      </c>
      <c r="C77" s="2">
        <v>-31.831</v>
      </c>
      <c r="D77" s="2">
        <v>669.38199999999995</v>
      </c>
      <c r="E77" s="2">
        <v>-415.541</v>
      </c>
    </row>
    <row r="78" spans="1:5" x14ac:dyDescent="0.15">
      <c r="A78" s="1">
        <v>20400000</v>
      </c>
      <c r="B78" s="2">
        <v>778.96799999999996</v>
      </c>
      <c r="C78" s="2">
        <v>-32.875</v>
      </c>
      <c r="D78" s="2">
        <v>654.22299999999996</v>
      </c>
      <c r="E78" s="2">
        <v>-422.82799999999997</v>
      </c>
    </row>
    <row r="79" spans="1:5" x14ac:dyDescent="0.15">
      <c r="A79" s="1">
        <v>21300000</v>
      </c>
      <c r="B79" s="2">
        <v>769.11099999999999</v>
      </c>
      <c r="C79" s="2">
        <v>-34.045000000000002</v>
      </c>
      <c r="D79" s="2">
        <v>637.28300000000002</v>
      </c>
      <c r="E79" s="2">
        <v>-430.58199999999999</v>
      </c>
    </row>
    <row r="80" spans="1:5" x14ac:dyDescent="0.15">
      <c r="A80" s="1">
        <v>22200000</v>
      </c>
      <c r="B80" s="2">
        <v>759.55</v>
      </c>
      <c r="C80" s="2">
        <v>-35.167000000000002</v>
      </c>
      <c r="D80" s="2">
        <v>620.91600000000005</v>
      </c>
      <c r="E80" s="2">
        <v>-437.47</v>
      </c>
    </row>
    <row r="81" spans="1:5" x14ac:dyDescent="0.15">
      <c r="A81" s="1">
        <v>23100000</v>
      </c>
      <c r="B81" s="2">
        <v>749.46299999999997</v>
      </c>
      <c r="C81" s="2">
        <v>-36.273000000000003</v>
      </c>
      <c r="D81" s="2">
        <v>604.226</v>
      </c>
      <c r="E81" s="2">
        <v>-443.404</v>
      </c>
    </row>
    <row r="82" spans="1:5" x14ac:dyDescent="0.15">
      <c r="A82" s="1">
        <v>24000000</v>
      </c>
      <c r="B82" s="2">
        <v>739.47699999999998</v>
      </c>
      <c r="C82" s="2">
        <v>-37.308999999999997</v>
      </c>
      <c r="D82" s="2">
        <v>588.16</v>
      </c>
      <c r="E82" s="2">
        <v>-448.21199999999999</v>
      </c>
    </row>
    <row r="83" spans="1:5" x14ac:dyDescent="0.15">
      <c r="A83" s="1">
        <v>25000000</v>
      </c>
      <c r="B83" s="2">
        <v>728.13800000000003</v>
      </c>
      <c r="C83" s="2">
        <v>-38.448999999999998</v>
      </c>
      <c r="D83" s="2">
        <v>570.24900000000002</v>
      </c>
      <c r="E83" s="2">
        <v>-452.77</v>
      </c>
    </row>
    <row r="84" spans="1:5" x14ac:dyDescent="0.15">
      <c r="A84" s="1">
        <v>26000000</v>
      </c>
      <c r="B84" s="2">
        <v>717.13</v>
      </c>
      <c r="C84" s="2">
        <v>-39.518000000000001</v>
      </c>
      <c r="D84" s="2">
        <v>553.21100000000001</v>
      </c>
      <c r="E84" s="2">
        <v>-456.32499999999999</v>
      </c>
    </row>
    <row r="85" spans="1:5" x14ac:dyDescent="0.15">
      <c r="A85" s="1">
        <v>27100000</v>
      </c>
      <c r="B85" s="2">
        <v>704.66399999999999</v>
      </c>
      <c r="C85" s="2">
        <v>-40.682000000000002</v>
      </c>
      <c r="D85" s="2">
        <v>534.37699999999995</v>
      </c>
      <c r="E85" s="2">
        <v>-459.34</v>
      </c>
    </row>
    <row r="86" spans="1:5" x14ac:dyDescent="0.15">
      <c r="A86" s="1">
        <v>28200000</v>
      </c>
      <c r="B86" s="2">
        <v>692.35500000000002</v>
      </c>
      <c r="C86" s="2">
        <v>-41.789000000000001</v>
      </c>
      <c r="D86" s="2">
        <v>516.22</v>
      </c>
      <c r="E86" s="2">
        <v>-461.38099999999997</v>
      </c>
    </row>
    <row r="87" spans="1:5" x14ac:dyDescent="0.15">
      <c r="A87" s="1">
        <v>29400000</v>
      </c>
      <c r="B87" s="2">
        <v>678.61099999999999</v>
      </c>
      <c r="C87" s="2">
        <v>-42.911000000000001</v>
      </c>
      <c r="D87" s="2">
        <v>497.02199999999999</v>
      </c>
      <c r="E87" s="2">
        <v>-462.04199999999997</v>
      </c>
    </row>
    <row r="88" spans="1:5" x14ac:dyDescent="0.15">
      <c r="A88" s="1">
        <v>30600000</v>
      </c>
      <c r="B88" s="2">
        <v>665.58900000000006</v>
      </c>
      <c r="C88" s="2">
        <v>-44.06</v>
      </c>
      <c r="D88" s="2">
        <v>478.30099999999999</v>
      </c>
      <c r="E88" s="2">
        <v>-462.85700000000003</v>
      </c>
    </row>
    <row r="89" spans="1:5" x14ac:dyDescent="0.15">
      <c r="A89" s="1">
        <v>31800000</v>
      </c>
      <c r="B89" s="2">
        <v>653.26900000000001</v>
      </c>
      <c r="C89" s="2">
        <v>-45.192</v>
      </c>
      <c r="D89" s="2">
        <v>460.37799999999999</v>
      </c>
      <c r="E89" s="2">
        <v>-463.47800000000001</v>
      </c>
    </row>
    <row r="90" spans="1:5" x14ac:dyDescent="0.15">
      <c r="A90" s="1">
        <v>33100000</v>
      </c>
      <c r="B90" s="2">
        <v>640.476</v>
      </c>
      <c r="C90" s="2">
        <v>-46.337000000000003</v>
      </c>
      <c r="D90" s="2">
        <v>442.19099999999997</v>
      </c>
      <c r="E90" s="2">
        <v>-463.33199999999999</v>
      </c>
    </row>
    <row r="91" spans="1:5" x14ac:dyDescent="0.15">
      <c r="A91" s="1">
        <v>34500000</v>
      </c>
      <c r="B91" s="2">
        <v>626.779</v>
      </c>
      <c r="C91" s="2">
        <v>-47.546999999999997</v>
      </c>
      <c r="D91" s="2">
        <v>423.06299999999999</v>
      </c>
      <c r="E91" s="2">
        <v>-462.46</v>
      </c>
    </row>
    <row r="92" spans="1:5" x14ac:dyDescent="0.15">
      <c r="A92" s="1">
        <v>35900000</v>
      </c>
      <c r="B92" s="2">
        <v>613.20899999999995</v>
      </c>
      <c r="C92" s="2">
        <v>-48.677</v>
      </c>
      <c r="D92" s="2">
        <v>404.904</v>
      </c>
      <c r="E92" s="2">
        <v>-460.51900000000001</v>
      </c>
    </row>
    <row r="93" spans="1:5" x14ac:dyDescent="0.15">
      <c r="A93" s="1">
        <v>37400000</v>
      </c>
      <c r="B93" s="2">
        <v>598.61500000000001</v>
      </c>
      <c r="C93" s="2">
        <v>-49.825000000000003</v>
      </c>
      <c r="D93" s="2">
        <v>386.185</v>
      </c>
      <c r="E93" s="2">
        <v>-457.38499999999999</v>
      </c>
    </row>
    <row r="94" spans="1:5" x14ac:dyDescent="0.15">
      <c r="A94" s="1">
        <v>38900000</v>
      </c>
      <c r="B94" s="2">
        <v>584.55600000000004</v>
      </c>
      <c r="C94" s="2">
        <v>-50.862000000000002</v>
      </c>
      <c r="D94" s="2">
        <v>368.964</v>
      </c>
      <c r="E94" s="2">
        <v>-453.4</v>
      </c>
    </row>
    <row r="95" spans="1:5" x14ac:dyDescent="0.15">
      <c r="A95" s="1">
        <v>40500000</v>
      </c>
      <c r="B95" s="2">
        <v>569.97299999999996</v>
      </c>
      <c r="C95" s="2">
        <v>-51.942999999999998</v>
      </c>
      <c r="D95" s="2">
        <v>351.35500000000002</v>
      </c>
      <c r="E95" s="2">
        <v>-448.79700000000003</v>
      </c>
    </row>
    <row r="96" spans="1:5" x14ac:dyDescent="0.15">
      <c r="A96" s="1">
        <v>42200000</v>
      </c>
      <c r="B96" s="2">
        <v>555.64800000000002</v>
      </c>
      <c r="C96" s="2">
        <v>-53.122999999999998</v>
      </c>
      <c r="D96" s="2">
        <v>333.44799999999998</v>
      </c>
      <c r="E96" s="2">
        <v>-444.47399999999999</v>
      </c>
    </row>
    <row r="97" spans="1:5" x14ac:dyDescent="0.15">
      <c r="A97" s="1">
        <v>43900000</v>
      </c>
      <c r="B97" s="2">
        <v>541.65300000000002</v>
      </c>
      <c r="C97" s="2">
        <v>-54.201000000000001</v>
      </c>
      <c r="D97" s="2">
        <v>316.834</v>
      </c>
      <c r="E97" s="2">
        <v>-439.322</v>
      </c>
    </row>
    <row r="98" spans="1:5" x14ac:dyDescent="0.15">
      <c r="A98" s="1">
        <v>45700000</v>
      </c>
      <c r="B98" s="2">
        <v>527.51700000000005</v>
      </c>
      <c r="C98" s="2">
        <v>-55.249000000000002</v>
      </c>
      <c r="D98" s="2">
        <v>300.68799999999999</v>
      </c>
      <c r="E98" s="2">
        <v>-433.43</v>
      </c>
    </row>
    <row r="99" spans="1:5" x14ac:dyDescent="0.15">
      <c r="A99" s="1">
        <v>47600000</v>
      </c>
      <c r="B99" s="2">
        <v>513.07500000000005</v>
      </c>
      <c r="C99" s="2">
        <v>-56.283999999999999</v>
      </c>
      <c r="D99" s="2">
        <v>284.79500000000002</v>
      </c>
      <c r="E99" s="2">
        <v>-426.77600000000001</v>
      </c>
    </row>
    <row r="100" spans="1:5" x14ac:dyDescent="0.15">
      <c r="A100" s="1">
        <v>49500000</v>
      </c>
      <c r="B100" s="2">
        <v>499.21300000000002</v>
      </c>
      <c r="C100" s="2">
        <v>-57.283999999999999</v>
      </c>
      <c r="D100" s="2">
        <v>269.81200000000001</v>
      </c>
      <c r="E100" s="2">
        <v>-420.01799999999997</v>
      </c>
    </row>
    <row r="101" spans="1:5" x14ac:dyDescent="0.15">
      <c r="A101" s="1">
        <v>51600000</v>
      </c>
      <c r="B101" s="2">
        <v>484.53300000000002</v>
      </c>
      <c r="C101" s="2">
        <v>-58.527999999999999</v>
      </c>
      <c r="D101" s="2">
        <v>252.96899999999999</v>
      </c>
      <c r="E101" s="2">
        <v>-413.255</v>
      </c>
    </row>
    <row r="102" spans="1:5" x14ac:dyDescent="0.15">
      <c r="A102" s="1">
        <v>53700000</v>
      </c>
      <c r="B102" s="2">
        <v>470.255</v>
      </c>
      <c r="C102" s="2">
        <v>-59.670999999999999</v>
      </c>
      <c r="D102" s="2">
        <v>237.46100000000001</v>
      </c>
      <c r="E102" s="2">
        <v>-405.89600000000002</v>
      </c>
    </row>
    <row r="103" spans="1:5" x14ac:dyDescent="0.15">
      <c r="A103" s="1">
        <v>55900000</v>
      </c>
      <c r="B103" s="2">
        <v>456.00299999999999</v>
      </c>
      <c r="C103" s="2">
        <v>-60.667999999999999</v>
      </c>
      <c r="D103" s="2">
        <v>223.38300000000001</v>
      </c>
      <c r="E103" s="2">
        <v>-397.541</v>
      </c>
    </row>
    <row r="104" spans="1:5" x14ac:dyDescent="0.15">
      <c r="A104" s="1">
        <v>58200000</v>
      </c>
      <c r="B104" s="2">
        <v>442.26600000000002</v>
      </c>
      <c r="C104" s="2">
        <v>-61.576999999999998</v>
      </c>
      <c r="D104" s="2">
        <v>210.50700000000001</v>
      </c>
      <c r="E104" s="2">
        <v>-388.95499999999998</v>
      </c>
    </row>
    <row r="105" spans="1:5" x14ac:dyDescent="0.15">
      <c r="A105" s="1">
        <v>60600000</v>
      </c>
      <c r="B105" s="2">
        <v>428.96100000000001</v>
      </c>
      <c r="C105" s="2">
        <v>-62.39</v>
      </c>
      <c r="D105" s="2">
        <v>198.80199999999999</v>
      </c>
      <c r="E105" s="2">
        <v>-380.11200000000002</v>
      </c>
    </row>
    <row r="106" spans="1:5" x14ac:dyDescent="0.15">
      <c r="A106" s="1">
        <v>63100000</v>
      </c>
      <c r="B106" s="2">
        <v>415.79899999999998</v>
      </c>
      <c r="C106" s="2">
        <v>-63.207000000000001</v>
      </c>
      <c r="D106" s="2">
        <v>187.43100000000001</v>
      </c>
      <c r="E106" s="2">
        <v>-371.15800000000002</v>
      </c>
    </row>
    <row r="107" spans="1:5" x14ac:dyDescent="0.15">
      <c r="A107" s="1">
        <v>65599999.999999993</v>
      </c>
      <c r="B107" s="2">
        <v>402.93200000000002</v>
      </c>
      <c r="C107" s="2">
        <v>-64.135000000000005</v>
      </c>
      <c r="D107" s="2">
        <v>175.78</v>
      </c>
      <c r="E107" s="2">
        <v>-362.56799999999998</v>
      </c>
    </row>
    <row r="108" spans="1:5" x14ac:dyDescent="0.15">
      <c r="A108" s="1">
        <v>68300000</v>
      </c>
      <c r="B108" s="2">
        <v>390.06200000000001</v>
      </c>
      <c r="C108" s="2">
        <v>-65.048000000000002</v>
      </c>
      <c r="D108" s="2">
        <v>164.554</v>
      </c>
      <c r="E108" s="2">
        <v>-353.65300000000002</v>
      </c>
    </row>
    <row r="109" spans="1:5" x14ac:dyDescent="0.15">
      <c r="A109" s="1">
        <v>71100000</v>
      </c>
      <c r="B109" s="2">
        <v>377.35700000000003</v>
      </c>
      <c r="C109" s="2">
        <v>-65.894999999999996</v>
      </c>
      <c r="D109" s="2">
        <v>154.11600000000001</v>
      </c>
      <c r="E109" s="2">
        <v>-344.45100000000002</v>
      </c>
    </row>
    <row r="110" spans="1:5" x14ac:dyDescent="0.15">
      <c r="A110" s="1">
        <v>74100000</v>
      </c>
      <c r="B110" s="2">
        <v>364.70100000000002</v>
      </c>
      <c r="C110" s="2">
        <v>-66.674999999999997</v>
      </c>
      <c r="D110" s="2">
        <v>144.40299999999999</v>
      </c>
      <c r="E110" s="2">
        <v>-334.89499999999998</v>
      </c>
    </row>
    <row r="111" spans="1:5" x14ac:dyDescent="0.15">
      <c r="A111" s="1">
        <v>77100000</v>
      </c>
      <c r="B111" s="2">
        <v>352.565</v>
      </c>
      <c r="C111" s="2">
        <v>-67.512</v>
      </c>
      <c r="D111" s="2">
        <v>134.85</v>
      </c>
      <c r="E111" s="2">
        <v>-325.75700000000001</v>
      </c>
    </row>
    <row r="112" spans="1:5" x14ac:dyDescent="0.15">
      <c r="A112" s="1">
        <v>80300000</v>
      </c>
      <c r="B112" s="2">
        <v>340.25799999999998</v>
      </c>
      <c r="C112" s="2">
        <v>-68.320999999999998</v>
      </c>
      <c r="D112" s="2">
        <v>125.691</v>
      </c>
      <c r="E112" s="2">
        <v>-316.19200000000001</v>
      </c>
    </row>
    <row r="113" spans="1:5" x14ac:dyDescent="0.15">
      <c r="A113" s="1">
        <v>83600000</v>
      </c>
      <c r="B113" s="2">
        <v>329.26900000000001</v>
      </c>
      <c r="C113" s="2">
        <v>-69.088999999999999</v>
      </c>
      <c r="D113" s="2">
        <v>117.524</v>
      </c>
      <c r="E113" s="2">
        <v>-307.58100000000002</v>
      </c>
    </row>
    <row r="114" spans="1:5" x14ac:dyDescent="0.15">
      <c r="A114" s="1">
        <v>87000000</v>
      </c>
      <c r="B114" s="2">
        <v>318.04500000000002</v>
      </c>
      <c r="C114" s="2">
        <v>-69.753</v>
      </c>
      <c r="D114" s="2">
        <v>110.06699999999999</v>
      </c>
      <c r="E114" s="2">
        <v>-298.392</v>
      </c>
    </row>
    <row r="115" spans="1:5" x14ac:dyDescent="0.15">
      <c r="A115" s="1">
        <v>90600000</v>
      </c>
      <c r="B115" s="2">
        <v>306.798</v>
      </c>
      <c r="C115" s="2">
        <v>-70.558000000000007</v>
      </c>
      <c r="D115" s="2">
        <v>102.116</v>
      </c>
      <c r="E115" s="2">
        <v>-289.30399999999997</v>
      </c>
    </row>
    <row r="116" spans="1:5" x14ac:dyDescent="0.15">
      <c r="A116" s="1">
        <v>94300000</v>
      </c>
      <c r="B116" s="2">
        <v>296.09500000000003</v>
      </c>
      <c r="C116" s="2">
        <v>-71.272999999999996</v>
      </c>
      <c r="D116" s="2">
        <v>95.066400000000002</v>
      </c>
      <c r="E116" s="2">
        <v>-280.41899999999998</v>
      </c>
    </row>
    <row r="117" spans="1:5" x14ac:dyDescent="0.15">
      <c r="A117" s="1">
        <v>98200000</v>
      </c>
      <c r="B117" s="2">
        <v>285.65100000000001</v>
      </c>
      <c r="C117" s="2">
        <v>-71.869</v>
      </c>
      <c r="D117" s="2">
        <v>88.893199999999993</v>
      </c>
      <c r="E117" s="2">
        <v>-271.46699999999998</v>
      </c>
    </row>
    <row r="118" spans="1:5" x14ac:dyDescent="0.15">
      <c r="A118" s="1">
        <v>102200000</v>
      </c>
      <c r="B118" s="2">
        <v>275.613</v>
      </c>
      <c r="C118" s="2">
        <v>-72.53</v>
      </c>
      <c r="D118" s="2">
        <v>82.741299999999995</v>
      </c>
      <c r="E118" s="2">
        <v>-262.899</v>
      </c>
    </row>
    <row r="119" spans="1:5" x14ac:dyDescent="0.15">
      <c r="A119" s="1">
        <v>106400000</v>
      </c>
      <c r="B119" s="2">
        <v>265.733</v>
      </c>
      <c r="C119" s="2">
        <v>-73.203000000000003</v>
      </c>
      <c r="D119" s="2">
        <v>76.792199999999994</v>
      </c>
      <c r="E119" s="2">
        <v>-254.39599999999999</v>
      </c>
    </row>
    <row r="120" spans="1:5" x14ac:dyDescent="0.15">
      <c r="A120" s="1">
        <v>110700000</v>
      </c>
      <c r="B120" s="2">
        <v>256.50099999999998</v>
      </c>
      <c r="C120" s="2">
        <v>-73.754000000000005</v>
      </c>
      <c r="D120" s="2">
        <v>71.758799999999994</v>
      </c>
      <c r="E120" s="2">
        <v>-246.25899999999999</v>
      </c>
    </row>
    <row r="121" spans="1:5" x14ac:dyDescent="0.15">
      <c r="A121" s="1">
        <v>115300000</v>
      </c>
      <c r="B121" s="2">
        <v>247.10599999999999</v>
      </c>
      <c r="C121" s="2">
        <v>-74.356999999999999</v>
      </c>
      <c r="D121" s="2">
        <v>66.632000000000005</v>
      </c>
      <c r="E121" s="2">
        <v>-237.952</v>
      </c>
    </row>
    <row r="122" spans="1:5" x14ac:dyDescent="0.15">
      <c r="A122" s="1">
        <v>120000000</v>
      </c>
      <c r="B122" s="2">
        <v>238.19900000000001</v>
      </c>
      <c r="C122" s="2">
        <v>-74.936999999999998</v>
      </c>
      <c r="D122" s="2">
        <v>61.901899999999998</v>
      </c>
      <c r="E122" s="2">
        <v>-230.01499999999999</v>
      </c>
    </row>
    <row r="123" spans="1:5" x14ac:dyDescent="0.15">
      <c r="A123" s="1">
        <v>125000000</v>
      </c>
      <c r="B123" s="2">
        <v>229.654</v>
      </c>
      <c r="C123" s="2">
        <v>-75.421999999999997</v>
      </c>
      <c r="D123" s="2">
        <v>57.802</v>
      </c>
      <c r="E123" s="2">
        <v>-222.261</v>
      </c>
    </row>
    <row r="124" spans="1:5" x14ac:dyDescent="0.15">
      <c r="A124" s="1">
        <v>130100000</v>
      </c>
      <c r="B124" s="2">
        <v>221.15799999999999</v>
      </c>
      <c r="C124" s="2">
        <v>-75.992000000000004</v>
      </c>
      <c r="D124" s="2">
        <v>53.5336</v>
      </c>
      <c r="E124" s="2">
        <v>-214.58099999999999</v>
      </c>
    </row>
    <row r="125" spans="1:5" x14ac:dyDescent="0.15">
      <c r="A125" s="1">
        <v>135400000</v>
      </c>
      <c r="B125" s="2">
        <v>213.251</v>
      </c>
      <c r="C125" s="2">
        <v>-76.478999999999999</v>
      </c>
      <c r="D125" s="2">
        <v>49.857199999999999</v>
      </c>
      <c r="E125" s="2">
        <v>-207.34100000000001</v>
      </c>
    </row>
    <row r="126" spans="1:5" x14ac:dyDescent="0.15">
      <c r="A126" s="1">
        <v>141000000</v>
      </c>
      <c r="B126" s="2">
        <v>205.40199999999999</v>
      </c>
      <c r="C126" s="2">
        <v>-76.983000000000004</v>
      </c>
      <c r="D126" s="2">
        <v>46.2639</v>
      </c>
      <c r="E126" s="2">
        <v>-200.124</v>
      </c>
    </row>
    <row r="127" spans="1:5" x14ac:dyDescent="0.15">
      <c r="A127" s="1">
        <v>146800000</v>
      </c>
      <c r="B127" s="2">
        <v>197.88499999999999</v>
      </c>
      <c r="C127" s="2">
        <v>-77.450999999999993</v>
      </c>
      <c r="D127" s="2">
        <v>42.994199999999999</v>
      </c>
      <c r="E127" s="2">
        <v>-193.15799999999999</v>
      </c>
    </row>
    <row r="128" spans="1:5" x14ac:dyDescent="0.15">
      <c r="A128" s="1">
        <v>152800000</v>
      </c>
      <c r="B128" s="2">
        <v>190.67</v>
      </c>
      <c r="C128" s="2">
        <v>-77.894000000000005</v>
      </c>
      <c r="D128" s="2">
        <v>39.988799999999998</v>
      </c>
      <c r="E128" s="2">
        <v>-186.429</v>
      </c>
    </row>
    <row r="129" spans="1:5" x14ac:dyDescent="0.15">
      <c r="A129" s="1">
        <v>159100000</v>
      </c>
      <c r="B129" s="2">
        <v>183.64099999999999</v>
      </c>
      <c r="C129" s="2">
        <v>-78.334000000000003</v>
      </c>
      <c r="D129" s="2">
        <v>37.133000000000003</v>
      </c>
      <c r="E129" s="2">
        <v>-179.84800000000001</v>
      </c>
    </row>
    <row r="130" spans="1:5" x14ac:dyDescent="0.15">
      <c r="A130" s="1">
        <v>165600000</v>
      </c>
      <c r="B130" s="2">
        <v>176.88200000000001</v>
      </c>
      <c r="C130" s="2">
        <v>-78.748999999999995</v>
      </c>
      <c r="D130" s="2">
        <v>34.511200000000002</v>
      </c>
      <c r="E130" s="2">
        <v>-173.482</v>
      </c>
    </row>
    <row r="131" spans="1:5" x14ac:dyDescent="0.15">
      <c r="A131" s="1">
        <v>172400000</v>
      </c>
      <c r="B131" s="2">
        <v>170.482</v>
      </c>
      <c r="C131" s="2">
        <v>-79.147999999999996</v>
      </c>
      <c r="D131" s="2">
        <v>32.096499999999999</v>
      </c>
      <c r="E131" s="2">
        <v>-167.43299999999999</v>
      </c>
    </row>
    <row r="132" spans="1:5" x14ac:dyDescent="0.15">
      <c r="A132" s="1">
        <v>179500000</v>
      </c>
      <c r="B132" s="2">
        <v>164.16900000000001</v>
      </c>
      <c r="C132" s="2">
        <v>-79.531999999999996</v>
      </c>
      <c r="D132" s="2">
        <v>29.825900000000001</v>
      </c>
      <c r="E132" s="2">
        <v>-161.43700000000001</v>
      </c>
    </row>
    <row r="133" spans="1:5" x14ac:dyDescent="0.15">
      <c r="A133" s="1">
        <v>186800000</v>
      </c>
      <c r="B133" s="2">
        <v>158.24700000000001</v>
      </c>
      <c r="C133" s="2">
        <v>-79.906999999999996</v>
      </c>
      <c r="D133" s="2">
        <v>27.731300000000001</v>
      </c>
      <c r="E133" s="2">
        <v>-155.798</v>
      </c>
    </row>
    <row r="134" spans="1:5" x14ac:dyDescent="0.15">
      <c r="A134" s="1">
        <v>194500000</v>
      </c>
      <c r="B134" s="2">
        <v>152.38</v>
      </c>
      <c r="C134" s="2">
        <v>-80.242999999999995</v>
      </c>
      <c r="D134" s="2">
        <v>25.8231</v>
      </c>
      <c r="E134" s="2">
        <v>-150.17599999999999</v>
      </c>
    </row>
    <row r="135" spans="1:5" x14ac:dyDescent="0.15">
      <c r="A135" s="1">
        <v>202500000</v>
      </c>
      <c r="B135" s="2">
        <v>146.88</v>
      </c>
      <c r="C135" s="2">
        <v>-80.566000000000003</v>
      </c>
      <c r="D135" s="2">
        <v>24.075700000000001</v>
      </c>
      <c r="E135" s="2">
        <v>-144.893</v>
      </c>
    </row>
    <row r="136" spans="1:5" x14ac:dyDescent="0.15">
      <c r="A136" s="1">
        <v>210800000</v>
      </c>
      <c r="B136" s="2">
        <v>141.58000000000001</v>
      </c>
      <c r="C136" s="2">
        <v>-80.888999999999996</v>
      </c>
      <c r="D136" s="2">
        <v>22.4191</v>
      </c>
      <c r="E136" s="2">
        <v>-139.79300000000001</v>
      </c>
    </row>
    <row r="137" spans="1:5" x14ac:dyDescent="0.15">
      <c r="A137" s="1">
        <v>219500000</v>
      </c>
      <c r="B137" s="2">
        <v>136.40899999999999</v>
      </c>
      <c r="C137" s="2">
        <v>-81.221000000000004</v>
      </c>
      <c r="D137" s="2">
        <v>20.818300000000001</v>
      </c>
      <c r="E137" s="2">
        <v>-134.81100000000001</v>
      </c>
    </row>
    <row r="138" spans="1:5" x14ac:dyDescent="0.15">
      <c r="A138" s="1">
        <v>228500000</v>
      </c>
      <c r="B138" s="2">
        <v>131.494</v>
      </c>
      <c r="C138" s="2">
        <v>-81.510999999999996</v>
      </c>
      <c r="D138" s="2">
        <v>19.411899999999999</v>
      </c>
      <c r="E138" s="2">
        <v>-130.054</v>
      </c>
    </row>
    <row r="139" spans="1:5" x14ac:dyDescent="0.15">
      <c r="A139" s="1">
        <v>237900000</v>
      </c>
      <c r="B139" s="2">
        <v>126.81100000000001</v>
      </c>
      <c r="C139" s="2">
        <v>-81.781999999999996</v>
      </c>
      <c r="D139" s="2">
        <v>18.125499999999999</v>
      </c>
      <c r="E139" s="2">
        <v>-125.509</v>
      </c>
    </row>
    <row r="140" spans="1:5" x14ac:dyDescent="0.15">
      <c r="A140" s="1">
        <v>247600000</v>
      </c>
      <c r="B140" s="2">
        <v>122.28</v>
      </c>
      <c r="C140" s="2">
        <v>-82.055999999999997</v>
      </c>
      <c r="D140" s="2">
        <v>16.899799999999999</v>
      </c>
      <c r="E140" s="2">
        <v>-121.10599999999999</v>
      </c>
    </row>
    <row r="141" spans="1:5" x14ac:dyDescent="0.15">
      <c r="A141" s="1">
        <v>257800000</v>
      </c>
      <c r="B141" s="2">
        <v>117.911</v>
      </c>
      <c r="C141" s="2">
        <v>-82.313000000000002</v>
      </c>
      <c r="D141" s="2">
        <v>15.772500000000001</v>
      </c>
      <c r="E141" s="2">
        <v>-116.851</v>
      </c>
    </row>
    <row r="142" spans="1:5" x14ac:dyDescent="0.15">
      <c r="A142" s="1">
        <v>268399999.99999997</v>
      </c>
      <c r="B142" s="2">
        <v>113.758</v>
      </c>
      <c r="C142" s="2">
        <v>-82.569000000000003</v>
      </c>
      <c r="D142" s="2">
        <v>14.712300000000001</v>
      </c>
      <c r="E142" s="2">
        <v>-112.803</v>
      </c>
    </row>
    <row r="143" spans="1:5" x14ac:dyDescent="0.15">
      <c r="A143" s="1">
        <v>279400000</v>
      </c>
      <c r="B143" s="2">
        <v>109.783</v>
      </c>
      <c r="C143" s="2">
        <v>-82.802999999999997</v>
      </c>
      <c r="D143" s="2">
        <v>13.7544</v>
      </c>
      <c r="E143" s="2">
        <v>-108.91800000000001</v>
      </c>
    </row>
    <row r="144" spans="1:5" x14ac:dyDescent="0.15">
      <c r="A144" s="1">
        <v>290900000</v>
      </c>
      <c r="B144" s="2">
        <v>105.925</v>
      </c>
      <c r="C144" s="2">
        <v>-83.024000000000001</v>
      </c>
      <c r="D144" s="2">
        <v>12.864100000000001</v>
      </c>
      <c r="E144" s="2">
        <v>-105.14100000000001</v>
      </c>
    </row>
    <row r="145" spans="1:5" x14ac:dyDescent="0.15">
      <c r="A145" s="1">
        <v>302800000</v>
      </c>
      <c r="B145" s="2">
        <v>102.294</v>
      </c>
      <c r="C145" s="2">
        <v>-83.228999999999999</v>
      </c>
      <c r="D145" s="2">
        <v>12.0608</v>
      </c>
      <c r="E145" s="2">
        <v>-101.58</v>
      </c>
    </row>
    <row r="146" spans="1:5" x14ac:dyDescent="0.15">
      <c r="A146" s="1">
        <v>315200000</v>
      </c>
      <c r="B146" s="2">
        <v>98.809100000000001</v>
      </c>
      <c r="C146" s="2">
        <v>-83.421999999999997</v>
      </c>
      <c r="D146" s="2">
        <v>11.3187</v>
      </c>
      <c r="E146" s="2">
        <v>-98.158699999999996</v>
      </c>
    </row>
    <row r="147" spans="1:5" x14ac:dyDescent="0.15">
      <c r="A147" s="1">
        <v>328200000</v>
      </c>
      <c r="B147" s="2">
        <v>95.467699999999994</v>
      </c>
      <c r="C147" s="2">
        <v>-83.608000000000004</v>
      </c>
      <c r="D147" s="2">
        <v>10.6288</v>
      </c>
      <c r="E147" s="2">
        <v>-94.874200000000002</v>
      </c>
    </row>
    <row r="148" spans="1:5" x14ac:dyDescent="0.15">
      <c r="A148" s="1">
        <v>341600000</v>
      </c>
      <c r="B148" s="2">
        <v>92.282399999999996</v>
      </c>
      <c r="C148" s="2">
        <v>-83.793000000000006</v>
      </c>
      <c r="D148" s="2">
        <v>9.9768899999999991</v>
      </c>
      <c r="E148" s="2">
        <v>-91.741500000000002</v>
      </c>
    </row>
    <row r="149" spans="1:5" x14ac:dyDescent="0.15">
      <c r="A149" s="1">
        <v>355700000</v>
      </c>
      <c r="B149" s="2">
        <v>89.2149</v>
      </c>
      <c r="C149" s="2">
        <v>-83.962999999999994</v>
      </c>
      <c r="D149" s="2">
        <v>9.3830299999999998</v>
      </c>
      <c r="E149" s="2">
        <v>-88.720100000000002</v>
      </c>
    </row>
    <row r="150" spans="1:5" x14ac:dyDescent="0.15">
      <c r="A150" s="1">
        <v>370300000</v>
      </c>
      <c r="B150" s="2">
        <v>86.308899999999994</v>
      </c>
      <c r="C150" s="2">
        <v>-84.111999999999995</v>
      </c>
      <c r="D150" s="2">
        <v>8.8534400000000009</v>
      </c>
      <c r="E150" s="2">
        <v>-85.8536</v>
      </c>
    </row>
    <row r="151" spans="1:5" x14ac:dyDescent="0.15">
      <c r="A151" s="1">
        <v>385500000</v>
      </c>
      <c r="B151" s="2">
        <v>83.562200000000004</v>
      </c>
      <c r="C151" s="2">
        <v>-84.266999999999996</v>
      </c>
      <c r="D151" s="2">
        <v>8.3479100000000006</v>
      </c>
      <c r="E151" s="2">
        <v>-83.144199999999998</v>
      </c>
    </row>
    <row r="152" spans="1:5" x14ac:dyDescent="0.15">
      <c r="A152" s="1">
        <v>401300000</v>
      </c>
      <c r="B152" s="2">
        <v>80.919700000000006</v>
      </c>
      <c r="C152" s="2">
        <v>-84.42</v>
      </c>
      <c r="D152" s="2">
        <v>7.8683899999999998</v>
      </c>
      <c r="E152" s="2">
        <v>-80.536199999999994</v>
      </c>
    </row>
    <row r="153" spans="1:5" x14ac:dyDescent="0.15">
      <c r="A153" s="1">
        <v>417800000</v>
      </c>
      <c r="B153" s="2">
        <v>78.391400000000004</v>
      </c>
      <c r="C153" s="2">
        <v>-84.545000000000002</v>
      </c>
      <c r="D153" s="2">
        <v>7.45228</v>
      </c>
      <c r="E153" s="2">
        <v>-78.036299999999997</v>
      </c>
    </row>
    <row r="154" spans="1:5" x14ac:dyDescent="0.15">
      <c r="A154" s="1">
        <v>434900000</v>
      </c>
      <c r="B154" s="2">
        <v>76.015799999999999</v>
      </c>
      <c r="C154" s="2">
        <v>-84.662999999999997</v>
      </c>
      <c r="D154" s="2">
        <v>7.0711599999999999</v>
      </c>
      <c r="E154" s="2">
        <v>-75.686099999999996</v>
      </c>
    </row>
    <row r="155" spans="1:5" x14ac:dyDescent="0.15">
      <c r="A155" s="1">
        <v>452800000</v>
      </c>
      <c r="B155" s="2">
        <v>73.750200000000007</v>
      </c>
      <c r="C155" s="2">
        <v>-84.789000000000001</v>
      </c>
      <c r="D155" s="2">
        <v>6.6985799999999998</v>
      </c>
      <c r="E155" s="2">
        <v>-73.445400000000006</v>
      </c>
    </row>
    <row r="156" spans="1:5" x14ac:dyDescent="0.15">
      <c r="A156" s="1">
        <v>471400000</v>
      </c>
      <c r="B156" s="2">
        <v>71.5929</v>
      </c>
      <c r="C156" s="2">
        <v>-84.902000000000001</v>
      </c>
      <c r="D156" s="2">
        <v>6.36144</v>
      </c>
      <c r="E156" s="2">
        <v>-71.309700000000007</v>
      </c>
    </row>
    <row r="157" spans="1:5" x14ac:dyDescent="0.15">
      <c r="A157" s="1">
        <v>490700000</v>
      </c>
      <c r="B157" s="2">
        <v>69.559200000000004</v>
      </c>
      <c r="C157" s="2">
        <v>-85.007999999999996</v>
      </c>
      <c r="D157" s="2">
        <v>6.0525700000000002</v>
      </c>
      <c r="E157" s="2">
        <v>-69.295400000000001</v>
      </c>
    </row>
    <row r="158" spans="1:5" x14ac:dyDescent="0.15">
      <c r="A158" s="1">
        <v>510900000</v>
      </c>
      <c r="B158" s="2">
        <v>67.640100000000004</v>
      </c>
      <c r="C158" s="2">
        <v>-85.11</v>
      </c>
      <c r="D158" s="2">
        <v>5.7661199999999999</v>
      </c>
      <c r="E158" s="2">
        <v>-67.393900000000002</v>
      </c>
    </row>
    <row r="159" spans="1:5" x14ac:dyDescent="0.15">
      <c r="A159" s="1">
        <v>531799999.99999994</v>
      </c>
      <c r="B159" s="2">
        <v>65.841300000000004</v>
      </c>
      <c r="C159" s="2">
        <v>-85.2</v>
      </c>
      <c r="D159" s="2">
        <v>5.5091099999999997</v>
      </c>
      <c r="E159" s="2">
        <v>-65.610399999999998</v>
      </c>
    </row>
    <row r="160" spans="1:5" x14ac:dyDescent="0.15">
      <c r="A160" s="1">
        <v>553700000</v>
      </c>
      <c r="B160" s="2">
        <v>64.127600000000001</v>
      </c>
      <c r="C160" s="2">
        <v>-85.278999999999996</v>
      </c>
      <c r="D160" s="2">
        <v>5.2779999999999996</v>
      </c>
      <c r="E160" s="2">
        <v>-63.91</v>
      </c>
    </row>
    <row r="161" spans="1:5" x14ac:dyDescent="0.15">
      <c r="A161" s="1">
        <v>576400000</v>
      </c>
      <c r="B161" s="2">
        <v>62.531999999999996</v>
      </c>
      <c r="C161" s="2">
        <v>-85.36</v>
      </c>
      <c r="D161" s="2">
        <v>5.05884</v>
      </c>
      <c r="E161" s="2">
        <v>-62.326999999999998</v>
      </c>
    </row>
    <row r="162" spans="1:5" x14ac:dyDescent="0.15">
      <c r="A162" s="1">
        <v>600100000</v>
      </c>
      <c r="B162" s="2">
        <v>61.035299999999999</v>
      </c>
      <c r="C162" s="2">
        <v>-85.424999999999997</v>
      </c>
      <c r="D162" s="2">
        <v>4.8679800000000002</v>
      </c>
      <c r="E162" s="2">
        <v>-60.840899999999998</v>
      </c>
    </row>
    <row r="163" spans="1:5" x14ac:dyDescent="0.15">
      <c r="A163" s="1">
        <v>624700000</v>
      </c>
      <c r="B163" s="2">
        <v>59.640700000000002</v>
      </c>
      <c r="C163" s="2">
        <v>-85.497</v>
      </c>
      <c r="D163" s="2">
        <v>4.6822400000000002</v>
      </c>
      <c r="E163" s="2">
        <v>-59.456600000000002</v>
      </c>
    </row>
    <row r="164" spans="1:5" x14ac:dyDescent="0.15">
      <c r="A164" s="1">
        <v>650400000</v>
      </c>
      <c r="B164" s="2">
        <v>58.345300000000002</v>
      </c>
      <c r="C164" s="2">
        <v>-85.56</v>
      </c>
      <c r="D164" s="2">
        <v>4.5170000000000003</v>
      </c>
      <c r="E164" s="2">
        <v>-58.170200000000001</v>
      </c>
    </row>
    <row r="165" spans="1:5" x14ac:dyDescent="0.15">
      <c r="A165" s="1">
        <v>677100000</v>
      </c>
      <c r="B165" s="2">
        <v>57.152000000000001</v>
      </c>
      <c r="C165" s="2">
        <v>-85.626999999999995</v>
      </c>
      <c r="D165" s="2">
        <v>4.3580899999999998</v>
      </c>
      <c r="E165" s="2">
        <v>-56.985599999999998</v>
      </c>
    </row>
    <row r="166" spans="1:5" x14ac:dyDescent="0.15">
      <c r="A166" s="1">
        <v>704800000</v>
      </c>
      <c r="B166" s="2">
        <v>56.059800000000003</v>
      </c>
      <c r="C166" s="2">
        <v>-85.679000000000002</v>
      </c>
      <c r="D166" s="2">
        <v>4.2237499999999999</v>
      </c>
      <c r="E166" s="2">
        <v>-55.900399999999998</v>
      </c>
    </row>
    <row r="167" spans="1:5" x14ac:dyDescent="0.15">
      <c r="A167" s="1">
        <v>733800000</v>
      </c>
      <c r="B167" s="2">
        <v>55.056100000000001</v>
      </c>
      <c r="C167" s="2">
        <v>-85.748999999999995</v>
      </c>
      <c r="D167" s="2">
        <v>4.0813300000000003</v>
      </c>
      <c r="E167" s="2">
        <v>-54.904600000000002</v>
      </c>
    </row>
    <row r="168" spans="1:5" x14ac:dyDescent="0.15">
      <c r="A168" s="1">
        <v>763900000</v>
      </c>
      <c r="B168" s="2">
        <v>54.1526</v>
      </c>
      <c r="C168" s="2">
        <v>-85.808000000000007</v>
      </c>
      <c r="D168" s="2">
        <v>3.9589400000000001</v>
      </c>
      <c r="E168" s="2">
        <v>-54.0077</v>
      </c>
    </row>
    <row r="169" spans="1:5" x14ac:dyDescent="0.15">
      <c r="A169" s="1">
        <v>795300000</v>
      </c>
      <c r="B169" s="2">
        <v>53.347200000000001</v>
      </c>
      <c r="C169" s="2">
        <v>-85.875</v>
      </c>
      <c r="D169" s="2">
        <v>3.8369900000000001</v>
      </c>
      <c r="E169" s="2">
        <v>-53.209099999999999</v>
      </c>
    </row>
    <row r="170" spans="1:5" x14ac:dyDescent="0.15">
      <c r="A170" s="1">
        <v>827900000</v>
      </c>
      <c r="B170" s="2">
        <v>52.595999999999997</v>
      </c>
      <c r="C170" s="2">
        <v>-85.891999999999996</v>
      </c>
      <c r="D170" s="2">
        <v>3.7674099999999999</v>
      </c>
      <c r="E170" s="2">
        <v>-52.460900000000002</v>
      </c>
    </row>
    <row r="171" spans="1:5" x14ac:dyDescent="0.15">
      <c r="A171" s="1">
        <v>861900000</v>
      </c>
      <c r="B171" s="2">
        <v>51.977400000000003</v>
      </c>
      <c r="C171" s="2">
        <v>-85.918000000000006</v>
      </c>
      <c r="D171" s="2">
        <v>3.7001599999999999</v>
      </c>
      <c r="E171" s="2">
        <v>-51.845599999999997</v>
      </c>
    </row>
    <row r="172" spans="1:5" x14ac:dyDescent="0.15">
      <c r="A172" s="1">
        <v>897300000</v>
      </c>
      <c r="B172" s="2">
        <v>51.514000000000003</v>
      </c>
      <c r="C172" s="2">
        <v>-85.977999999999994</v>
      </c>
      <c r="D172" s="2">
        <v>3.61328</v>
      </c>
      <c r="E172" s="2">
        <v>-51.387099999999997</v>
      </c>
    </row>
    <row r="173" spans="1:5" x14ac:dyDescent="0.15">
      <c r="A173" s="1">
        <v>934100000</v>
      </c>
      <c r="B173" s="2">
        <v>50.970999999999997</v>
      </c>
      <c r="C173" s="2">
        <v>-85.975999999999999</v>
      </c>
      <c r="D173" s="2">
        <v>3.5764399999999998</v>
      </c>
      <c r="E173" s="2">
        <v>-50.845300000000002</v>
      </c>
    </row>
    <row r="174" spans="1:5" x14ac:dyDescent="0.15">
      <c r="A174" s="1">
        <v>972500000</v>
      </c>
      <c r="B174" s="2">
        <v>50.635800000000003</v>
      </c>
      <c r="C174" s="2">
        <v>-86.009</v>
      </c>
      <c r="D174" s="2">
        <v>3.5243699999999998</v>
      </c>
      <c r="E174" s="2">
        <v>-50.512999999999998</v>
      </c>
    </row>
    <row r="175" spans="1:5" x14ac:dyDescent="0.15">
      <c r="A175" s="1">
        <v>1012400000</v>
      </c>
      <c r="B175" s="2">
        <v>50.319899999999997</v>
      </c>
      <c r="C175" s="2">
        <v>-86.018000000000001</v>
      </c>
      <c r="D175" s="2">
        <v>3.4943200000000001</v>
      </c>
      <c r="E175" s="2">
        <v>-50.198399999999999</v>
      </c>
    </row>
    <row r="176" spans="1:5" x14ac:dyDescent="0.15">
      <c r="A176" s="1">
        <v>1054000000</v>
      </c>
      <c r="B176" s="2">
        <v>50.1432</v>
      </c>
      <c r="C176" s="2">
        <v>-86.05</v>
      </c>
      <c r="D176" s="2">
        <v>3.4537800000000001</v>
      </c>
      <c r="E176" s="2">
        <v>-50.024099999999997</v>
      </c>
    </row>
    <row r="177" spans="1:5" x14ac:dyDescent="0.15">
      <c r="A177" s="1">
        <v>1097200000</v>
      </c>
      <c r="B177" s="2">
        <v>50.033700000000003</v>
      </c>
      <c r="C177" s="2">
        <v>-86.076999999999998</v>
      </c>
      <c r="D177" s="2">
        <v>3.42313</v>
      </c>
      <c r="E177" s="2">
        <v>-49.916499999999999</v>
      </c>
    </row>
    <row r="178" spans="1:5" x14ac:dyDescent="0.15">
      <c r="A178" s="1">
        <v>1142300000</v>
      </c>
      <c r="B178" s="2">
        <v>50.052100000000003</v>
      </c>
      <c r="C178" s="2">
        <v>-86.116</v>
      </c>
      <c r="D178" s="2">
        <v>3.39079</v>
      </c>
      <c r="E178" s="2">
        <v>-49.937100000000001</v>
      </c>
    </row>
    <row r="179" spans="1:5" x14ac:dyDescent="0.15">
      <c r="A179" s="1">
        <v>1189200000</v>
      </c>
      <c r="B179" s="2">
        <v>50.165999999999997</v>
      </c>
      <c r="C179" s="2">
        <v>-86.159000000000006</v>
      </c>
      <c r="D179" s="2">
        <v>3.3603399999999999</v>
      </c>
      <c r="E179" s="2">
        <v>-50.0533</v>
      </c>
    </row>
    <row r="180" spans="1:5" x14ac:dyDescent="0.15">
      <c r="A180" s="1">
        <v>1238000000</v>
      </c>
      <c r="B180" s="2">
        <v>50.410600000000002</v>
      </c>
      <c r="C180" s="2">
        <v>-86.152000000000001</v>
      </c>
      <c r="D180" s="2">
        <v>3.3829199999999999</v>
      </c>
      <c r="E180" s="2">
        <v>-50.296900000000001</v>
      </c>
    </row>
    <row r="181" spans="1:5" x14ac:dyDescent="0.15">
      <c r="A181" s="1">
        <v>1288800000</v>
      </c>
      <c r="B181" s="2">
        <v>50.771999999999998</v>
      </c>
      <c r="C181" s="2">
        <v>-86.218999999999994</v>
      </c>
      <c r="D181" s="2">
        <v>3.3477100000000002</v>
      </c>
      <c r="E181" s="2">
        <v>-50.661499999999997</v>
      </c>
    </row>
    <row r="182" spans="1:5" x14ac:dyDescent="0.15">
      <c r="A182" s="1">
        <v>1341700000</v>
      </c>
      <c r="B182" s="2">
        <v>51.1905</v>
      </c>
      <c r="C182" s="2">
        <v>-86.206000000000003</v>
      </c>
      <c r="D182" s="2">
        <v>3.3870499999999999</v>
      </c>
      <c r="E182" s="2">
        <v>-51.078299999999999</v>
      </c>
    </row>
    <row r="183" spans="1:5" x14ac:dyDescent="0.15">
      <c r="A183" s="1">
        <v>1396800000</v>
      </c>
      <c r="B183" s="2">
        <v>51.773299999999999</v>
      </c>
      <c r="C183" s="2">
        <v>-86.194999999999993</v>
      </c>
      <c r="D183" s="2">
        <v>3.4356300000000002</v>
      </c>
      <c r="E183" s="2">
        <v>-51.659199999999998</v>
      </c>
    </row>
    <row r="184" spans="1:5" x14ac:dyDescent="0.15">
      <c r="A184" s="1">
        <v>1454100000</v>
      </c>
      <c r="B184" s="2">
        <v>52.450299999999999</v>
      </c>
      <c r="C184" s="2">
        <v>-86.251999999999995</v>
      </c>
      <c r="D184" s="2">
        <v>3.4288500000000002</v>
      </c>
      <c r="E184" s="2">
        <v>-52.338099999999997</v>
      </c>
    </row>
    <row r="185" spans="1:5" x14ac:dyDescent="0.15">
      <c r="A185" s="1">
        <v>1513800000</v>
      </c>
      <c r="B185" s="2">
        <v>53.225000000000001</v>
      </c>
      <c r="C185" s="2">
        <v>-86.245000000000005</v>
      </c>
      <c r="D185" s="2">
        <v>3.4856799999999999</v>
      </c>
      <c r="E185" s="2">
        <v>-53.110799999999998</v>
      </c>
    </row>
    <row r="186" spans="1:5" x14ac:dyDescent="0.15">
      <c r="A186" s="1">
        <v>1576000000</v>
      </c>
      <c r="B186" s="2">
        <v>54.078600000000002</v>
      </c>
      <c r="C186" s="2">
        <v>-86.225999999999999</v>
      </c>
      <c r="D186" s="2">
        <v>3.5597099999999999</v>
      </c>
      <c r="E186" s="2">
        <v>-53.961300000000001</v>
      </c>
    </row>
    <row r="187" spans="1:5" x14ac:dyDescent="0.15">
      <c r="A187" s="1">
        <v>1640700000</v>
      </c>
      <c r="B187" s="2">
        <v>55.060600000000001</v>
      </c>
      <c r="C187" s="2">
        <v>-86.253</v>
      </c>
      <c r="D187" s="2">
        <v>3.5981800000000002</v>
      </c>
      <c r="E187" s="2">
        <v>-54.942900000000002</v>
      </c>
    </row>
    <row r="188" spans="1:5" x14ac:dyDescent="0.15">
      <c r="A188" s="1">
        <v>1708000000</v>
      </c>
      <c r="B188" s="2">
        <v>56.235799999999998</v>
      </c>
      <c r="C188" s="2">
        <v>-86.340999999999994</v>
      </c>
      <c r="D188" s="2">
        <v>3.5886999999999998</v>
      </c>
      <c r="E188" s="2">
        <v>-56.121200000000002</v>
      </c>
    </row>
    <row r="189" spans="1:5" x14ac:dyDescent="0.15">
      <c r="A189" s="1">
        <v>1778200000</v>
      </c>
      <c r="B189" s="2">
        <v>57.608800000000002</v>
      </c>
      <c r="C189" s="2">
        <v>-86.385000000000005</v>
      </c>
      <c r="D189" s="2">
        <v>3.6320100000000002</v>
      </c>
      <c r="E189" s="2">
        <v>-57.494199999999999</v>
      </c>
    </row>
    <row r="190" spans="1:5" x14ac:dyDescent="0.15">
      <c r="A190" s="1">
        <v>1851200000</v>
      </c>
      <c r="B190" s="2">
        <v>59.280299999999997</v>
      </c>
      <c r="C190" s="2">
        <v>-86.384</v>
      </c>
      <c r="D190" s="2">
        <v>3.7392500000000002</v>
      </c>
      <c r="E190" s="2">
        <v>-59.162300000000002</v>
      </c>
    </row>
    <row r="191" spans="1:5" x14ac:dyDescent="0.15">
      <c r="A191" s="1">
        <v>1927200000</v>
      </c>
      <c r="B191" s="2">
        <v>61.128100000000003</v>
      </c>
      <c r="C191" s="2">
        <v>-86.328999999999994</v>
      </c>
      <c r="D191" s="2">
        <v>3.9142700000000001</v>
      </c>
      <c r="E191" s="2">
        <v>-61.002699999999997</v>
      </c>
    </row>
    <row r="192" spans="1:5" x14ac:dyDescent="0.15">
      <c r="A192" s="1">
        <v>2006300000</v>
      </c>
      <c r="B192" s="2">
        <v>63.177500000000002</v>
      </c>
      <c r="C192" s="2">
        <v>-86.334999999999994</v>
      </c>
      <c r="D192" s="2">
        <v>4.0383199999999997</v>
      </c>
      <c r="E192" s="2">
        <v>-63.048299999999998</v>
      </c>
    </row>
    <row r="193" spans="1:5" x14ac:dyDescent="0.15">
      <c r="A193" s="1">
        <v>2088600000</v>
      </c>
      <c r="B193" s="2">
        <v>65.409800000000004</v>
      </c>
      <c r="C193" s="2">
        <v>-86.275999999999996</v>
      </c>
      <c r="D193" s="2">
        <v>4.2485400000000002</v>
      </c>
      <c r="E193" s="2">
        <v>-65.271600000000007</v>
      </c>
    </row>
    <row r="194" spans="1:5" x14ac:dyDescent="0.15">
      <c r="A194" s="1">
        <v>2174400000</v>
      </c>
      <c r="B194" s="2">
        <v>67.823800000000006</v>
      </c>
      <c r="C194" s="2">
        <v>-86.257000000000005</v>
      </c>
      <c r="D194" s="2">
        <v>4.4280099999999996</v>
      </c>
      <c r="E194" s="2">
        <v>-67.679100000000005</v>
      </c>
    </row>
    <row r="195" spans="1:5" x14ac:dyDescent="0.15">
      <c r="A195" s="1">
        <v>2263700000</v>
      </c>
      <c r="B195" s="2">
        <v>70.630899999999997</v>
      </c>
      <c r="C195" s="2">
        <v>-86.212999999999994</v>
      </c>
      <c r="D195" s="2">
        <v>4.6650499999999999</v>
      </c>
      <c r="E195" s="2">
        <v>-70.476600000000005</v>
      </c>
    </row>
    <row r="196" spans="1:5" x14ac:dyDescent="0.15">
      <c r="A196" s="1">
        <v>2356600000</v>
      </c>
      <c r="B196" s="2">
        <v>73.818299999999994</v>
      </c>
      <c r="C196" s="2">
        <v>-86.283000000000001</v>
      </c>
      <c r="D196" s="2">
        <v>4.7857700000000003</v>
      </c>
      <c r="E196" s="2">
        <v>-73.662999999999997</v>
      </c>
    </row>
    <row r="197" spans="1:5" x14ac:dyDescent="0.15">
      <c r="A197" s="1">
        <v>2453300000</v>
      </c>
      <c r="B197" s="2">
        <v>77.529499999999999</v>
      </c>
      <c r="C197" s="2">
        <v>-86.180999999999997</v>
      </c>
      <c r="D197" s="2">
        <v>5.1639999999999997</v>
      </c>
      <c r="E197" s="2">
        <v>-77.357299999999995</v>
      </c>
    </row>
    <row r="198" spans="1:5" x14ac:dyDescent="0.15">
      <c r="A198" s="1">
        <v>2554000000</v>
      </c>
      <c r="B198" s="2">
        <v>81.733000000000004</v>
      </c>
      <c r="C198" s="2">
        <v>-86.144000000000005</v>
      </c>
      <c r="D198" s="2">
        <v>5.4970600000000003</v>
      </c>
      <c r="E198" s="2">
        <v>-81.547899999999998</v>
      </c>
    </row>
    <row r="199" spans="1:5" x14ac:dyDescent="0.15">
      <c r="A199" s="1">
        <v>2658900000</v>
      </c>
      <c r="B199" s="2">
        <v>86.459299999999999</v>
      </c>
      <c r="C199" s="2">
        <v>-85.909000000000006</v>
      </c>
      <c r="D199" s="2">
        <v>6.1686800000000002</v>
      </c>
      <c r="E199" s="2">
        <v>-86.239000000000004</v>
      </c>
    </row>
    <row r="200" spans="1:5" x14ac:dyDescent="0.15">
      <c r="A200" s="1">
        <v>2768100000</v>
      </c>
      <c r="B200" s="2">
        <v>91.882099999999994</v>
      </c>
      <c r="C200" s="2">
        <v>-85.412000000000006</v>
      </c>
      <c r="D200" s="2">
        <v>7.3495699999999999</v>
      </c>
      <c r="E200" s="2">
        <v>-91.587699999999998</v>
      </c>
    </row>
    <row r="201" spans="1:5" x14ac:dyDescent="0.15">
      <c r="A201" s="1">
        <v>2881700000</v>
      </c>
      <c r="B201" s="2">
        <v>99.0364</v>
      </c>
      <c r="C201" s="2">
        <v>-84.784000000000006</v>
      </c>
      <c r="D201" s="2">
        <v>9.0038400000000003</v>
      </c>
      <c r="E201" s="2">
        <v>-98.626300000000001</v>
      </c>
    </row>
    <row r="202" spans="1:5" x14ac:dyDescent="0.15">
      <c r="A202" s="1">
        <v>3000000000</v>
      </c>
      <c r="B202" s="2">
        <v>107.679</v>
      </c>
      <c r="C202" s="2">
        <v>-85.486999999999995</v>
      </c>
      <c r="D202" s="2">
        <v>8.4731400000000008</v>
      </c>
      <c r="E202" s="2">
        <v>-107.345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02"/>
  <sheetViews>
    <sheetView workbookViewId="0">
      <selection activeCell="J3" sqref="J3"/>
    </sheetView>
  </sheetViews>
  <sheetFormatPr defaultRowHeight="13.5" x14ac:dyDescent="0.15"/>
  <cols>
    <col min="1" max="1" width="14.125" customWidth="1"/>
    <col min="2" max="2" width="12.75" customWidth="1"/>
    <col min="3" max="3" width="11" bestFit="1" customWidth="1"/>
    <col min="4" max="4" width="18.5" customWidth="1"/>
    <col min="12" max="12" width="14.5" customWidth="1"/>
  </cols>
  <sheetData>
    <row r="1" spans="1:30" x14ac:dyDescent="0.15">
      <c r="A1" t="e">
        <f>Experiment!#REF!</f>
        <v>#REF!</v>
      </c>
      <c r="B1" t="s">
        <v>22</v>
      </c>
      <c r="C1" t="s">
        <v>13</v>
      </c>
      <c r="I1" t="e">
        <f>Experiment!#REF!</f>
        <v>#REF!</v>
      </c>
      <c r="J1" t="s">
        <v>22</v>
      </c>
      <c r="K1" t="s">
        <v>13</v>
      </c>
      <c r="Q1" t="str">
        <f>Experiment!A1</f>
        <v>NaCl 0.01mol/L</v>
      </c>
      <c r="R1" t="s">
        <v>22</v>
      </c>
      <c r="S1" t="s">
        <v>13</v>
      </c>
      <c r="Y1" t="e">
        <f>Experiment!#REF!</f>
        <v>#REF!</v>
      </c>
      <c r="Z1" t="s">
        <v>22</v>
      </c>
      <c r="AA1" t="s">
        <v>13</v>
      </c>
    </row>
    <row r="2" spans="1:30" x14ac:dyDescent="0.15">
      <c r="A2" t="s">
        <v>0</v>
      </c>
      <c r="B2" t="s">
        <v>8</v>
      </c>
      <c r="C2" t="s">
        <v>7</v>
      </c>
      <c r="D2" t="s">
        <v>21</v>
      </c>
      <c r="E2" t="s">
        <v>5</v>
      </c>
      <c r="F2" t="s">
        <v>6</v>
      </c>
      <c r="I2" t="s">
        <v>0</v>
      </c>
      <c r="J2" t="s">
        <v>8</v>
      </c>
      <c r="K2" t="s">
        <v>7</v>
      </c>
      <c r="L2" t="s">
        <v>21</v>
      </c>
      <c r="M2" t="s">
        <v>5</v>
      </c>
      <c r="N2" t="s">
        <v>6</v>
      </c>
      <c r="Q2" t="s">
        <v>0</v>
      </c>
      <c r="R2" t="s">
        <v>8</v>
      </c>
      <c r="S2" t="s">
        <v>7</v>
      </c>
      <c r="T2" t="s">
        <v>21</v>
      </c>
      <c r="U2" t="s">
        <v>5</v>
      </c>
      <c r="V2" t="s">
        <v>6</v>
      </c>
      <c r="Y2" t="s">
        <v>0</v>
      </c>
      <c r="Z2" t="s">
        <v>8</v>
      </c>
      <c r="AA2" t="s">
        <v>7</v>
      </c>
      <c r="AB2" t="s">
        <v>21</v>
      </c>
      <c r="AC2" t="s">
        <v>5</v>
      </c>
      <c r="AD2" t="s">
        <v>6</v>
      </c>
    </row>
    <row r="3" spans="1:30" x14ac:dyDescent="0.15">
      <c r="A3" t="e">
        <f>Experiment!#REF!</f>
        <v>#REF!</v>
      </c>
      <c r="B3" t="e">
        <f>((Experiment!#REF!+50)*(Experiment!#REF!-50)+(Experiment!#REF!^2))/((Experiment!#REF!+50)^2+(Experiment!#REF!^2))</f>
        <v>#REF!</v>
      </c>
      <c r="C3" t="e">
        <f>((Experiment!#REF!+50)*Experiment!#REF!-Experiment!#REF!*(Experiment!#REF!-50))/((Experiment!#REF!+50)^2+(Experiment!#REF!^2))</f>
        <v>#REF!</v>
      </c>
      <c r="D3" t="e">
        <f>IMSUM(B3,IMPRODUCT(C3,$C$1))</f>
        <v>#REF!</v>
      </c>
      <c r="E3" t="e">
        <f>SQRT(B3^2+C3^2)</f>
        <v>#REF!</v>
      </c>
      <c r="F3" t="e">
        <f>-20*LOG(ABS(E3))</f>
        <v>#REF!</v>
      </c>
      <c r="I3" t="e">
        <f>Experiment!#REF!</f>
        <v>#REF!</v>
      </c>
      <c r="J3" t="e">
        <f>((Experiment!#REF!+50)*(Experiment!#REF!-50)+(Experiment!#REF!^2))/((Experiment!#REF!+50)^2+(Experiment!#REF!^2))</f>
        <v>#REF!</v>
      </c>
      <c r="K3" t="e">
        <f>((Experiment!#REF!+50)*Experiment!#REF!-Experiment!#REF!*(Experiment!#REF!-50))/((Experiment!#REF!+50)^2+(Experiment!#REF!^2))</f>
        <v>#REF!</v>
      </c>
      <c r="L3" t="e">
        <f>IMSUM(J3,IMPRODUCT(K3,$K$1))</f>
        <v>#REF!</v>
      </c>
      <c r="M3" t="e">
        <f>SQRT(J3^2+K3^2)</f>
        <v>#REF!</v>
      </c>
      <c r="N3" t="e">
        <f>-20*LOG(ABS(M3))</f>
        <v>#REF!</v>
      </c>
      <c r="Q3">
        <f>Experiment!A3</f>
        <v>1000000</v>
      </c>
      <c r="R3">
        <f>((Experiment!D3+50)*(Experiment!D3-50)+(Experiment!E3^2))/((Experiment!D3+50)^2+(Experiment!E3^2))</f>
        <v>0.89795308482339986</v>
      </c>
      <c r="S3">
        <f>((Experiment!D3+50)*Experiment!E3-Experiment!E3*(Experiment!D3-50))/((Experiment!D3+50)^2+(Experiment!E3^2))</f>
        <v>-3.4184527583404414E-3</v>
      </c>
      <c r="T3" t="str">
        <f>IMSUM(R3,IMPRODUCT(S3,$S$1))</f>
        <v>0.8979530848234-0.00341845275834044i</v>
      </c>
      <c r="U3">
        <f t="shared" ref="U3:U34" si="0">SQRT(R3^2+S3^2)</f>
        <v>0.89795959172065254</v>
      </c>
      <c r="V3">
        <f>-20*LOG(ABS(U3))</f>
        <v>0.93486412383862139</v>
      </c>
      <c r="Y3" t="e">
        <f>Experiment!#REF!</f>
        <v>#REF!</v>
      </c>
      <c r="Z3" t="e">
        <f>((Experiment!#REF!+50)*(Experiment!#REF!-50)+(Experiment!#REF!^2))/((Experiment!#REF!+50)^2+(Experiment!#REF!^2))</f>
        <v>#REF!</v>
      </c>
      <c r="AA3" t="e">
        <f>((Experiment!#REF!+50)*Experiment!#REF!-Experiment!#REF!*(Experiment!#REF!-50))/((Experiment!#REF!+50)^2+(Experiment!#REF!^2))</f>
        <v>#REF!</v>
      </c>
      <c r="AB3" t="e">
        <f>IMSUM(Z3,IMPRODUCT(AA3,$AA$1))</f>
        <v>#REF!</v>
      </c>
      <c r="AC3" t="e">
        <f>SQRT(Z3^2+AA3^2)</f>
        <v>#REF!</v>
      </c>
      <c r="AD3" t="e">
        <f>-20*LOG(ABS(AC3))</f>
        <v>#REF!</v>
      </c>
    </row>
    <row r="4" spans="1:30" x14ac:dyDescent="0.15">
      <c r="A4" t="e">
        <f>Experiment!#REF!</f>
        <v>#REF!</v>
      </c>
      <c r="B4" t="e">
        <f>((Experiment!#REF!+50)*(Experiment!#REF!-50)+(Experiment!#REF!^2))/((Experiment!#REF!+50)^2+(Experiment!#REF!^2))</f>
        <v>#REF!</v>
      </c>
      <c r="C4" t="e">
        <f>((Experiment!#REF!+50)*Experiment!#REF!-Experiment!#REF!*(Experiment!#REF!-50))/((Experiment!#REF!+50)^2+(Experiment!#REF!^2))</f>
        <v>#REF!</v>
      </c>
      <c r="D4" t="e">
        <f t="shared" ref="D4:D67" si="1">IMSUM(B4,IMPRODUCT(C4,$C$1))</f>
        <v>#REF!</v>
      </c>
      <c r="E4" t="e">
        <f t="shared" ref="E4:E67" si="2">SQRT(B4^2+C4^2)</f>
        <v>#REF!</v>
      </c>
      <c r="F4" t="e">
        <f t="shared" ref="F4:F67" si="3">-20*LOG(ABS(E4))</f>
        <v>#REF!</v>
      </c>
      <c r="I4" t="e">
        <f>Experiment!#REF!</f>
        <v>#REF!</v>
      </c>
      <c r="J4" t="e">
        <f>((Experiment!#REF!+50)*(Experiment!#REF!-50)+(Experiment!#REF!^2))/((Experiment!#REF!+50)^2+(Experiment!#REF!^2))</f>
        <v>#REF!</v>
      </c>
      <c r="K4" t="e">
        <f>((Experiment!#REF!+50)*Experiment!#REF!-Experiment!#REF!*(Experiment!#REF!-50))/((Experiment!#REF!+50)^2+(Experiment!#REF!^2))</f>
        <v>#REF!</v>
      </c>
      <c r="L4" t="e">
        <f t="shared" ref="L4:L67" si="4">IMSUM(J4,IMPRODUCT(K4,$K$1))</f>
        <v>#REF!</v>
      </c>
      <c r="M4" t="e">
        <f t="shared" ref="M4:M67" si="5">SQRT(J4^2+K4^2)</f>
        <v>#REF!</v>
      </c>
      <c r="N4" t="e">
        <f t="shared" ref="N4:N67" si="6">-20*LOG(ABS(M4))</f>
        <v>#REF!</v>
      </c>
      <c r="Q4">
        <f>Experiment!A4</f>
        <v>1000000</v>
      </c>
      <c r="R4">
        <f>((Experiment!D4+50)*(Experiment!D4-50)+(Experiment!E4^2))/((Experiment!D4+50)^2+(Experiment!E4^2))</f>
        <v>0.89793137105560683</v>
      </c>
      <c r="S4">
        <f>((Experiment!D4+50)*Experiment!E4-Experiment!E4*(Experiment!D4-50))/((Experiment!D4+50)^2+(Experiment!E4^2))</f>
        <v>-3.3764678998063212E-3</v>
      </c>
      <c r="T4" t="str">
        <f t="shared" ref="T4:T67" si="7">IMSUM(R4,IMPRODUCT(S4,$S$1))</f>
        <v>0.897931371055607-0.00337646789980632i</v>
      </c>
      <c r="U4">
        <f t="shared" si="0"/>
        <v>0.89793771925522781</v>
      </c>
      <c r="V4">
        <f t="shared" ref="V4:V67" si="8">-20*LOG(ABS(U4))</f>
        <v>0.93507569698329951</v>
      </c>
      <c r="Y4" t="e">
        <f>Experiment!#REF!</f>
        <v>#REF!</v>
      </c>
      <c r="Z4" t="e">
        <f>((Experiment!#REF!+50)*(Experiment!#REF!-50)+(Experiment!#REF!^2))/((Experiment!#REF!+50)^2+(Experiment!#REF!^2))</f>
        <v>#REF!</v>
      </c>
      <c r="AA4" t="e">
        <f>((Experiment!#REF!+50)*Experiment!#REF!-Experiment!#REF!*(Experiment!#REF!-50))/((Experiment!#REF!+50)^2+(Experiment!#REF!^2))</f>
        <v>#REF!</v>
      </c>
      <c r="AB4" t="e">
        <f t="shared" ref="AB4:AB67" si="9">IMSUM(Z4,IMPRODUCT(AA4,$AA$1))</f>
        <v>#REF!</v>
      </c>
      <c r="AC4" t="e">
        <f t="shared" ref="AC4:AC67" si="10">SQRT(Z4^2+AA4^2)</f>
        <v>#REF!</v>
      </c>
      <c r="AD4" t="e">
        <f t="shared" ref="AD4:AD67" si="11">-20*LOG(ABS(AC4))</f>
        <v>#REF!</v>
      </c>
    </row>
    <row r="5" spans="1:30" x14ac:dyDescent="0.15">
      <c r="A5" t="e">
        <f>Experiment!#REF!</f>
        <v>#REF!</v>
      </c>
      <c r="B5" t="e">
        <f>((Experiment!#REF!+50)*(Experiment!#REF!-50)+(Experiment!#REF!^2))/((Experiment!#REF!+50)^2+(Experiment!#REF!^2))</f>
        <v>#REF!</v>
      </c>
      <c r="C5" t="e">
        <f>((Experiment!#REF!+50)*Experiment!#REF!-Experiment!#REF!*(Experiment!#REF!-50))/((Experiment!#REF!+50)^2+(Experiment!#REF!^2))</f>
        <v>#REF!</v>
      </c>
      <c r="D5" t="e">
        <f t="shared" si="1"/>
        <v>#REF!</v>
      </c>
      <c r="E5" t="e">
        <f t="shared" si="2"/>
        <v>#REF!</v>
      </c>
      <c r="F5" t="e">
        <f t="shared" si="3"/>
        <v>#REF!</v>
      </c>
      <c r="I5" t="e">
        <f>Experiment!#REF!</f>
        <v>#REF!</v>
      </c>
      <c r="J5" t="e">
        <f>((Experiment!#REF!+50)*(Experiment!#REF!-50)+(Experiment!#REF!^2))/((Experiment!#REF!+50)^2+(Experiment!#REF!^2))</f>
        <v>#REF!</v>
      </c>
      <c r="K5" t="e">
        <f>((Experiment!#REF!+50)*Experiment!#REF!-Experiment!#REF!*(Experiment!#REF!-50))/((Experiment!#REF!+50)^2+(Experiment!#REF!^2))</f>
        <v>#REF!</v>
      </c>
      <c r="L5" t="e">
        <f t="shared" si="4"/>
        <v>#REF!</v>
      </c>
      <c r="M5" t="e">
        <f t="shared" si="5"/>
        <v>#REF!</v>
      </c>
      <c r="N5" t="e">
        <f t="shared" si="6"/>
        <v>#REF!</v>
      </c>
      <c r="Q5">
        <f>Experiment!A5</f>
        <v>1100000</v>
      </c>
      <c r="R5">
        <f>((Experiment!D5+50)*(Experiment!D5-50)+(Experiment!E5^2))/((Experiment!D5+50)^2+(Experiment!E5^2))</f>
        <v>0.89762004364533665</v>
      </c>
      <c r="S5">
        <f>((Experiment!D5+50)*Experiment!E5-Experiment!E5*(Experiment!D5-50))/((Experiment!D5+50)^2+(Experiment!E5^2))</f>
        <v>-3.7785884293985239E-3</v>
      </c>
      <c r="T5" t="str">
        <f t="shared" si="7"/>
        <v>0.897620043645337-0.00377858842939852i</v>
      </c>
      <c r="U5">
        <f t="shared" si="0"/>
        <v>0.89762799671376947</v>
      </c>
      <c r="V5">
        <f t="shared" si="8"/>
        <v>0.93807220757189436</v>
      </c>
      <c r="Y5" t="e">
        <f>Experiment!#REF!</f>
        <v>#REF!</v>
      </c>
      <c r="Z5" t="e">
        <f>((Experiment!#REF!+50)*(Experiment!#REF!-50)+(Experiment!#REF!^2))/((Experiment!#REF!+50)^2+(Experiment!#REF!^2))</f>
        <v>#REF!</v>
      </c>
      <c r="AA5" t="e">
        <f>((Experiment!#REF!+50)*Experiment!#REF!-Experiment!#REF!*(Experiment!#REF!-50))/((Experiment!#REF!+50)^2+(Experiment!#REF!^2))</f>
        <v>#REF!</v>
      </c>
      <c r="AB5" t="e">
        <f t="shared" si="9"/>
        <v>#REF!</v>
      </c>
      <c r="AC5" t="e">
        <f t="shared" si="10"/>
        <v>#REF!</v>
      </c>
      <c r="AD5" t="e">
        <f t="shared" si="11"/>
        <v>#REF!</v>
      </c>
    </row>
    <row r="6" spans="1:30" x14ac:dyDescent="0.15">
      <c r="A6" t="e">
        <f>Experiment!#REF!</f>
        <v>#REF!</v>
      </c>
      <c r="B6" t="e">
        <f>((Experiment!#REF!+50)*(Experiment!#REF!-50)+(Experiment!#REF!^2))/((Experiment!#REF!+50)^2+(Experiment!#REF!^2))</f>
        <v>#REF!</v>
      </c>
      <c r="C6" t="e">
        <f>((Experiment!#REF!+50)*Experiment!#REF!-Experiment!#REF!*(Experiment!#REF!-50))/((Experiment!#REF!+50)^2+(Experiment!#REF!^2))</f>
        <v>#REF!</v>
      </c>
      <c r="D6" t="e">
        <f t="shared" si="1"/>
        <v>#REF!</v>
      </c>
      <c r="E6" t="e">
        <f t="shared" si="2"/>
        <v>#REF!</v>
      </c>
      <c r="F6" t="e">
        <f t="shared" si="3"/>
        <v>#REF!</v>
      </c>
      <c r="I6" t="e">
        <f>Experiment!#REF!</f>
        <v>#REF!</v>
      </c>
      <c r="J6" t="e">
        <f>((Experiment!#REF!+50)*(Experiment!#REF!-50)+(Experiment!#REF!^2))/((Experiment!#REF!+50)^2+(Experiment!#REF!^2))</f>
        <v>#REF!</v>
      </c>
      <c r="K6" t="e">
        <f>((Experiment!#REF!+50)*Experiment!#REF!-Experiment!#REF!*(Experiment!#REF!-50))/((Experiment!#REF!+50)^2+(Experiment!#REF!^2))</f>
        <v>#REF!</v>
      </c>
      <c r="L6" t="e">
        <f t="shared" si="4"/>
        <v>#REF!</v>
      </c>
      <c r="M6" t="e">
        <f t="shared" si="5"/>
        <v>#REF!</v>
      </c>
      <c r="N6" t="e">
        <f t="shared" si="6"/>
        <v>#REF!</v>
      </c>
      <c r="Q6">
        <f>Experiment!A6</f>
        <v>1100000</v>
      </c>
      <c r="R6">
        <f>((Experiment!D6+50)*(Experiment!D6-50)+(Experiment!E6^2))/((Experiment!D6+50)^2+(Experiment!E6^2))</f>
        <v>0.89760146271890962</v>
      </c>
      <c r="S6">
        <f>((Experiment!D6+50)*Experiment!E6-Experiment!E6*(Experiment!D6-50))/((Experiment!D6+50)^2+(Experiment!E6^2))</f>
        <v>-3.6811528512767726E-3</v>
      </c>
      <c r="T6" t="str">
        <f t="shared" si="7"/>
        <v>0.89760146271891-0.00368115285127677i</v>
      </c>
      <c r="U6">
        <f t="shared" si="0"/>
        <v>0.89760901107410929</v>
      </c>
      <c r="V6">
        <f t="shared" si="8"/>
        <v>0.93825592389468315</v>
      </c>
      <c r="Y6" t="e">
        <f>Experiment!#REF!</f>
        <v>#REF!</v>
      </c>
      <c r="Z6" t="e">
        <f>((Experiment!#REF!+50)*(Experiment!#REF!-50)+(Experiment!#REF!^2))/((Experiment!#REF!+50)^2+(Experiment!#REF!^2))</f>
        <v>#REF!</v>
      </c>
      <c r="AA6" t="e">
        <f>((Experiment!#REF!+50)*Experiment!#REF!-Experiment!#REF!*(Experiment!#REF!-50))/((Experiment!#REF!+50)^2+(Experiment!#REF!^2))</f>
        <v>#REF!</v>
      </c>
      <c r="AB6" t="e">
        <f t="shared" si="9"/>
        <v>#REF!</v>
      </c>
      <c r="AC6" t="e">
        <f t="shared" si="10"/>
        <v>#REF!</v>
      </c>
      <c r="AD6" t="e">
        <f t="shared" si="11"/>
        <v>#REF!</v>
      </c>
    </row>
    <row r="7" spans="1:30" x14ac:dyDescent="0.15">
      <c r="A7" t="e">
        <f>Experiment!#REF!</f>
        <v>#REF!</v>
      </c>
      <c r="B7" t="e">
        <f>((Experiment!#REF!+50)*(Experiment!#REF!-50)+(Experiment!#REF!^2))/((Experiment!#REF!+50)^2+(Experiment!#REF!^2))</f>
        <v>#REF!</v>
      </c>
      <c r="C7" t="e">
        <f>((Experiment!#REF!+50)*Experiment!#REF!-Experiment!#REF!*(Experiment!#REF!-50))/((Experiment!#REF!+50)^2+(Experiment!#REF!^2))</f>
        <v>#REF!</v>
      </c>
      <c r="D7" t="e">
        <f t="shared" si="1"/>
        <v>#REF!</v>
      </c>
      <c r="E7" t="e">
        <f t="shared" si="2"/>
        <v>#REF!</v>
      </c>
      <c r="F7" t="e">
        <f t="shared" si="3"/>
        <v>#REF!</v>
      </c>
      <c r="I7" t="e">
        <f>Experiment!#REF!</f>
        <v>#REF!</v>
      </c>
      <c r="J7" t="e">
        <f>((Experiment!#REF!+50)*(Experiment!#REF!-50)+(Experiment!#REF!^2))/((Experiment!#REF!+50)^2+(Experiment!#REF!^2))</f>
        <v>#REF!</v>
      </c>
      <c r="K7" t="e">
        <f>((Experiment!#REF!+50)*Experiment!#REF!-Experiment!#REF!*(Experiment!#REF!-50))/((Experiment!#REF!+50)^2+(Experiment!#REF!^2))</f>
        <v>#REF!</v>
      </c>
      <c r="L7" t="e">
        <f t="shared" si="4"/>
        <v>#REF!</v>
      </c>
      <c r="M7" t="e">
        <f t="shared" si="5"/>
        <v>#REF!</v>
      </c>
      <c r="N7" t="e">
        <f t="shared" si="6"/>
        <v>#REF!</v>
      </c>
      <c r="Q7">
        <f>Experiment!A7</f>
        <v>1200000</v>
      </c>
      <c r="R7">
        <f>((Experiment!D7+50)*(Experiment!D7-50)+(Experiment!E7^2))/((Experiment!D7+50)^2+(Experiment!E7^2))</f>
        <v>0.89737645611849115</v>
      </c>
      <c r="S7">
        <f>((Experiment!D7+50)*Experiment!E7-Experiment!E7*(Experiment!D7-50))/((Experiment!D7+50)^2+(Experiment!E7^2))</f>
        <v>-4.0338829052666289E-3</v>
      </c>
      <c r="T7" t="str">
        <f t="shared" si="7"/>
        <v>0.897376456118491-0.00403388290526663i</v>
      </c>
      <c r="U7">
        <f t="shared" si="0"/>
        <v>0.89738552261950133</v>
      </c>
      <c r="V7">
        <f t="shared" si="8"/>
        <v>0.94041882302969348</v>
      </c>
      <c r="Y7" t="e">
        <f>Experiment!#REF!</f>
        <v>#REF!</v>
      </c>
      <c r="Z7" t="e">
        <f>((Experiment!#REF!+50)*(Experiment!#REF!-50)+(Experiment!#REF!^2))/((Experiment!#REF!+50)^2+(Experiment!#REF!^2))</f>
        <v>#REF!</v>
      </c>
      <c r="AA7" t="e">
        <f>((Experiment!#REF!+50)*Experiment!#REF!-Experiment!#REF!*(Experiment!#REF!-50))/((Experiment!#REF!+50)^2+(Experiment!#REF!^2))</f>
        <v>#REF!</v>
      </c>
      <c r="AB7" t="e">
        <f t="shared" si="9"/>
        <v>#REF!</v>
      </c>
      <c r="AC7" t="e">
        <f t="shared" si="10"/>
        <v>#REF!</v>
      </c>
      <c r="AD7" t="e">
        <f t="shared" si="11"/>
        <v>#REF!</v>
      </c>
    </row>
    <row r="8" spans="1:30" x14ac:dyDescent="0.15">
      <c r="A8" t="e">
        <f>Experiment!#REF!</f>
        <v>#REF!</v>
      </c>
      <c r="B8" t="e">
        <f>((Experiment!#REF!+50)*(Experiment!#REF!-50)+(Experiment!#REF!^2))/((Experiment!#REF!+50)^2+(Experiment!#REF!^2))</f>
        <v>#REF!</v>
      </c>
      <c r="C8" t="e">
        <f>((Experiment!#REF!+50)*Experiment!#REF!-Experiment!#REF!*(Experiment!#REF!-50))/((Experiment!#REF!+50)^2+(Experiment!#REF!^2))</f>
        <v>#REF!</v>
      </c>
      <c r="D8" t="e">
        <f t="shared" si="1"/>
        <v>#REF!</v>
      </c>
      <c r="E8" t="e">
        <f t="shared" si="2"/>
        <v>#REF!</v>
      </c>
      <c r="F8" t="e">
        <f t="shared" si="3"/>
        <v>#REF!</v>
      </c>
      <c r="I8" t="e">
        <f>Experiment!#REF!</f>
        <v>#REF!</v>
      </c>
      <c r="J8" t="e">
        <f>((Experiment!#REF!+50)*(Experiment!#REF!-50)+(Experiment!#REF!^2))/((Experiment!#REF!+50)^2+(Experiment!#REF!^2))</f>
        <v>#REF!</v>
      </c>
      <c r="K8" t="e">
        <f>((Experiment!#REF!+50)*Experiment!#REF!-Experiment!#REF!*(Experiment!#REF!-50))/((Experiment!#REF!+50)^2+(Experiment!#REF!^2))</f>
        <v>#REF!</v>
      </c>
      <c r="L8" t="e">
        <f t="shared" si="4"/>
        <v>#REF!</v>
      </c>
      <c r="M8" t="e">
        <f t="shared" si="5"/>
        <v>#REF!</v>
      </c>
      <c r="N8" t="e">
        <f t="shared" si="6"/>
        <v>#REF!</v>
      </c>
      <c r="Q8">
        <f>Experiment!A8</f>
        <v>1200000</v>
      </c>
      <c r="R8">
        <f>((Experiment!D8+50)*(Experiment!D8-50)+(Experiment!E8^2))/((Experiment!D8+50)^2+(Experiment!E8^2))</f>
        <v>0.89752625415171317</v>
      </c>
      <c r="S8">
        <f>((Experiment!D8+50)*Experiment!E8-Experiment!E8*(Experiment!D8-50))/((Experiment!D8+50)^2+(Experiment!E8^2))</f>
        <v>-4.048376547397107E-3</v>
      </c>
      <c r="T8" t="str">
        <f t="shared" si="7"/>
        <v>0.897526254151713-0.00404837654739711i</v>
      </c>
      <c r="U8">
        <f t="shared" si="0"/>
        <v>0.89753538439677982</v>
      </c>
      <c r="V8">
        <f t="shared" si="8"/>
        <v>0.93896841609940296</v>
      </c>
      <c r="Y8" t="e">
        <f>Experiment!#REF!</f>
        <v>#REF!</v>
      </c>
      <c r="Z8" t="e">
        <f>((Experiment!#REF!+50)*(Experiment!#REF!-50)+(Experiment!#REF!^2))/((Experiment!#REF!+50)^2+(Experiment!#REF!^2))</f>
        <v>#REF!</v>
      </c>
      <c r="AA8" t="e">
        <f>((Experiment!#REF!+50)*Experiment!#REF!-Experiment!#REF!*(Experiment!#REF!-50))/((Experiment!#REF!+50)^2+(Experiment!#REF!^2))</f>
        <v>#REF!</v>
      </c>
      <c r="AB8" t="e">
        <f t="shared" si="9"/>
        <v>#REF!</v>
      </c>
      <c r="AC8" t="e">
        <f t="shared" si="10"/>
        <v>#REF!</v>
      </c>
      <c r="AD8" t="e">
        <f t="shared" si="11"/>
        <v>#REF!</v>
      </c>
    </row>
    <row r="9" spans="1:30" x14ac:dyDescent="0.15">
      <c r="A9" t="e">
        <f>Experiment!#REF!</f>
        <v>#REF!</v>
      </c>
      <c r="B9" t="e">
        <f>((Experiment!#REF!+50)*(Experiment!#REF!-50)+(Experiment!#REF!^2))/((Experiment!#REF!+50)^2+(Experiment!#REF!^2))</f>
        <v>#REF!</v>
      </c>
      <c r="C9" t="e">
        <f>((Experiment!#REF!+50)*Experiment!#REF!-Experiment!#REF!*(Experiment!#REF!-50))/((Experiment!#REF!+50)^2+(Experiment!#REF!^2))</f>
        <v>#REF!</v>
      </c>
      <c r="D9" t="e">
        <f t="shared" si="1"/>
        <v>#REF!</v>
      </c>
      <c r="E9" t="e">
        <f t="shared" si="2"/>
        <v>#REF!</v>
      </c>
      <c r="F9" t="e">
        <f t="shared" si="3"/>
        <v>#REF!</v>
      </c>
      <c r="I9" t="e">
        <f>Experiment!#REF!</f>
        <v>#REF!</v>
      </c>
      <c r="J9" t="e">
        <f>((Experiment!#REF!+50)*(Experiment!#REF!-50)+(Experiment!#REF!^2))/((Experiment!#REF!+50)^2+(Experiment!#REF!^2))</f>
        <v>#REF!</v>
      </c>
      <c r="K9" t="e">
        <f>((Experiment!#REF!+50)*Experiment!#REF!-Experiment!#REF!*(Experiment!#REF!-50))/((Experiment!#REF!+50)^2+(Experiment!#REF!^2))</f>
        <v>#REF!</v>
      </c>
      <c r="L9" t="e">
        <f t="shared" si="4"/>
        <v>#REF!</v>
      </c>
      <c r="M9" t="e">
        <f t="shared" si="5"/>
        <v>#REF!</v>
      </c>
      <c r="N9" t="e">
        <f t="shared" si="6"/>
        <v>#REF!</v>
      </c>
      <c r="Q9">
        <f>Experiment!A9</f>
        <v>1300000</v>
      </c>
      <c r="R9">
        <f>((Experiment!D9+50)*(Experiment!D9-50)+(Experiment!E9^2))/((Experiment!D9+50)^2+(Experiment!E9^2))</f>
        <v>0.89735323641141962</v>
      </c>
      <c r="S9">
        <f>((Experiment!D9+50)*Experiment!E9-Experiment!E9*(Experiment!D9-50))/((Experiment!D9+50)^2+(Experiment!E9^2))</f>
        <v>-4.3579238471257182E-3</v>
      </c>
      <c r="T9" t="str">
        <f t="shared" si="7"/>
        <v>0.89735323641142-0.00435792384712572i</v>
      </c>
      <c r="U9">
        <f t="shared" si="0"/>
        <v>0.8973638183024244</v>
      </c>
      <c r="V9">
        <f t="shared" si="8"/>
        <v>0.94062890395688548</v>
      </c>
      <c r="Y9" t="e">
        <f>Experiment!#REF!</f>
        <v>#REF!</v>
      </c>
      <c r="Z9" t="e">
        <f>((Experiment!#REF!+50)*(Experiment!#REF!-50)+(Experiment!#REF!^2))/((Experiment!#REF!+50)^2+(Experiment!#REF!^2))</f>
        <v>#REF!</v>
      </c>
      <c r="AA9" t="e">
        <f>((Experiment!#REF!+50)*Experiment!#REF!-Experiment!#REF!*(Experiment!#REF!-50))/((Experiment!#REF!+50)^2+(Experiment!#REF!^2))</f>
        <v>#REF!</v>
      </c>
      <c r="AB9" t="e">
        <f t="shared" si="9"/>
        <v>#REF!</v>
      </c>
      <c r="AC9" t="e">
        <f t="shared" si="10"/>
        <v>#REF!</v>
      </c>
      <c r="AD9" t="e">
        <f t="shared" si="11"/>
        <v>#REF!</v>
      </c>
    </row>
    <row r="10" spans="1:30" x14ac:dyDescent="0.15">
      <c r="A10" t="e">
        <f>Experiment!#REF!</f>
        <v>#REF!</v>
      </c>
      <c r="B10" t="e">
        <f>((Experiment!#REF!+50)*(Experiment!#REF!-50)+(Experiment!#REF!^2))/((Experiment!#REF!+50)^2+(Experiment!#REF!^2))</f>
        <v>#REF!</v>
      </c>
      <c r="C10" t="e">
        <f>((Experiment!#REF!+50)*Experiment!#REF!-Experiment!#REF!*(Experiment!#REF!-50))/((Experiment!#REF!+50)^2+(Experiment!#REF!^2))</f>
        <v>#REF!</v>
      </c>
      <c r="D10" t="e">
        <f t="shared" si="1"/>
        <v>#REF!</v>
      </c>
      <c r="E10" t="e">
        <f t="shared" si="2"/>
        <v>#REF!</v>
      </c>
      <c r="F10" t="e">
        <f t="shared" si="3"/>
        <v>#REF!</v>
      </c>
      <c r="I10" t="e">
        <f>Experiment!#REF!</f>
        <v>#REF!</v>
      </c>
      <c r="J10" t="e">
        <f>((Experiment!#REF!+50)*(Experiment!#REF!-50)+(Experiment!#REF!^2))/((Experiment!#REF!+50)^2+(Experiment!#REF!^2))</f>
        <v>#REF!</v>
      </c>
      <c r="K10" t="e">
        <f>((Experiment!#REF!+50)*Experiment!#REF!-Experiment!#REF!*(Experiment!#REF!-50))/((Experiment!#REF!+50)^2+(Experiment!#REF!^2))</f>
        <v>#REF!</v>
      </c>
      <c r="L10" t="e">
        <f t="shared" si="4"/>
        <v>#REF!</v>
      </c>
      <c r="M10" t="e">
        <f t="shared" si="5"/>
        <v>#REF!</v>
      </c>
      <c r="N10" t="e">
        <f t="shared" si="6"/>
        <v>#REF!</v>
      </c>
      <c r="Q10">
        <f>Experiment!A10</f>
        <v>1300000</v>
      </c>
      <c r="R10">
        <f>((Experiment!D10+50)*(Experiment!D10-50)+(Experiment!E10^2))/((Experiment!D10+50)^2+(Experiment!E10^2))</f>
        <v>0.89725652661943944</v>
      </c>
      <c r="S10">
        <f>((Experiment!D10+50)*Experiment!E10-Experiment!E10*(Experiment!D10-50))/((Experiment!D10+50)^2+(Experiment!E10^2))</f>
        <v>-4.3951515731088858E-3</v>
      </c>
      <c r="T10" t="str">
        <f t="shared" si="7"/>
        <v>0.897256526619439-0.00439515157310889i</v>
      </c>
      <c r="U10">
        <f t="shared" si="0"/>
        <v>0.89726729123407334</v>
      </c>
      <c r="V10">
        <f t="shared" si="8"/>
        <v>0.94156327254008509</v>
      </c>
      <c r="Y10" t="e">
        <f>Experiment!#REF!</f>
        <v>#REF!</v>
      </c>
      <c r="Z10" t="e">
        <f>((Experiment!#REF!+50)*(Experiment!#REF!-50)+(Experiment!#REF!^2))/((Experiment!#REF!+50)^2+(Experiment!#REF!^2))</f>
        <v>#REF!</v>
      </c>
      <c r="AA10" t="e">
        <f>((Experiment!#REF!+50)*Experiment!#REF!-Experiment!#REF!*(Experiment!#REF!-50))/((Experiment!#REF!+50)^2+(Experiment!#REF!^2))</f>
        <v>#REF!</v>
      </c>
      <c r="AB10" t="e">
        <f t="shared" si="9"/>
        <v>#REF!</v>
      </c>
      <c r="AC10" t="e">
        <f t="shared" si="10"/>
        <v>#REF!</v>
      </c>
      <c r="AD10" t="e">
        <f t="shared" si="11"/>
        <v>#REF!</v>
      </c>
    </row>
    <row r="11" spans="1:30" x14ac:dyDescent="0.15">
      <c r="A11" t="e">
        <f>Experiment!#REF!</f>
        <v>#REF!</v>
      </c>
      <c r="B11" t="e">
        <f>((Experiment!#REF!+50)*(Experiment!#REF!-50)+(Experiment!#REF!^2))/((Experiment!#REF!+50)^2+(Experiment!#REF!^2))</f>
        <v>#REF!</v>
      </c>
      <c r="C11" t="e">
        <f>((Experiment!#REF!+50)*Experiment!#REF!-Experiment!#REF!*(Experiment!#REF!-50))/((Experiment!#REF!+50)^2+(Experiment!#REF!^2))</f>
        <v>#REF!</v>
      </c>
      <c r="D11" t="e">
        <f t="shared" si="1"/>
        <v>#REF!</v>
      </c>
      <c r="E11" t="e">
        <f t="shared" si="2"/>
        <v>#REF!</v>
      </c>
      <c r="F11" t="e">
        <f t="shared" si="3"/>
        <v>#REF!</v>
      </c>
      <c r="I11" t="e">
        <f>Experiment!#REF!</f>
        <v>#REF!</v>
      </c>
      <c r="J11" t="e">
        <f>((Experiment!#REF!+50)*(Experiment!#REF!-50)+(Experiment!#REF!^2))/((Experiment!#REF!+50)^2+(Experiment!#REF!^2))</f>
        <v>#REF!</v>
      </c>
      <c r="K11" t="e">
        <f>((Experiment!#REF!+50)*Experiment!#REF!-Experiment!#REF!*(Experiment!#REF!-50))/((Experiment!#REF!+50)^2+(Experiment!#REF!^2))</f>
        <v>#REF!</v>
      </c>
      <c r="L11" t="e">
        <f t="shared" si="4"/>
        <v>#REF!</v>
      </c>
      <c r="M11" t="e">
        <f t="shared" si="5"/>
        <v>#REF!</v>
      </c>
      <c r="N11" t="e">
        <f t="shared" si="6"/>
        <v>#REF!</v>
      </c>
      <c r="Q11">
        <f>Experiment!A11</f>
        <v>1400000</v>
      </c>
      <c r="R11">
        <f>((Experiment!D11+50)*(Experiment!D11-50)+(Experiment!E11^2))/((Experiment!D11+50)^2+(Experiment!E11^2))</f>
        <v>0.89725742560298083</v>
      </c>
      <c r="S11">
        <f>((Experiment!D11+50)*Experiment!E11-Experiment!E11*(Experiment!D11-50))/((Experiment!D11+50)^2+(Experiment!E11^2))</f>
        <v>-4.6753982730024669E-3</v>
      </c>
      <c r="T11" t="str">
        <f t="shared" si="7"/>
        <v>0.897257425602981-0.00467539827300247i</v>
      </c>
      <c r="U11">
        <f t="shared" si="0"/>
        <v>0.897269606722918</v>
      </c>
      <c r="V11">
        <f t="shared" si="8"/>
        <v>0.94154085775375695</v>
      </c>
      <c r="Y11" t="e">
        <f>Experiment!#REF!</f>
        <v>#REF!</v>
      </c>
      <c r="Z11" t="e">
        <f>((Experiment!#REF!+50)*(Experiment!#REF!-50)+(Experiment!#REF!^2))/((Experiment!#REF!+50)^2+(Experiment!#REF!^2))</f>
        <v>#REF!</v>
      </c>
      <c r="AA11" t="e">
        <f>((Experiment!#REF!+50)*Experiment!#REF!-Experiment!#REF!*(Experiment!#REF!-50))/((Experiment!#REF!+50)^2+(Experiment!#REF!^2))</f>
        <v>#REF!</v>
      </c>
      <c r="AB11" t="e">
        <f t="shared" si="9"/>
        <v>#REF!</v>
      </c>
      <c r="AC11" t="e">
        <f t="shared" si="10"/>
        <v>#REF!</v>
      </c>
      <c r="AD11" t="e">
        <f t="shared" si="11"/>
        <v>#REF!</v>
      </c>
    </row>
    <row r="12" spans="1:30" x14ac:dyDescent="0.15">
      <c r="A12" t="e">
        <f>Experiment!#REF!</f>
        <v>#REF!</v>
      </c>
      <c r="B12" t="e">
        <f>((Experiment!#REF!+50)*(Experiment!#REF!-50)+(Experiment!#REF!^2))/((Experiment!#REF!+50)^2+(Experiment!#REF!^2))</f>
        <v>#REF!</v>
      </c>
      <c r="C12" t="e">
        <f>((Experiment!#REF!+50)*Experiment!#REF!-Experiment!#REF!*(Experiment!#REF!-50))/((Experiment!#REF!+50)^2+(Experiment!#REF!^2))</f>
        <v>#REF!</v>
      </c>
      <c r="D12" t="e">
        <f t="shared" si="1"/>
        <v>#REF!</v>
      </c>
      <c r="E12" t="e">
        <f t="shared" si="2"/>
        <v>#REF!</v>
      </c>
      <c r="F12" t="e">
        <f t="shared" si="3"/>
        <v>#REF!</v>
      </c>
      <c r="I12" t="e">
        <f>Experiment!#REF!</f>
        <v>#REF!</v>
      </c>
      <c r="J12" t="e">
        <f>((Experiment!#REF!+50)*(Experiment!#REF!-50)+(Experiment!#REF!^2))/((Experiment!#REF!+50)^2+(Experiment!#REF!^2))</f>
        <v>#REF!</v>
      </c>
      <c r="K12" t="e">
        <f>((Experiment!#REF!+50)*Experiment!#REF!-Experiment!#REF!*(Experiment!#REF!-50))/((Experiment!#REF!+50)^2+(Experiment!#REF!^2))</f>
        <v>#REF!</v>
      </c>
      <c r="L12" t="e">
        <f t="shared" si="4"/>
        <v>#REF!</v>
      </c>
      <c r="M12" t="e">
        <f t="shared" si="5"/>
        <v>#REF!</v>
      </c>
      <c r="N12" t="e">
        <f t="shared" si="6"/>
        <v>#REF!</v>
      </c>
      <c r="Q12">
        <f>Experiment!A12</f>
        <v>1400000</v>
      </c>
      <c r="R12">
        <f>((Experiment!D12+50)*(Experiment!D12-50)+(Experiment!E12^2))/((Experiment!D12+50)^2+(Experiment!E12^2))</f>
        <v>0.89733995457219462</v>
      </c>
      <c r="S12">
        <f>((Experiment!D12+50)*Experiment!E12-Experiment!E12*(Experiment!D12-50))/((Experiment!D12+50)^2+(Experiment!E12^2))</f>
        <v>-4.6434529384151322E-3</v>
      </c>
      <c r="T12" t="str">
        <f t="shared" si="7"/>
        <v>0.897339954572195-0.00464345293841513i</v>
      </c>
      <c r="U12">
        <f t="shared" si="0"/>
        <v>0.89735196869835843</v>
      </c>
      <c r="V12">
        <f t="shared" si="8"/>
        <v>0.94074360106259858</v>
      </c>
      <c r="Y12" t="e">
        <f>Experiment!#REF!</f>
        <v>#REF!</v>
      </c>
      <c r="Z12" t="e">
        <f>((Experiment!#REF!+50)*(Experiment!#REF!-50)+(Experiment!#REF!^2))/((Experiment!#REF!+50)^2+(Experiment!#REF!^2))</f>
        <v>#REF!</v>
      </c>
      <c r="AA12" t="e">
        <f>((Experiment!#REF!+50)*Experiment!#REF!-Experiment!#REF!*(Experiment!#REF!-50))/((Experiment!#REF!+50)^2+(Experiment!#REF!^2))</f>
        <v>#REF!</v>
      </c>
      <c r="AB12" t="e">
        <f t="shared" si="9"/>
        <v>#REF!</v>
      </c>
      <c r="AC12" t="e">
        <f t="shared" si="10"/>
        <v>#REF!</v>
      </c>
      <c r="AD12" t="e">
        <f t="shared" si="11"/>
        <v>#REF!</v>
      </c>
    </row>
    <row r="13" spans="1:30" x14ac:dyDescent="0.15">
      <c r="A13" t="e">
        <f>Experiment!#REF!</f>
        <v>#REF!</v>
      </c>
      <c r="B13" t="e">
        <f>((Experiment!#REF!+50)*(Experiment!#REF!-50)+(Experiment!#REF!^2))/((Experiment!#REF!+50)^2+(Experiment!#REF!^2))</f>
        <v>#REF!</v>
      </c>
      <c r="C13" t="e">
        <f>((Experiment!#REF!+50)*Experiment!#REF!-Experiment!#REF!*(Experiment!#REF!-50))/((Experiment!#REF!+50)^2+(Experiment!#REF!^2))</f>
        <v>#REF!</v>
      </c>
      <c r="D13" t="e">
        <f t="shared" si="1"/>
        <v>#REF!</v>
      </c>
      <c r="E13" t="e">
        <f t="shared" si="2"/>
        <v>#REF!</v>
      </c>
      <c r="F13" t="e">
        <f t="shared" si="3"/>
        <v>#REF!</v>
      </c>
      <c r="I13" t="e">
        <f>Experiment!#REF!</f>
        <v>#REF!</v>
      </c>
      <c r="J13" t="e">
        <f>((Experiment!#REF!+50)*(Experiment!#REF!-50)+(Experiment!#REF!^2))/((Experiment!#REF!+50)^2+(Experiment!#REF!^2))</f>
        <v>#REF!</v>
      </c>
      <c r="K13" t="e">
        <f>((Experiment!#REF!+50)*Experiment!#REF!-Experiment!#REF!*(Experiment!#REF!-50))/((Experiment!#REF!+50)^2+(Experiment!#REF!^2))</f>
        <v>#REF!</v>
      </c>
      <c r="L13" t="e">
        <f t="shared" si="4"/>
        <v>#REF!</v>
      </c>
      <c r="M13" t="e">
        <f t="shared" si="5"/>
        <v>#REF!</v>
      </c>
      <c r="N13" t="e">
        <f t="shared" si="6"/>
        <v>#REF!</v>
      </c>
      <c r="Q13">
        <f>Experiment!A13</f>
        <v>1500000</v>
      </c>
      <c r="R13">
        <f>((Experiment!D13+50)*(Experiment!D13-50)+(Experiment!E13^2))/((Experiment!D13+50)^2+(Experiment!E13^2))</f>
        <v>0.89738655412455048</v>
      </c>
      <c r="S13">
        <f>((Experiment!D13+50)*Experiment!E13-Experiment!E13*(Experiment!D13-50))/((Experiment!D13+50)^2+(Experiment!E13^2))</f>
        <v>-5.0495094919309211E-3</v>
      </c>
      <c r="T13" t="str">
        <f t="shared" si="7"/>
        <v>0.89738655412455-0.00504950949193092i</v>
      </c>
      <c r="U13">
        <f t="shared" si="0"/>
        <v>0.89740076056890206</v>
      </c>
      <c r="V13">
        <f t="shared" si="8"/>
        <v>0.94027133455371392</v>
      </c>
      <c r="Y13" t="e">
        <f>Experiment!#REF!</f>
        <v>#REF!</v>
      </c>
      <c r="Z13" t="e">
        <f>((Experiment!#REF!+50)*(Experiment!#REF!-50)+(Experiment!#REF!^2))/((Experiment!#REF!+50)^2+(Experiment!#REF!^2))</f>
        <v>#REF!</v>
      </c>
      <c r="AA13" t="e">
        <f>((Experiment!#REF!+50)*Experiment!#REF!-Experiment!#REF!*(Experiment!#REF!-50))/((Experiment!#REF!+50)^2+(Experiment!#REF!^2))</f>
        <v>#REF!</v>
      </c>
      <c r="AB13" t="e">
        <f t="shared" si="9"/>
        <v>#REF!</v>
      </c>
      <c r="AC13" t="e">
        <f t="shared" si="10"/>
        <v>#REF!</v>
      </c>
      <c r="AD13" t="e">
        <f t="shared" si="11"/>
        <v>#REF!</v>
      </c>
    </row>
    <row r="14" spans="1:30" x14ac:dyDescent="0.15">
      <c r="A14" t="e">
        <f>Experiment!#REF!</f>
        <v>#REF!</v>
      </c>
      <c r="B14" t="e">
        <f>((Experiment!#REF!+50)*(Experiment!#REF!-50)+(Experiment!#REF!^2))/((Experiment!#REF!+50)^2+(Experiment!#REF!^2))</f>
        <v>#REF!</v>
      </c>
      <c r="C14" t="e">
        <f>((Experiment!#REF!+50)*Experiment!#REF!-Experiment!#REF!*(Experiment!#REF!-50))/((Experiment!#REF!+50)^2+(Experiment!#REF!^2))</f>
        <v>#REF!</v>
      </c>
      <c r="D14" t="e">
        <f t="shared" si="1"/>
        <v>#REF!</v>
      </c>
      <c r="E14" t="e">
        <f t="shared" si="2"/>
        <v>#REF!</v>
      </c>
      <c r="F14" t="e">
        <f t="shared" si="3"/>
        <v>#REF!</v>
      </c>
      <c r="I14" t="e">
        <f>Experiment!#REF!</f>
        <v>#REF!</v>
      </c>
      <c r="J14" t="e">
        <f>((Experiment!#REF!+50)*(Experiment!#REF!-50)+(Experiment!#REF!^2))/((Experiment!#REF!+50)^2+(Experiment!#REF!^2))</f>
        <v>#REF!</v>
      </c>
      <c r="K14" t="e">
        <f>((Experiment!#REF!+50)*Experiment!#REF!-Experiment!#REF!*(Experiment!#REF!-50))/((Experiment!#REF!+50)^2+(Experiment!#REF!^2))</f>
        <v>#REF!</v>
      </c>
      <c r="L14" t="e">
        <f t="shared" si="4"/>
        <v>#REF!</v>
      </c>
      <c r="M14" t="e">
        <f t="shared" si="5"/>
        <v>#REF!</v>
      </c>
      <c r="N14" t="e">
        <f t="shared" si="6"/>
        <v>#REF!</v>
      </c>
      <c r="Q14">
        <f>Experiment!A14</f>
        <v>1600000</v>
      </c>
      <c r="R14">
        <f>((Experiment!D14+50)*(Experiment!D14-50)+(Experiment!E14^2))/((Experiment!D14+50)^2+(Experiment!E14^2))</f>
        <v>0.89742770675591677</v>
      </c>
      <c r="S14">
        <f>((Experiment!D14+50)*Experiment!E14-Experiment!E14*(Experiment!D14-50))/((Experiment!D14+50)^2+(Experiment!E14^2))</f>
        <v>-5.3642508486838759E-3</v>
      </c>
      <c r="T14" t="str">
        <f t="shared" si="7"/>
        <v>0.897427706755917-0.00536425084868388i</v>
      </c>
      <c r="U14">
        <f t="shared" si="0"/>
        <v>0.8974437386490316</v>
      </c>
      <c r="V14">
        <f t="shared" si="8"/>
        <v>0.93985536218274235</v>
      </c>
      <c r="Y14" t="e">
        <f>Experiment!#REF!</f>
        <v>#REF!</v>
      </c>
      <c r="Z14" t="e">
        <f>((Experiment!#REF!+50)*(Experiment!#REF!-50)+(Experiment!#REF!^2))/((Experiment!#REF!+50)^2+(Experiment!#REF!^2))</f>
        <v>#REF!</v>
      </c>
      <c r="AA14" t="e">
        <f>((Experiment!#REF!+50)*Experiment!#REF!-Experiment!#REF!*(Experiment!#REF!-50))/((Experiment!#REF!+50)^2+(Experiment!#REF!^2))</f>
        <v>#REF!</v>
      </c>
      <c r="AB14" t="e">
        <f t="shared" si="9"/>
        <v>#REF!</v>
      </c>
      <c r="AC14" t="e">
        <f t="shared" si="10"/>
        <v>#REF!</v>
      </c>
      <c r="AD14" t="e">
        <f t="shared" si="11"/>
        <v>#REF!</v>
      </c>
    </row>
    <row r="15" spans="1:30" x14ac:dyDescent="0.15">
      <c r="A15" t="e">
        <f>Experiment!#REF!</f>
        <v>#REF!</v>
      </c>
      <c r="B15" t="e">
        <f>((Experiment!#REF!+50)*(Experiment!#REF!-50)+(Experiment!#REF!^2))/((Experiment!#REF!+50)^2+(Experiment!#REF!^2))</f>
        <v>#REF!</v>
      </c>
      <c r="C15" t="e">
        <f>((Experiment!#REF!+50)*Experiment!#REF!-Experiment!#REF!*(Experiment!#REF!-50))/((Experiment!#REF!+50)^2+(Experiment!#REF!^2))</f>
        <v>#REF!</v>
      </c>
      <c r="D15" t="e">
        <f t="shared" si="1"/>
        <v>#REF!</v>
      </c>
      <c r="E15" t="e">
        <f t="shared" si="2"/>
        <v>#REF!</v>
      </c>
      <c r="F15" t="e">
        <f t="shared" si="3"/>
        <v>#REF!</v>
      </c>
      <c r="I15" t="e">
        <f>Experiment!#REF!</f>
        <v>#REF!</v>
      </c>
      <c r="J15" t="e">
        <f>((Experiment!#REF!+50)*(Experiment!#REF!-50)+(Experiment!#REF!^2))/((Experiment!#REF!+50)^2+(Experiment!#REF!^2))</f>
        <v>#REF!</v>
      </c>
      <c r="K15" t="e">
        <f>((Experiment!#REF!+50)*Experiment!#REF!-Experiment!#REF!*(Experiment!#REF!-50))/((Experiment!#REF!+50)^2+(Experiment!#REF!^2))</f>
        <v>#REF!</v>
      </c>
      <c r="L15" t="e">
        <f t="shared" si="4"/>
        <v>#REF!</v>
      </c>
      <c r="M15" t="e">
        <f t="shared" si="5"/>
        <v>#REF!</v>
      </c>
      <c r="N15" t="e">
        <f t="shared" si="6"/>
        <v>#REF!</v>
      </c>
      <c r="Q15">
        <f>Experiment!A15</f>
        <v>1600000</v>
      </c>
      <c r="R15">
        <f>((Experiment!D15+50)*(Experiment!D15-50)+(Experiment!E15^2))/((Experiment!D15+50)^2+(Experiment!E15^2))</f>
        <v>0.89747780842947966</v>
      </c>
      <c r="S15">
        <f>((Experiment!D15+50)*Experiment!E15-Experiment!E15*(Experiment!D15-50))/((Experiment!D15+50)^2+(Experiment!E15^2))</f>
        <v>-5.3718627531904465E-3</v>
      </c>
      <c r="T15" t="str">
        <f t="shared" si="7"/>
        <v>0.89747780842948-0.00537186275319045i</v>
      </c>
      <c r="U15">
        <f t="shared" si="0"/>
        <v>0.89749388495566973</v>
      </c>
      <c r="V15">
        <f t="shared" si="8"/>
        <v>0.93937003580749612</v>
      </c>
      <c r="Y15" t="e">
        <f>Experiment!#REF!</f>
        <v>#REF!</v>
      </c>
      <c r="Z15" t="e">
        <f>((Experiment!#REF!+50)*(Experiment!#REF!-50)+(Experiment!#REF!^2))/((Experiment!#REF!+50)^2+(Experiment!#REF!^2))</f>
        <v>#REF!</v>
      </c>
      <c r="AA15" t="e">
        <f>((Experiment!#REF!+50)*Experiment!#REF!-Experiment!#REF!*(Experiment!#REF!-50))/((Experiment!#REF!+50)^2+(Experiment!#REF!^2))</f>
        <v>#REF!</v>
      </c>
      <c r="AB15" t="e">
        <f t="shared" si="9"/>
        <v>#REF!</v>
      </c>
      <c r="AC15" t="e">
        <f t="shared" si="10"/>
        <v>#REF!</v>
      </c>
      <c r="AD15" t="e">
        <f t="shared" si="11"/>
        <v>#REF!</v>
      </c>
    </row>
    <row r="16" spans="1:30" x14ac:dyDescent="0.15">
      <c r="A16" t="e">
        <f>Experiment!#REF!</f>
        <v>#REF!</v>
      </c>
      <c r="B16" t="e">
        <f>((Experiment!#REF!+50)*(Experiment!#REF!-50)+(Experiment!#REF!^2))/((Experiment!#REF!+50)^2+(Experiment!#REF!^2))</f>
        <v>#REF!</v>
      </c>
      <c r="C16" t="e">
        <f>((Experiment!#REF!+50)*Experiment!#REF!-Experiment!#REF!*(Experiment!#REF!-50))/((Experiment!#REF!+50)^2+(Experiment!#REF!^2))</f>
        <v>#REF!</v>
      </c>
      <c r="D16" t="e">
        <f t="shared" si="1"/>
        <v>#REF!</v>
      </c>
      <c r="E16" t="e">
        <f t="shared" si="2"/>
        <v>#REF!</v>
      </c>
      <c r="F16" t="e">
        <f t="shared" si="3"/>
        <v>#REF!</v>
      </c>
      <c r="I16" t="e">
        <f>Experiment!#REF!</f>
        <v>#REF!</v>
      </c>
      <c r="J16" t="e">
        <f>((Experiment!#REF!+50)*(Experiment!#REF!-50)+(Experiment!#REF!^2))/((Experiment!#REF!+50)^2+(Experiment!#REF!^2))</f>
        <v>#REF!</v>
      </c>
      <c r="K16" t="e">
        <f>((Experiment!#REF!+50)*Experiment!#REF!-Experiment!#REF!*(Experiment!#REF!-50))/((Experiment!#REF!+50)^2+(Experiment!#REF!^2))</f>
        <v>#REF!</v>
      </c>
      <c r="L16" t="e">
        <f t="shared" si="4"/>
        <v>#REF!</v>
      </c>
      <c r="M16" t="e">
        <f t="shared" si="5"/>
        <v>#REF!</v>
      </c>
      <c r="N16" t="e">
        <f t="shared" si="6"/>
        <v>#REF!</v>
      </c>
      <c r="Q16">
        <f>Experiment!A16</f>
        <v>1700000</v>
      </c>
      <c r="R16">
        <f>((Experiment!D16+50)*(Experiment!D16-50)+(Experiment!E16^2))/((Experiment!D16+50)^2+(Experiment!E16^2))</f>
        <v>0.89761877078916397</v>
      </c>
      <c r="S16">
        <f>((Experiment!D16+50)*Experiment!E16-Experiment!E16*(Experiment!D16-50))/((Experiment!D16+50)^2+(Experiment!E16^2))</f>
        <v>-5.8416396593329494E-3</v>
      </c>
      <c r="T16" t="str">
        <f t="shared" si="7"/>
        <v>0.897618770789164-0.00584163965933295i</v>
      </c>
      <c r="U16">
        <f t="shared" si="0"/>
        <v>0.8976377790773733</v>
      </c>
      <c r="V16">
        <f t="shared" si="8"/>
        <v>0.93797754912988673</v>
      </c>
      <c r="Y16" t="e">
        <f>Experiment!#REF!</f>
        <v>#REF!</v>
      </c>
      <c r="Z16" t="e">
        <f>((Experiment!#REF!+50)*(Experiment!#REF!-50)+(Experiment!#REF!^2))/((Experiment!#REF!+50)^2+(Experiment!#REF!^2))</f>
        <v>#REF!</v>
      </c>
      <c r="AA16" t="e">
        <f>((Experiment!#REF!+50)*Experiment!#REF!-Experiment!#REF!*(Experiment!#REF!-50))/((Experiment!#REF!+50)^2+(Experiment!#REF!^2))</f>
        <v>#REF!</v>
      </c>
      <c r="AB16" t="e">
        <f t="shared" si="9"/>
        <v>#REF!</v>
      </c>
      <c r="AC16" t="e">
        <f t="shared" si="10"/>
        <v>#REF!</v>
      </c>
      <c r="AD16" t="e">
        <f t="shared" si="11"/>
        <v>#REF!</v>
      </c>
    </row>
    <row r="17" spans="1:30" x14ac:dyDescent="0.15">
      <c r="A17" t="e">
        <f>Experiment!#REF!</f>
        <v>#REF!</v>
      </c>
      <c r="B17" t="e">
        <f>((Experiment!#REF!+50)*(Experiment!#REF!-50)+(Experiment!#REF!^2))/((Experiment!#REF!+50)^2+(Experiment!#REF!^2))</f>
        <v>#REF!</v>
      </c>
      <c r="C17" t="e">
        <f>((Experiment!#REF!+50)*Experiment!#REF!-Experiment!#REF!*(Experiment!#REF!-50))/((Experiment!#REF!+50)^2+(Experiment!#REF!^2))</f>
        <v>#REF!</v>
      </c>
      <c r="D17" t="e">
        <f t="shared" si="1"/>
        <v>#REF!</v>
      </c>
      <c r="E17" t="e">
        <f t="shared" si="2"/>
        <v>#REF!</v>
      </c>
      <c r="F17" t="e">
        <f t="shared" si="3"/>
        <v>#REF!</v>
      </c>
      <c r="I17" t="e">
        <f>Experiment!#REF!</f>
        <v>#REF!</v>
      </c>
      <c r="J17" t="e">
        <f>((Experiment!#REF!+50)*(Experiment!#REF!-50)+(Experiment!#REF!^2))/((Experiment!#REF!+50)^2+(Experiment!#REF!^2))</f>
        <v>#REF!</v>
      </c>
      <c r="K17" t="e">
        <f>((Experiment!#REF!+50)*Experiment!#REF!-Experiment!#REF!*(Experiment!#REF!-50))/((Experiment!#REF!+50)^2+(Experiment!#REF!^2))</f>
        <v>#REF!</v>
      </c>
      <c r="L17" t="e">
        <f t="shared" si="4"/>
        <v>#REF!</v>
      </c>
      <c r="M17" t="e">
        <f t="shared" si="5"/>
        <v>#REF!</v>
      </c>
      <c r="N17" t="e">
        <f t="shared" si="6"/>
        <v>#REF!</v>
      </c>
      <c r="Q17">
        <f>Experiment!A17</f>
        <v>1800000</v>
      </c>
      <c r="R17">
        <f>((Experiment!D17+50)*(Experiment!D17-50)+(Experiment!E17^2))/((Experiment!D17+50)^2+(Experiment!E17^2))</f>
        <v>0.89775979751906188</v>
      </c>
      <c r="S17">
        <f>((Experiment!D17+50)*Experiment!E17-Experiment!E17*(Experiment!D17-50))/((Experiment!D17+50)^2+(Experiment!E17^2))</f>
        <v>-6.1548568951969125E-3</v>
      </c>
      <c r="T17" t="str">
        <f t="shared" si="7"/>
        <v>0.897759797519062-0.00615485689519691i</v>
      </c>
      <c r="U17">
        <f t="shared" si="0"/>
        <v>0.89778089548890905</v>
      </c>
      <c r="V17">
        <f t="shared" si="8"/>
        <v>0.93659280987520721</v>
      </c>
      <c r="Y17" t="e">
        <f>Experiment!#REF!</f>
        <v>#REF!</v>
      </c>
      <c r="Z17" t="e">
        <f>((Experiment!#REF!+50)*(Experiment!#REF!-50)+(Experiment!#REF!^2))/((Experiment!#REF!+50)^2+(Experiment!#REF!^2))</f>
        <v>#REF!</v>
      </c>
      <c r="AA17" t="e">
        <f>((Experiment!#REF!+50)*Experiment!#REF!-Experiment!#REF!*(Experiment!#REF!-50))/((Experiment!#REF!+50)^2+(Experiment!#REF!^2))</f>
        <v>#REF!</v>
      </c>
      <c r="AB17" t="e">
        <f t="shared" si="9"/>
        <v>#REF!</v>
      </c>
      <c r="AC17" t="e">
        <f t="shared" si="10"/>
        <v>#REF!</v>
      </c>
      <c r="AD17" t="e">
        <f t="shared" si="11"/>
        <v>#REF!</v>
      </c>
    </row>
    <row r="18" spans="1:30" x14ac:dyDescent="0.15">
      <c r="A18" t="e">
        <f>Experiment!#REF!</f>
        <v>#REF!</v>
      </c>
      <c r="B18" t="e">
        <f>((Experiment!#REF!+50)*(Experiment!#REF!-50)+(Experiment!#REF!^2))/((Experiment!#REF!+50)^2+(Experiment!#REF!^2))</f>
        <v>#REF!</v>
      </c>
      <c r="C18" t="e">
        <f>((Experiment!#REF!+50)*Experiment!#REF!-Experiment!#REF!*(Experiment!#REF!-50))/((Experiment!#REF!+50)^2+(Experiment!#REF!^2))</f>
        <v>#REF!</v>
      </c>
      <c r="D18" t="e">
        <f t="shared" si="1"/>
        <v>#REF!</v>
      </c>
      <c r="E18" t="e">
        <f t="shared" si="2"/>
        <v>#REF!</v>
      </c>
      <c r="F18" t="e">
        <f t="shared" si="3"/>
        <v>#REF!</v>
      </c>
      <c r="I18" t="e">
        <f>Experiment!#REF!</f>
        <v>#REF!</v>
      </c>
      <c r="J18" t="e">
        <f>((Experiment!#REF!+50)*(Experiment!#REF!-50)+(Experiment!#REF!^2))/((Experiment!#REF!+50)^2+(Experiment!#REF!^2))</f>
        <v>#REF!</v>
      </c>
      <c r="K18" t="e">
        <f>((Experiment!#REF!+50)*Experiment!#REF!-Experiment!#REF!*(Experiment!#REF!-50))/((Experiment!#REF!+50)^2+(Experiment!#REF!^2))</f>
        <v>#REF!</v>
      </c>
      <c r="L18" t="e">
        <f t="shared" si="4"/>
        <v>#REF!</v>
      </c>
      <c r="M18" t="e">
        <f t="shared" si="5"/>
        <v>#REF!</v>
      </c>
      <c r="N18" t="e">
        <f t="shared" si="6"/>
        <v>#REF!</v>
      </c>
      <c r="Q18">
        <f>Experiment!A18</f>
        <v>1800000</v>
      </c>
      <c r="R18">
        <f>((Experiment!D18+50)*(Experiment!D18-50)+(Experiment!E18^2))/((Experiment!D18+50)^2+(Experiment!E18^2))</f>
        <v>0.89780175089034564</v>
      </c>
      <c r="S18">
        <f>((Experiment!D18+50)*Experiment!E18-Experiment!E18*(Experiment!D18-50))/((Experiment!D18+50)^2+(Experiment!E18^2))</f>
        <v>-6.287240738834029E-3</v>
      </c>
      <c r="T18" t="str">
        <f t="shared" si="7"/>
        <v>0.897801750890346-0.00628724073883403i</v>
      </c>
      <c r="U18">
        <f t="shared" si="0"/>
        <v>0.89782376516657114</v>
      </c>
      <c r="V18">
        <f t="shared" si="8"/>
        <v>0.93617806235619894</v>
      </c>
      <c r="Y18" t="e">
        <f>Experiment!#REF!</f>
        <v>#REF!</v>
      </c>
      <c r="Z18" t="e">
        <f>((Experiment!#REF!+50)*(Experiment!#REF!-50)+(Experiment!#REF!^2))/((Experiment!#REF!+50)^2+(Experiment!#REF!^2))</f>
        <v>#REF!</v>
      </c>
      <c r="AA18" t="e">
        <f>((Experiment!#REF!+50)*Experiment!#REF!-Experiment!#REF!*(Experiment!#REF!-50))/((Experiment!#REF!+50)^2+(Experiment!#REF!^2))</f>
        <v>#REF!</v>
      </c>
      <c r="AB18" t="e">
        <f t="shared" si="9"/>
        <v>#REF!</v>
      </c>
      <c r="AC18" t="e">
        <f t="shared" si="10"/>
        <v>#REF!</v>
      </c>
      <c r="AD18" t="e">
        <f t="shared" si="11"/>
        <v>#REF!</v>
      </c>
    </row>
    <row r="19" spans="1:30" x14ac:dyDescent="0.15">
      <c r="A19" t="e">
        <f>Experiment!#REF!</f>
        <v>#REF!</v>
      </c>
      <c r="B19" t="e">
        <f>((Experiment!#REF!+50)*(Experiment!#REF!-50)+(Experiment!#REF!^2))/((Experiment!#REF!+50)^2+(Experiment!#REF!^2))</f>
        <v>#REF!</v>
      </c>
      <c r="C19" t="e">
        <f>((Experiment!#REF!+50)*Experiment!#REF!-Experiment!#REF!*(Experiment!#REF!-50))/((Experiment!#REF!+50)^2+(Experiment!#REF!^2))</f>
        <v>#REF!</v>
      </c>
      <c r="D19" t="e">
        <f t="shared" si="1"/>
        <v>#REF!</v>
      </c>
      <c r="E19" t="e">
        <f t="shared" si="2"/>
        <v>#REF!</v>
      </c>
      <c r="F19" t="e">
        <f t="shared" si="3"/>
        <v>#REF!</v>
      </c>
      <c r="I19" t="e">
        <f>Experiment!#REF!</f>
        <v>#REF!</v>
      </c>
      <c r="J19" t="e">
        <f>((Experiment!#REF!+50)*(Experiment!#REF!-50)+(Experiment!#REF!^2))/((Experiment!#REF!+50)^2+(Experiment!#REF!^2))</f>
        <v>#REF!</v>
      </c>
      <c r="K19" t="e">
        <f>((Experiment!#REF!+50)*Experiment!#REF!-Experiment!#REF!*(Experiment!#REF!-50))/((Experiment!#REF!+50)^2+(Experiment!#REF!^2))</f>
        <v>#REF!</v>
      </c>
      <c r="L19" t="e">
        <f t="shared" si="4"/>
        <v>#REF!</v>
      </c>
      <c r="M19" t="e">
        <f t="shared" si="5"/>
        <v>#REF!</v>
      </c>
      <c r="N19" t="e">
        <f t="shared" si="6"/>
        <v>#REF!</v>
      </c>
      <c r="Q19">
        <f>Experiment!A19</f>
        <v>1900000</v>
      </c>
      <c r="R19">
        <f>((Experiment!D19+50)*(Experiment!D19-50)+(Experiment!E19^2))/((Experiment!D19+50)^2+(Experiment!E19^2))</f>
        <v>0.89779067866871964</v>
      </c>
      <c r="S19">
        <f>((Experiment!D19+50)*Experiment!E19-Experiment!E19*(Experiment!D19-50))/((Experiment!D19+50)^2+(Experiment!E19^2))</f>
        <v>-6.4303981150554647E-3</v>
      </c>
      <c r="T19" t="str">
        <f t="shared" si="7"/>
        <v>0.89779067866872-0.00643039811505546i</v>
      </c>
      <c r="U19">
        <f t="shared" si="0"/>
        <v>0.89781370713771036</v>
      </c>
      <c r="V19">
        <f t="shared" si="8"/>
        <v>0.93627536810973744</v>
      </c>
      <c r="Y19" t="e">
        <f>Experiment!#REF!</f>
        <v>#REF!</v>
      </c>
      <c r="Z19" t="e">
        <f>((Experiment!#REF!+50)*(Experiment!#REF!-50)+(Experiment!#REF!^2))/((Experiment!#REF!+50)^2+(Experiment!#REF!^2))</f>
        <v>#REF!</v>
      </c>
      <c r="AA19" t="e">
        <f>((Experiment!#REF!+50)*Experiment!#REF!-Experiment!#REF!*(Experiment!#REF!-50))/((Experiment!#REF!+50)^2+(Experiment!#REF!^2))</f>
        <v>#REF!</v>
      </c>
      <c r="AB19" t="e">
        <f t="shared" si="9"/>
        <v>#REF!</v>
      </c>
      <c r="AC19" t="e">
        <f t="shared" si="10"/>
        <v>#REF!</v>
      </c>
      <c r="AD19" t="e">
        <f t="shared" si="11"/>
        <v>#REF!</v>
      </c>
    </row>
    <row r="20" spans="1:30" x14ac:dyDescent="0.15">
      <c r="A20" t="e">
        <f>Experiment!#REF!</f>
        <v>#REF!</v>
      </c>
      <c r="B20" t="e">
        <f>((Experiment!#REF!+50)*(Experiment!#REF!-50)+(Experiment!#REF!^2))/((Experiment!#REF!+50)^2+(Experiment!#REF!^2))</f>
        <v>#REF!</v>
      </c>
      <c r="C20" t="e">
        <f>((Experiment!#REF!+50)*Experiment!#REF!-Experiment!#REF!*(Experiment!#REF!-50))/((Experiment!#REF!+50)^2+(Experiment!#REF!^2))</f>
        <v>#REF!</v>
      </c>
      <c r="D20" t="e">
        <f t="shared" si="1"/>
        <v>#REF!</v>
      </c>
      <c r="E20" t="e">
        <f t="shared" si="2"/>
        <v>#REF!</v>
      </c>
      <c r="F20" t="e">
        <f t="shared" si="3"/>
        <v>#REF!</v>
      </c>
      <c r="I20" t="e">
        <f>Experiment!#REF!</f>
        <v>#REF!</v>
      </c>
      <c r="J20" t="e">
        <f>((Experiment!#REF!+50)*(Experiment!#REF!-50)+(Experiment!#REF!^2))/((Experiment!#REF!+50)^2+(Experiment!#REF!^2))</f>
        <v>#REF!</v>
      </c>
      <c r="K20" t="e">
        <f>((Experiment!#REF!+50)*Experiment!#REF!-Experiment!#REF!*(Experiment!#REF!-50))/((Experiment!#REF!+50)^2+(Experiment!#REF!^2))</f>
        <v>#REF!</v>
      </c>
      <c r="L20" t="e">
        <f t="shared" si="4"/>
        <v>#REF!</v>
      </c>
      <c r="M20" t="e">
        <f t="shared" si="5"/>
        <v>#REF!</v>
      </c>
      <c r="N20" t="e">
        <f t="shared" si="6"/>
        <v>#REF!</v>
      </c>
      <c r="Q20">
        <f>Experiment!A20</f>
        <v>2000000</v>
      </c>
      <c r="R20">
        <f>((Experiment!D20+50)*(Experiment!D20-50)+(Experiment!E20^2))/((Experiment!D20+50)^2+(Experiment!E20^2))</f>
        <v>0.89777443502427912</v>
      </c>
      <c r="S20">
        <f>((Experiment!D20+50)*Experiment!E20-Experiment!E20*(Experiment!D20-50))/((Experiment!D20+50)^2+(Experiment!E20^2))</f>
        <v>-6.2833749786107181E-3</v>
      </c>
      <c r="T20" t="str">
        <f t="shared" si="7"/>
        <v>0.897774435024279-0.00628337497861072i</v>
      </c>
      <c r="U20">
        <f t="shared" si="0"/>
        <v>0.89779642290682204</v>
      </c>
      <c r="V20">
        <f t="shared" si="8"/>
        <v>0.93644258583642237</v>
      </c>
      <c r="Y20" t="e">
        <f>Experiment!#REF!</f>
        <v>#REF!</v>
      </c>
      <c r="Z20" t="e">
        <f>((Experiment!#REF!+50)*(Experiment!#REF!-50)+(Experiment!#REF!^2))/((Experiment!#REF!+50)^2+(Experiment!#REF!^2))</f>
        <v>#REF!</v>
      </c>
      <c r="AA20" t="e">
        <f>((Experiment!#REF!+50)*Experiment!#REF!-Experiment!#REF!*(Experiment!#REF!-50))/((Experiment!#REF!+50)^2+(Experiment!#REF!^2))</f>
        <v>#REF!</v>
      </c>
      <c r="AB20" t="e">
        <f t="shared" si="9"/>
        <v>#REF!</v>
      </c>
      <c r="AC20" t="e">
        <f t="shared" si="10"/>
        <v>#REF!</v>
      </c>
      <c r="AD20" t="e">
        <f t="shared" si="11"/>
        <v>#REF!</v>
      </c>
    </row>
    <row r="21" spans="1:30" x14ac:dyDescent="0.15">
      <c r="A21" t="e">
        <f>Experiment!#REF!</f>
        <v>#REF!</v>
      </c>
      <c r="B21" t="e">
        <f>((Experiment!#REF!+50)*(Experiment!#REF!-50)+(Experiment!#REF!^2))/((Experiment!#REF!+50)^2+(Experiment!#REF!^2))</f>
        <v>#REF!</v>
      </c>
      <c r="C21" t="e">
        <f>((Experiment!#REF!+50)*Experiment!#REF!-Experiment!#REF!*(Experiment!#REF!-50))/((Experiment!#REF!+50)^2+(Experiment!#REF!^2))</f>
        <v>#REF!</v>
      </c>
      <c r="D21" t="e">
        <f t="shared" si="1"/>
        <v>#REF!</v>
      </c>
      <c r="E21" t="e">
        <f t="shared" si="2"/>
        <v>#REF!</v>
      </c>
      <c r="F21" t="e">
        <f t="shared" si="3"/>
        <v>#REF!</v>
      </c>
      <c r="I21" t="e">
        <f>Experiment!#REF!</f>
        <v>#REF!</v>
      </c>
      <c r="J21" t="e">
        <f>((Experiment!#REF!+50)*(Experiment!#REF!-50)+(Experiment!#REF!^2))/((Experiment!#REF!+50)^2+(Experiment!#REF!^2))</f>
        <v>#REF!</v>
      </c>
      <c r="K21" t="e">
        <f>((Experiment!#REF!+50)*Experiment!#REF!-Experiment!#REF!*(Experiment!#REF!-50))/((Experiment!#REF!+50)^2+(Experiment!#REF!^2))</f>
        <v>#REF!</v>
      </c>
      <c r="L21" t="e">
        <f t="shared" si="4"/>
        <v>#REF!</v>
      </c>
      <c r="M21" t="e">
        <f t="shared" si="5"/>
        <v>#REF!</v>
      </c>
      <c r="N21" t="e">
        <f t="shared" si="6"/>
        <v>#REF!</v>
      </c>
      <c r="Q21">
        <f>Experiment!A21</f>
        <v>2100000</v>
      </c>
      <c r="R21">
        <f>((Experiment!D21+50)*(Experiment!D21-50)+(Experiment!E21^2))/((Experiment!D21+50)^2+(Experiment!E21^2))</f>
        <v>0.89768450851869275</v>
      </c>
      <c r="S21">
        <f>((Experiment!D21+50)*Experiment!E21-Experiment!E21*(Experiment!D21-50))/((Experiment!D21+50)^2+(Experiment!E21^2))</f>
        <v>-6.1854952725780453E-3</v>
      </c>
      <c r="T21" t="str">
        <f t="shared" si="7"/>
        <v>0.897684508518693-0.00618549527257805i</v>
      </c>
      <c r="U21">
        <f t="shared" si="0"/>
        <v>0.89770581884390954</v>
      </c>
      <c r="V21">
        <f t="shared" si="8"/>
        <v>0.93731919503644101</v>
      </c>
      <c r="Y21" t="e">
        <f>Experiment!#REF!</f>
        <v>#REF!</v>
      </c>
      <c r="Z21" t="e">
        <f>((Experiment!#REF!+50)*(Experiment!#REF!-50)+(Experiment!#REF!^2))/((Experiment!#REF!+50)^2+(Experiment!#REF!^2))</f>
        <v>#REF!</v>
      </c>
      <c r="AA21" t="e">
        <f>((Experiment!#REF!+50)*Experiment!#REF!-Experiment!#REF!*(Experiment!#REF!-50))/((Experiment!#REF!+50)^2+(Experiment!#REF!^2))</f>
        <v>#REF!</v>
      </c>
      <c r="AB21" t="e">
        <f t="shared" si="9"/>
        <v>#REF!</v>
      </c>
      <c r="AC21" t="e">
        <f t="shared" si="10"/>
        <v>#REF!</v>
      </c>
      <c r="AD21" t="e">
        <f t="shared" si="11"/>
        <v>#REF!</v>
      </c>
    </row>
    <row r="22" spans="1:30" x14ac:dyDescent="0.15">
      <c r="A22" t="e">
        <f>Experiment!#REF!</f>
        <v>#REF!</v>
      </c>
      <c r="B22" t="e">
        <f>((Experiment!#REF!+50)*(Experiment!#REF!-50)+(Experiment!#REF!^2))/((Experiment!#REF!+50)^2+(Experiment!#REF!^2))</f>
        <v>#REF!</v>
      </c>
      <c r="C22" t="e">
        <f>((Experiment!#REF!+50)*Experiment!#REF!-Experiment!#REF!*(Experiment!#REF!-50))/((Experiment!#REF!+50)^2+(Experiment!#REF!^2))</f>
        <v>#REF!</v>
      </c>
      <c r="D22" t="e">
        <f t="shared" si="1"/>
        <v>#REF!</v>
      </c>
      <c r="E22" t="e">
        <f t="shared" si="2"/>
        <v>#REF!</v>
      </c>
      <c r="F22" t="e">
        <f t="shared" si="3"/>
        <v>#REF!</v>
      </c>
      <c r="I22" t="e">
        <f>Experiment!#REF!</f>
        <v>#REF!</v>
      </c>
      <c r="J22" t="e">
        <f>((Experiment!#REF!+50)*(Experiment!#REF!-50)+(Experiment!#REF!^2))/((Experiment!#REF!+50)^2+(Experiment!#REF!^2))</f>
        <v>#REF!</v>
      </c>
      <c r="K22" t="e">
        <f>((Experiment!#REF!+50)*Experiment!#REF!-Experiment!#REF!*(Experiment!#REF!-50))/((Experiment!#REF!+50)^2+(Experiment!#REF!^2))</f>
        <v>#REF!</v>
      </c>
      <c r="L22" t="e">
        <f t="shared" si="4"/>
        <v>#REF!</v>
      </c>
      <c r="M22" t="e">
        <f t="shared" si="5"/>
        <v>#REF!</v>
      </c>
      <c r="N22" t="e">
        <f t="shared" si="6"/>
        <v>#REF!</v>
      </c>
      <c r="Q22">
        <f>Experiment!A22</f>
        <v>2100000</v>
      </c>
      <c r="R22">
        <f>((Experiment!D22+50)*(Experiment!D22-50)+(Experiment!E22^2))/((Experiment!D22+50)^2+(Experiment!E22^2))</f>
        <v>0.89765336738197032</v>
      </c>
      <c r="S22">
        <f>((Experiment!D22+50)*Experiment!E22-Experiment!E22*(Experiment!D22-50))/((Experiment!D22+50)^2+(Experiment!E22^2))</f>
        <v>-6.2340649611656203E-3</v>
      </c>
      <c r="T22" t="str">
        <f t="shared" si="7"/>
        <v>0.89765336738197-0.00623406496116562i</v>
      </c>
      <c r="U22">
        <f t="shared" si="0"/>
        <v>0.89767501443347009</v>
      </c>
      <c r="V22">
        <f t="shared" si="8"/>
        <v>0.93761725292422682</v>
      </c>
      <c r="Y22" t="e">
        <f>Experiment!#REF!</f>
        <v>#REF!</v>
      </c>
      <c r="Z22" t="e">
        <f>((Experiment!#REF!+50)*(Experiment!#REF!-50)+(Experiment!#REF!^2))/((Experiment!#REF!+50)^2+(Experiment!#REF!^2))</f>
        <v>#REF!</v>
      </c>
      <c r="AA22" t="e">
        <f>((Experiment!#REF!+50)*Experiment!#REF!-Experiment!#REF!*(Experiment!#REF!-50))/((Experiment!#REF!+50)^2+(Experiment!#REF!^2))</f>
        <v>#REF!</v>
      </c>
      <c r="AB22" t="e">
        <f t="shared" si="9"/>
        <v>#REF!</v>
      </c>
      <c r="AC22" t="e">
        <f t="shared" si="10"/>
        <v>#REF!</v>
      </c>
      <c r="AD22" t="e">
        <f t="shared" si="11"/>
        <v>#REF!</v>
      </c>
    </row>
    <row r="23" spans="1:30" x14ac:dyDescent="0.15">
      <c r="A23" t="e">
        <f>Experiment!#REF!</f>
        <v>#REF!</v>
      </c>
      <c r="B23" t="e">
        <f>((Experiment!#REF!+50)*(Experiment!#REF!-50)+(Experiment!#REF!^2))/((Experiment!#REF!+50)^2+(Experiment!#REF!^2))</f>
        <v>#REF!</v>
      </c>
      <c r="C23" t="e">
        <f>((Experiment!#REF!+50)*Experiment!#REF!-Experiment!#REF!*(Experiment!#REF!-50))/((Experiment!#REF!+50)^2+(Experiment!#REF!^2))</f>
        <v>#REF!</v>
      </c>
      <c r="D23" t="e">
        <f t="shared" si="1"/>
        <v>#REF!</v>
      </c>
      <c r="E23" t="e">
        <f t="shared" si="2"/>
        <v>#REF!</v>
      </c>
      <c r="F23" t="e">
        <f t="shared" si="3"/>
        <v>#REF!</v>
      </c>
      <c r="I23" t="e">
        <f>Experiment!#REF!</f>
        <v>#REF!</v>
      </c>
      <c r="J23" t="e">
        <f>((Experiment!#REF!+50)*(Experiment!#REF!-50)+(Experiment!#REF!^2))/((Experiment!#REF!+50)^2+(Experiment!#REF!^2))</f>
        <v>#REF!</v>
      </c>
      <c r="K23" t="e">
        <f>((Experiment!#REF!+50)*Experiment!#REF!-Experiment!#REF!*(Experiment!#REF!-50))/((Experiment!#REF!+50)^2+(Experiment!#REF!^2))</f>
        <v>#REF!</v>
      </c>
      <c r="L23" t="e">
        <f t="shared" si="4"/>
        <v>#REF!</v>
      </c>
      <c r="M23" t="e">
        <f t="shared" si="5"/>
        <v>#REF!</v>
      </c>
      <c r="N23" t="e">
        <f t="shared" si="6"/>
        <v>#REF!</v>
      </c>
      <c r="Q23">
        <f>Experiment!A23</f>
        <v>2200000</v>
      </c>
      <c r="R23">
        <f>((Experiment!D23+50)*(Experiment!D23-50)+(Experiment!E23^2))/((Experiment!D23+50)^2+(Experiment!E23^2))</f>
        <v>0.89763416003391217</v>
      </c>
      <c r="S23">
        <f>((Experiment!D23+50)*Experiment!E23-Experiment!E23*(Experiment!D23-50))/((Experiment!D23+50)^2+(Experiment!E23^2))</f>
        <v>-6.3198911435393438E-3</v>
      </c>
      <c r="T23" t="str">
        <f t="shared" si="7"/>
        <v>0.897634160033912-0.00631989114353934i</v>
      </c>
      <c r="U23">
        <f t="shared" si="0"/>
        <v>0.89765640769943444</v>
      </c>
      <c r="V23">
        <f t="shared" si="8"/>
        <v>0.93779729326259764</v>
      </c>
      <c r="Y23" t="e">
        <f>Experiment!#REF!</f>
        <v>#REF!</v>
      </c>
      <c r="Z23" t="e">
        <f>((Experiment!#REF!+50)*(Experiment!#REF!-50)+(Experiment!#REF!^2))/((Experiment!#REF!+50)^2+(Experiment!#REF!^2))</f>
        <v>#REF!</v>
      </c>
      <c r="AA23" t="e">
        <f>((Experiment!#REF!+50)*Experiment!#REF!-Experiment!#REF!*(Experiment!#REF!-50))/((Experiment!#REF!+50)^2+(Experiment!#REF!^2))</f>
        <v>#REF!</v>
      </c>
      <c r="AB23" t="e">
        <f t="shared" si="9"/>
        <v>#REF!</v>
      </c>
      <c r="AC23" t="e">
        <f t="shared" si="10"/>
        <v>#REF!</v>
      </c>
      <c r="AD23" t="e">
        <f t="shared" si="11"/>
        <v>#REF!</v>
      </c>
    </row>
    <row r="24" spans="1:30" x14ac:dyDescent="0.15">
      <c r="A24" t="e">
        <f>Experiment!#REF!</f>
        <v>#REF!</v>
      </c>
      <c r="B24" t="e">
        <f>((Experiment!#REF!+50)*(Experiment!#REF!-50)+(Experiment!#REF!^2))/((Experiment!#REF!+50)^2+(Experiment!#REF!^2))</f>
        <v>#REF!</v>
      </c>
      <c r="C24" t="e">
        <f>((Experiment!#REF!+50)*Experiment!#REF!-Experiment!#REF!*(Experiment!#REF!-50))/((Experiment!#REF!+50)^2+(Experiment!#REF!^2))</f>
        <v>#REF!</v>
      </c>
      <c r="D24" t="e">
        <f t="shared" si="1"/>
        <v>#REF!</v>
      </c>
      <c r="E24" t="e">
        <f t="shared" si="2"/>
        <v>#REF!</v>
      </c>
      <c r="F24" t="e">
        <f t="shared" si="3"/>
        <v>#REF!</v>
      </c>
      <c r="I24" t="e">
        <f>Experiment!#REF!</f>
        <v>#REF!</v>
      </c>
      <c r="J24" t="e">
        <f>((Experiment!#REF!+50)*(Experiment!#REF!-50)+(Experiment!#REF!^2))/((Experiment!#REF!+50)^2+(Experiment!#REF!^2))</f>
        <v>#REF!</v>
      </c>
      <c r="K24" t="e">
        <f>((Experiment!#REF!+50)*Experiment!#REF!-Experiment!#REF!*(Experiment!#REF!-50))/((Experiment!#REF!+50)^2+(Experiment!#REF!^2))</f>
        <v>#REF!</v>
      </c>
      <c r="L24" t="e">
        <f t="shared" si="4"/>
        <v>#REF!</v>
      </c>
      <c r="M24" t="e">
        <f t="shared" si="5"/>
        <v>#REF!</v>
      </c>
      <c r="N24" t="e">
        <f t="shared" si="6"/>
        <v>#REF!</v>
      </c>
      <c r="Q24">
        <f>Experiment!A24</f>
        <v>2300000</v>
      </c>
      <c r="R24">
        <f>((Experiment!D24+50)*(Experiment!D24-50)+(Experiment!E24^2))/((Experiment!D24+50)^2+(Experiment!E24^2))</f>
        <v>0.89756593709562027</v>
      </c>
      <c r="S24">
        <f>((Experiment!D24+50)*Experiment!E24-Experiment!E24*(Experiment!D24-50))/((Experiment!D24+50)^2+(Experiment!E24^2))</f>
        <v>-6.5171549941365568E-3</v>
      </c>
      <c r="T24" t="str">
        <f t="shared" si="7"/>
        <v>0.89756593709562-0.00651715499413656i</v>
      </c>
      <c r="U24">
        <f t="shared" si="0"/>
        <v>0.8975895970562251</v>
      </c>
      <c r="V24">
        <f t="shared" si="8"/>
        <v>0.93844378947792984</v>
      </c>
      <c r="Y24" t="e">
        <f>Experiment!#REF!</f>
        <v>#REF!</v>
      </c>
      <c r="Z24" t="e">
        <f>((Experiment!#REF!+50)*(Experiment!#REF!-50)+(Experiment!#REF!^2))/((Experiment!#REF!+50)^2+(Experiment!#REF!^2))</f>
        <v>#REF!</v>
      </c>
      <c r="AA24" t="e">
        <f>((Experiment!#REF!+50)*Experiment!#REF!-Experiment!#REF!*(Experiment!#REF!-50))/((Experiment!#REF!+50)^2+(Experiment!#REF!^2))</f>
        <v>#REF!</v>
      </c>
      <c r="AB24" t="e">
        <f t="shared" si="9"/>
        <v>#REF!</v>
      </c>
      <c r="AC24" t="e">
        <f t="shared" si="10"/>
        <v>#REF!</v>
      </c>
      <c r="AD24" t="e">
        <f t="shared" si="11"/>
        <v>#REF!</v>
      </c>
    </row>
    <row r="25" spans="1:30" x14ac:dyDescent="0.15">
      <c r="A25" t="e">
        <f>Experiment!#REF!</f>
        <v>#REF!</v>
      </c>
      <c r="B25" t="e">
        <f>((Experiment!#REF!+50)*(Experiment!#REF!-50)+(Experiment!#REF!^2))/((Experiment!#REF!+50)^2+(Experiment!#REF!^2))</f>
        <v>#REF!</v>
      </c>
      <c r="C25" t="e">
        <f>((Experiment!#REF!+50)*Experiment!#REF!-Experiment!#REF!*(Experiment!#REF!-50))/((Experiment!#REF!+50)^2+(Experiment!#REF!^2))</f>
        <v>#REF!</v>
      </c>
      <c r="D25" t="e">
        <f t="shared" si="1"/>
        <v>#REF!</v>
      </c>
      <c r="E25" t="e">
        <f t="shared" si="2"/>
        <v>#REF!</v>
      </c>
      <c r="F25" t="e">
        <f t="shared" si="3"/>
        <v>#REF!</v>
      </c>
      <c r="I25" t="e">
        <f>Experiment!#REF!</f>
        <v>#REF!</v>
      </c>
      <c r="J25" t="e">
        <f>((Experiment!#REF!+50)*(Experiment!#REF!-50)+(Experiment!#REF!^2))/((Experiment!#REF!+50)^2+(Experiment!#REF!^2))</f>
        <v>#REF!</v>
      </c>
      <c r="K25" t="e">
        <f>((Experiment!#REF!+50)*Experiment!#REF!-Experiment!#REF!*(Experiment!#REF!-50))/((Experiment!#REF!+50)^2+(Experiment!#REF!^2))</f>
        <v>#REF!</v>
      </c>
      <c r="L25" t="e">
        <f t="shared" si="4"/>
        <v>#REF!</v>
      </c>
      <c r="M25" t="e">
        <f t="shared" si="5"/>
        <v>#REF!</v>
      </c>
      <c r="N25" t="e">
        <f t="shared" si="6"/>
        <v>#REF!</v>
      </c>
      <c r="Q25">
        <f>Experiment!A25</f>
        <v>2400000</v>
      </c>
      <c r="R25">
        <f>((Experiment!D25+50)*(Experiment!D25-50)+(Experiment!E25^2))/((Experiment!D25+50)^2+(Experiment!E25^2))</f>
        <v>0.89755343490171802</v>
      </c>
      <c r="S25">
        <f>((Experiment!D25+50)*Experiment!E25-Experiment!E25*(Experiment!D25-50))/((Experiment!D25+50)^2+(Experiment!E25^2))</f>
        <v>-6.9287445362990066E-3</v>
      </c>
      <c r="T25" t="str">
        <f t="shared" si="7"/>
        <v>0.897553434901718-0.00692874453629901i</v>
      </c>
      <c r="U25">
        <f t="shared" si="0"/>
        <v>0.89758017803688261</v>
      </c>
      <c r="V25">
        <f t="shared" si="8"/>
        <v>0.9385349369155076</v>
      </c>
      <c r="Y25" t="e">
        <f>Experiment!#REF!</f>
        <v>#REF!</v>
      </c>
      <c r="Z25" t="e">
        <f>((Experiment!#REF!+50)*(Experiment!#REF!-50)+(Experiment!#REF!^2))/((Experiment!#REF!+50)^2+(Experiment!#REF!^2))</f>
        <v>#REF!</v>
      </c>
      <c r="AA25" t="e">
        <f>((Experiment!#REF!+50)*Experiment!#REF!-Experiment!#REF!*(Experiment!#REF!-50))/((Experiment!#REF!+50)^2+(Experiment!#REF!^2))</f>
        <v>#REF!</v>
      </c>
      <c r="AB25" t="e">
        <f t="shared" si="9"/>
        <v>#REF!</v>
      </c>
      <c r="AC25" t="e">
        <f t="shared" si="10"/>
        <v>#REF!</v>
      </c>
      <c r="AD25" t="e">
        <f t="shared" si="11"/>
        <v>#REF!</v>
      </c>
    </row>
    <row r="26" spans="1:30" x14ac:dyDescent="0.15">
      <c r="A26" t="e">
        <f>Experiment!#REF!</f>
        <v>#REF!</v>
      </c>
      <c r="B26" t="e">
        <f>((Experiment!#REF!+50)*(Experiment!#REF!-50)+(Experiment!#REF!^2))/((Experiment!#REF!+50)^2+(Experiment!#REF!^2))</f>
        <v>#REF!</v>
      </c>
      <c r="C26" t="e">
        <f>((Experiment!#REF!+50)*Experiment!#REF!-Experiment!#REF!*(Experiment!#REF!-50))/((Experiment!#REF!+50)^2+(Experiment!#REF!^2))</f>
        <v>#REF!</v>
      </c>
      <c r="D26" t="e">
        <f t="shared" si="1"/>
        <v>#REF!</v>
      </c>
      <c r="E26" t="e">
        <f t="shared" si="2"/>
        <v>#REF!</v>
      </c>
      <c r="F26" t="e">
        <f t="shared" si="3"/>
        <v>#REF!</v>
      </c>
      <c r="I26" t="e">
        <f>Experiment!#REF!</f>
        <v>#REF!</v>
      </c>
      <c r="J26" t="e">
        <f>((Experiment!#REF!+50)*(Experiment!#REF!-50)+(Experiment!#REF!^2))/((Experiment!#REF!+50)^2+(Experiment!#REF!^2))</f>
        <v>#REF!</v>
      </c>
      <c r="K26" t="e">
        <f>((Experiment!#REF!+50)*Experiment!#REF!-Experiment!#REF!*(Experiment!#REF!-50))/((Experiment!#REF!+50)^2+(Experiment!#REF!^2))</f>
        <v>#REF!</v>
      </c>
      <c r="L26" t="e">
        <f t="shared" si="4"/>
        <v>#REF!</v>
      </c>
      <c r="M26" t="e">
        <f t="shared" si="5"/>
        <v>#REF!</v>
      </c>
      <c r="N26" t="e">
        <f t="shared" si="6"/>
        <v>#REF!</v>
      </c>
      <c r="Q26">
        <f>Experiment!A26</f>
        <v>2500000</v>
      </c>
      <c r="R26">
        <f>((Experiment!D26+50)*(Experiment!D26-50)+(Experiment!E26^2))/((Experiment!D26+50)^2+(Experiment!E26^2))</f>
        <v>0.89760013702522778</v>
      </c>
      <c r="S26">
        <f>((Experiment!D26+50)*Experiment!E26-Experiment!E26*(Experiment!D26-50))/((Experiment!D26+50)^2+(Experiment!E26^2))</f>
        <v>-7.1891200335622747E-3</v>
      </c>
      <c r="T26" t="str">
        <f t="shared" si="7"/>
        <v>0.897600137025228-0.00718912003356227i</v>
      </c>
      <c r="U26">
        <f t="shared" si="0"/>
        <v>0.89762892635797153</v>
      </c>
      <c r="V26">
        <f t="shared" si="8"/>
        <v>0.93806321188237718</v>
      </c>
      <c r="Y26" t="e">
        <f>Experiment!#REF!</f>
        <v>#REF!</v>
      </c>
      <c r="Z26" t="e">
        <f>((Experiment!#REF!+50)*(Experiment!#REF!-50)+(Experiment!#REF!^2))/((Experiment!#REF!+50)^2+(Experiment!#REF!^2))</f>
        <v>#REF!</v>
      </c>
      <c r="AA26" t="e">
        <f>((Experiment!#REF!+50)*Experiment!#REF!-Experiment!#REF!*(Experiment!#REF!-50))/((Experiment!#REF!+50)^2+(Experiment!#REF!^2))</f>
        <v>#REF!</v>
      </c>
      <c r="AB26" t="e">
        <f t="shared" si="9"/>
        <v>#REF!</v>
      </c>
      <c r="AC26" t="e">
        <f t="shared" si="10"/>
        <v>#REF!</v>
      </c>
      <c r="AD26" t="e">
        <f t="shared" si="11"/>
        <v>#REF!</v>
      </c>
    </row>
    <row r="27" spans="1:30" x14ac:dyDescent="0.15">
      <c r="A27" t="e">
        <f>Experiment!#REF!</f>
        <v>#REF!</v>
      </c>
      <c r="B27" t="e">
        <f>((Experiment!#REF!+50)*(Experiment!#REF!-50)+(Experiment!#REF!^2))/((Experiment!#REF!+50)^2+(Experiment!#REF!^2))</f>
        <v>#REF!</v>
      </c>
      <c r="C27" t="e">
        <f>((Experiment!#REF!+50)*Experiment!#REF!-Experiment!#REF!*(Experiment!#REF!-50))/((Experiment!#REF!+50)^2+(Experiment!#REF!^2))</f>
        <v>#REF!</v>
      </c>
      <c r="D27" t="e">
        <f t="shared" si="1"/>
        <v>#REF!</v>
      </c>
      <c r="E27" t="e">
        <f t="shared" si="2"/>
        <v>#REF!</v>
      </c>
      <c r="F27" t="e">
        <f t="shared" si="3"/>
        <v>#REF!</v>
      </c>
      <c r="I27" t="e">
        <f>Experiment!#REF!</f>
        <v>#REF!</v>
      </c>
      <c r="J27" t="e">
        <f>((Experiment!#REF!+50)*(Experiment!#REF!-50)+(Experiment!#REF!^2))/((Experiment!#REF!+50)^2+(Experiment!#REF!^2))</f>
        <v>#REF!</v>
      </c>
      <c r="K27" t="e">
        <f>((Experiment!#REF!+50)*Experiment!#REF!-Experiment!#REF!*(Experiment!#REF!-50))/((Experiment!#REF!+50)^2+(Experiment!#REF!^2))</f>
        <v>#REF!</v>
      </c>
      <c r="L27" t="e">
        <f t="shared" si="4"/>
        <v>#REF!</v>
      </c>
      <c r="M27" t="e">
        <f t="shared" si="5"/>
        <v>#REF!</v>
      </c>
      <c r="N27" t="e">
        <f t="shared" si="6"/>
        <v>#REF!</v>
      </c>
      <c r="Q27">
        <f>Experiment!A27</f>
        <v>2600000</v>
      </c>
      <c r="R27">
        <f>((Experiment!D27+50)*(Experiment!D27-50)+(Experiment!E27^2))/((Experiment!D27+50)^2+(Experiment!E27^2))</f>
        <v>0.89756862281891336</v>
      </c>
      <c r="S27">
        <f>((Experiment!D27+50)*Experiment!E27-Experiment!E27*(Experiment!D27-50))/((Experiment!D27+50)^2+(Experiment!E27^2))</f>
        <v>-7.5443288127816678E-3</v>
      </c>
      <c r="T27" t="str">
        <f t="shared" si="7"/>
        <v>0.897568622818913-0.00754432881278167i</v>
      </c>
      <c r="U27">
        <f t="shared" si="0"/>
        <v>0.8976003284125269</v>
      </c>
      <c r="V27">
        <f t="shared" si="8"/>
        <v>0.93833994377872787</v>
      </c>
      <c r="Y27" t="e">
        <f>Experiment!#REF!</f>
        <v>#REF!</v>
      </c>
      <c r="Z27" t="e">
        <f>((Experiment!#REF!+50)*(Experiment!#REF!-50)+(Experiment!#REF!^2))/((Experiment!#REF!+50)^2+(Experiment!#REF!^2))</f>
        <v>#REF!</v>
      </c>
      <c r="AA27" t="e">
        <f>((Experiment!#REF!+50)*Experiment!#REF!-Experiment!#REF!*(Experiment!#REF!-50))/((Experiment!#REF!+50)^2+(Experiment!#REF!^2))</f>
        <v>#REF!</v>
      </c>
      <c r="AB27" t="e">
        <f t="shared" si="9"/>
        <v>#REF!</v>
      </c>
      <c r="AC27" t="e">
        <f t="shared" si="10"/>
        <v>#REF!</v>
      </c>
      <c r="AD27" t="e">
        <f t="shared" si="11"/>
        <v>#REF!</v>
      </c>
    </row>
    <row r="28" spans="1:30" x14ac:dyDescent="0.15">
      <c r="A28" t="e">
        <f>Experiment!#REF!</f>
        <v>#REF!</v>
      </c>
      <c r="B28" t="e">
        <f>((Experiment!#REF!+50)*(Experiment!#REF!-50)+(Experiment!#REF!^2))/((Experiment!#REF!+50)^2+(Experiment!#REF!^2))</f>
        <v>#REF!</v>
      </c>
      <c r="C28" t="e">
        <f>((Experiment!#REF!+50)*Experiment!#REF!-Experiment!#REF!*(Experiment!#REF!-50))/((Experiment!#REF!+50)^2+(Experiment!#REF!^2))</f>
        <v>#REF!</v>
      </c>
      <c r="D28" t="e">
        <f t="shared" si="1"/>
        <v>#REF!</v>
      </c>
      <c r="E28" t="e">
        <f t="shared" si="2"/>
        <v>#REF!</v>
      </c>
      <c r="F28" t="e">
        <f t="shared" si="3"/>
        <v>#REF!</v>
      </c>
      <c r="I28" t="e">
        <f>Experiment!#REF!</f>
        <v>#REF!</v>
      </c>
      <c r="J28" t="e">
        <f>((Experiment!#REF!+50)*(Experiment!#REF!-50)+(Experiment!#REF!^2))/((Experiment!#REF!+50)^2+(Experiment!#REF!^2))</f>
        <v>#REF!</v>
      </c>
      <c r="K28" t="e">
        <f>((Experiment!#REF!+50)*Experiment!#REF!-Experiment!#REF!*(Experiment!#REF!-50))/((Experiment!#REF!+50)^2+(Experiment!#REF!^2))</f>
        <v>#REF!</v>
      </c>
      <c r="L28" t="e">
        <f t="shared" si="4"/>
        <v>#REF!</v>
      </c>
      <c r="M28" t="e">
        <f t="shared" si="5"/>
        <v>#REF!</v>
      </c>
      <c r="N28" t="e">
        <f t="shared" si="6"/>
        <v>#REF!</v>
      </c>
      <c r="Q28">
        <f>Experiment!A28</f>
        <v>2700000</v>
      </c>
      <c r="R28">
        <f>((Experiment!D28+50)*(Experiment!D28-50)+(Experiment!E28^2))/((Experiment!D28+50)^2+(Experiment!E28^2))</f>
        <v>0.89762393561531995</v>
      </c>
      <c r="S28">
        <f>((Experiment!D28+50)*Experiment!E28-Experiment!E28*(Experiment!D28-50))/((Experiment!D28+50)^2+(Experiment!E28^2))</f>
        <v>-7.9601072364969931E-3</v>
      </c>
      <c r="T28" t="str">
        <f t="shared" si="7"/>
        <v>0.89762393561532-0.00796010723649699i</v>
      </c>
      <c r="U28">
        <f t="shared" si="0"/>
        <v>0.89765922994015535</v>
      </c>
      <c r="V28">
        <f t="shared" si="8"/>
        <v>0.93776998478165996</v>
      </c>
      <c r="Y28" t="e">
        <f>Experiment!#REF!</f>
        <v>#REF!</v>
      </c>
      <c r="Z28" t="e">
        <f>((Experiment!#REF!+50)*(Experiment!#REF!-50)+(Experiment!#REF!^2))/((Experiment!#REF!+50)^2+(Experiment!#REF!^2))</f>
        <v>#REF!</v>
      </c>
      <c r="AA28" t="e">
        <f>((Experiment!#REF!+50)*Experiment!#REF!-Experiment!#REF!*(Experiment!#REF!-50))/((Experiment!#REF!+50)^2+(Experiment!#REF!^2))</f>
        <v>#REF!</v>
      </c>
      <c r="AB28" t="e">
        <f t="shared" si="9"/>
        <v>#REF!</v>
      </c>
      <c r="AC28" t="e">
        <f t="shared" si="10"/>
        <v>#REF!</v>
      </c>
      <c r="AD28" t="e">
        <f t="shared" si="11"/>
        <v>#REF!</v>
      </c>
    </row>
    <row r="29" spans="1:30" x14ac:dyDescent="0.15">
      <c r="A29" t="e">
        <f>Experiment!#REF!</f>
        <v>#REF!</v>
      </c>
      <c r="B29" t="e">
        <f>((Experiment!#REF!+50)*(Experiment!#REF!-50)+(Experiment!#REF!^2))/((Experiment!#REF!+50)^2+(Experiment!#REF!^2))</f>
        <v>#REF!</v>
      </c>
      <c r="C29" t="e">
        <f>((Experiment!#REF!+50)*Experiment!#REF!-Experiment!#REF!*(Experiment!#REF!-50))/((Experiment!#REF!+50)^2+(Experiment!#REF!^2))</f>
        <v>#REF!</v>
      </c>
      <c r="D29" t="e">
        <f t="shared" si="1"/>
        <v>#REF!</v>
      </c>
      <c r="E29" t="e">
        <f t="shared" si="2"/>
        <v>#REF!</v>
      </c>
      <c r="F29" t="e">
        <f t="shared" si="3"/>
        <v>#REF!</v>
      </c>
      <c r="I29" t="e">
        <f>Experiment!#REF!</f>
        <v>#REF!</v>
      </c>
      <c r="J29" t="e">
        <f>((Experiment!#REF!+50)*(Experiment!#REF!-50)+(Experiment!#REF!^2))/((Experiment!#REF!+50)^2+(Experiment!#REF!^2))</f>
        <v>#REF!</v>
      </c>
      <c r="K29" t="e">
        <f>((Experiment!#REF!+50)*Experiment!#REF!-Experiment!#REF!*(Experiment!#REF!-50))/((Experiment!#REF!+50)^2+(Experiment!#REF!^2))</f>
        <v>#REF!</v>
      </c>
      <c r="L29" t="e">
        <f t="shared" si="4"/>
        <v>#REF!</v>
      </c>
      <c r="M29" t="e">
        <f t="shared" si="5"/>
        <v>#REF!</v>
      </c>
      <c r="N29" t="e">
        <f t="shared" si="6"/>
        <v>#REF!</v>
      </c>
      <c r="Q29">
        <f>Experiment!A29</f>
        <v>2800000</v>
      </c>
      <c r="R29">
        <f>((Experiment!D29+50)*(Experiment!D29-50)+(Experiment!E29^2))/((Experiment!D29+50)^2+(Experiment!E29^2))</f>
        <v>0.89760279630475559</v>
      </c>
      <c r="S29">
        <f>((Experiment!D29+50)*Experiment!E29-Experiment!E29*(Experiment!D29-50))/((Experiment!D29+50)^2+(Experiment!E29^2))</f>
        <v>-8.3572411805272195E-3</v>
      </c>
      <c r="T29" t="str">
        <f t="shared" si="7"/>
        <v>0.897602796304756-0.00835724118052722i</v>
      </c>
      <c r="U29">
        <f t="shared" si="0"/>
        <v>0.89764170102233221</v>
      </c>
      <c r="V29">
        <f t="shared" si="8"/>
        <v>0.93793959895950119</v>
      </c>
      <c r="Y29" t="e">
        <f>Experiment!#REF!</f>
        <v>#REF!</v>
      </c>
      <c r="Z29" t="e">
        <f>((Experiment!#REF!+50)*(Experiment!#REF!-50)+(Experiment!#REF!^2))/((Experiment!#REF!+50)^2+(Experiment!#REF!^2))</f>
        <v>#REF!</v>
      </c>
      <c r="AA29" t="e">
        <f>((Experiment!#REF!+50)*Experiment!#REF!-Experiment!#REF!*(Experiment!#REF!-50))/((Experiment!#REF!+50)^2+(Experiment!#REF!^2))</f>
        <v>#REF!</v>
      </c>
      <c r="AB29" t="e">
        <f t="shared" si="9"/>
        <v>#REF!</v>
      </c>
      <c r="AC29" t="e">
        <f t="shared" si="10"/>
        <v>#REF!</v>
      </c>
      <c r="AD29" t="e">
        <f t="shared" si="11"/>
        <v>#REF!</v>
      </c>
    </row>
    <row r="30" spans="1:30" x14ac:dyDescent="0.15">
      <c r="A30" t="e">
        <f>Experiment!#REF!</f>
        <v>#REF!</v>
      </c>
      <c r="B30" t="e">
        <f>((Experiment!#REF!+50)*(Experiment!#REF!-50)+(Experiment!#REF!^2))/((Experiment!#REF!+50)^2+(Experiment!#REF!^2))</f>
        <v>#REF!</v>
      </c>
      <c r="C30" t="e">
        <f>((Experiment!#REF!+50)*Experiment!#REF!-Experiment!#REF!*(Experiment!#REF!-50))/((Experiment!#REF!+50)^2+(Experiment!#REF!^2))</f>
        <v>#REF!</v>
      </c>
      <c r="D30" t="e">
        <f t="shared" si="1"/>
        <v>#REF!</v>
      </c>
      <c r="E30" t="e">
        <f t="shared" si="2"/>
        <v>#REF!</v>
      </c>
      <c r="F30" t="e">
        <f t="shared" si="3"/>
        <v>#REF!</v>
      </c>
      <c r="I30" t="e">
        <f>Experiment!#REF!</f>
        <v>#REF!</v>
      </c>
      <c r="J30" t="e">
        <f>((Experiment!#REF!+50)*(Experiment!#REF!-50)+(Experiment!#REF!^2))/((Experiment!#REF!+50)^2+(Experiment!#REF!^2))</f>
        <v>#REF!</v>
      </c>
      <c r="K30" t="e">
        <f>((Experiment!#REF!+50)*Experiment!#REF!-Experiment!#REF!*(Experiment!#REF!-50))/((Experiment!#REF!+50)^2+(Experiment!#REF!^2))</f>
        <v>#REF!</v>
      </c>
      <c r="L30" t="e">
        <f t="shared" si="4"/>
        <v>#REF!</v>
      </c>
      <c r="M30" t="e">
        <f t="shared" si="5"/>
        <v>#REF!</v>
      </c>
      <c r="N30" t="e">
        <f t="shared" si="6"/>
        <v>#REF!</v>
      </c>
      <c r="Q30">
        <f>Experiment!A30</f>
        <v>3000000</v>
      </c>
      <c r="R30">
        <f>((Experiment!D30+50)*(Experiment!D30-50)+(Experiment!E30^2))/((Experiment!D30+50)^2+(Experiment!E30^2))</f>
        <v>0.89774777536822015</v>
      </c>
      <c r="S30">
        <f>((Experiment!D30+50)*Experiment!E30-Experiment!E30*(Experiment!D30-50))/((Experiment!D30+50)^2+(Experiment!E30^2))</f>
        <v>-9.3316319586507334E-3</v>
      </c>
      <c r="T30" t="str">
        <f t="shared" si="7"/>
        <v>0.89774777536822-0.00933163195865073i</v>
      </c>
      <c r="U30">
        <f t="shared" si="0"/>
        <v>0.89779627284456909</v>
      </c>
      <c r="V30">
        <f t="shared" si="8"/>
        <v>0.9364440376402432</v>
      </c>
      <c r="Y30" t="e">
        <f>Experiment!#REF!</f>
        <v>#REF!</v>
      </c>
      <c r="Z30" t="e">
        <f>((Experiment!#REF!+50)*(Experiment!#REF!-50)+(Experiment!#REF!^2))/((Experiment!#REF!+50)^2+(Experiment!#REF!^2))</f>
        <v>#REF!</v>
      </c>
      <c r="AA30" t="e">
        <f>((Experiment!#REF!+50)*Experiment!#REF!-Experiment!#REF!*(Experiment!#REF!-50))/((Experiment!#REF!+50)^2+(Experiment!#REF!^2))</f>
        <v>#REF!</v>
      </c>
      <c r="AB30" t="e">
        <f t="shared" si="9"/>
        <v>#REF!</v>
      </c>
      <c r="AC30" t="e">
        <f t="shared" si="10"/>
        <v>#REF!</v>
      </c>
      <c r="AD30" t="e">
        <f t="shared" si="11"/>
        <v>#REF!</v>
      </c>
    </row>
    <row r="31" spans="1:30" x14ac:dyDescent="0.15">
      <c r="A31" t="e">
        <f>Experiment!#REF!</f>
        <v>#REF!</v>
      </c>
      <c r="B31" t="e">
        <f>((Experiment!#REF!+50)*(Experiment!#REF!-50)+(Experiment!#REF!^2))/((Experiment!#REF!+50)^2+(Experiment!#REF!^2))</f>
        <v>#REF!</v>
      </c>
      <c r="C31" t="e">
        <f>((Experiment!#REF!+50)*Experiment!#REF!-Experiment!#REF!*(Experiment!#REF!-50))/((Experiment!#REF!+50)^2+(Experiment!#REF!^2))</f>
        <v>#REF!</v>
      </c>
      <c r="D31" t="e">
        <f t="shared" si="1"/>
        <v>#REF!</v>
      </c>
      <c r="E31" t="e">
        <f t="shared" si="2"/>
        <v>#REF!</v>
      </c>
      <c r="F31" t="e">
        <f t="shared" si="3"/>
        <v>#REF!</v>
      </c>
      <c r="I31" t="e">
        <f>Experiment!#REF!</f>
        <v>#REF!</v>
      </c>
      <c r="J31" t="e">
        <f>((Experiment!#REF!+50)*(Experiment!#REF!-50)+(Experiment!#REF!^2))/((Experiment!#REF!+50)^2+(Experiment!#REF!^2))</f>
        <v>#REF!</v>
      </c>
      <c r="K31" t="e">
        <f>((Experiment!#REF!+50)*Experiment!#REF!-Experiment!#REF!*(Experiment!#REF!-50))/((Experiment!#REF!+50)^2+(Experiment!#REF!^2))</f>
        <v>#REF!</v>
      </c>
      <c r="L31" t="e">
        <f t="shared" si="4"/>
        <v>#REF!</v>
      </c>
      <c r="M31" t="e">
        <f t="shared" si="5"/>
        <v>#REF!</v>
      </c>
      <c r="N31" t="e">
        <f t="shared" si="6"/>
        <v>#REF!</v>
      </c>
      <c r="Q31">
        <f>Experiment!A31</f>
        <v>3100000</v>
      </c>
      <c r="R31">
        <f>((Experiment!D31+50)*(Experiment!D31-50)+(Experiment!E31^2))/((Experiment!D31+50)^2+(Experiment!E31^2))</f>
        <v>0.89770202894398154</v>
      </c>
      <c r="S31">
        <f>((Experiment!D31+50)*Experiment!E31-Experiment!E31*(Experiment!D31-50))/((Experiment!D31+50)^2+(Experiment!E31^2))</f>
        <v>-9.7290325638831904E-3</v>
      </c>
      <c r="T31" t="str">
        <f t="shared" si="7"/>
        <v>0.897702028943982-0.00972903256388319i</v>
      </c>
      <c r="U31">
        <f t="shared" si="0"/>
        <v>0.89775474760358143</v>
      </c>
      <c r="V31">
        <f t="shared" si="8"/>
        <v>0.93684579025698267</v>
      </c>
      <c r="Y31" t="e">
        <f>Experiment!#REF!</f>
        <v>#REF!</v>
      </c>
      <c r="Z31" t="e">
        <f>((Experiment!#REF!+50)*(Experiment!#REF!-50)+(Experiment!#REF!^2))/((Experiment!#REF!+50)^2+(Experiment!#REF!^2))</f>
        <v>#REF!</v>
      </c>
      <c r="AA31" t="e">
        <f>((Experiment!#REF!+50)*Experiment!#REF!-Experiment!#REF!*(Experiment!#REF!-50))/((Experiment!#REF!+50)^2+(Experiment!#REF!^2))</f>
        <v>#REF!</v>
      </c>
      <c r="AB31" t="e">
        <f t="shared" si="9"/>
        <v>#REF!</v>
      </c>
      <c r="AC31" t="e">
        <f t="shared" si="10"/>
        <v>#REF!</v>
      </c>
      <c r="AD31" t="e">
        <f t="shared" si="11"/>
        <v>#REF!</v>
      </c>
    </row>
    <row r="32" spans="1:30" x14ac:dyDescent="0.15">
      <c r="A32" t="e">
        <f>Experiment!#REF!</f>
        <v>#REF!</v>
      </c>
      <c r="B32" t="e">
        <f>((Experiment!#REF!+50)*(Experiment!#REF!-50)+(Experiment!#REF!^2))/((Experiment!#REF!+50)^2+(Experiment!#REF!^2))</f>
        <v>#REF!</v>
      </c>
      <c r="C32" t="e">
        <f>((Experiment!#REF!+50)*Experiment!#REF!-Experiment!#REF!*(Experiment!#REF!-50))/((Experiment!#REF!+50)^2+(Experiment!#REF!^2))</f>
        <v>#REF!</v>
      </c>
      <c r="D32" t="e">
        <f t="shared" si="1"/>
        <v>#REF!</v>
      </c>
      <c r="E32" t="e">
        <f t="shared" si="2"/>
        <v>#REF!</v>
      </c>
      <c r="F32" t="e">
        <f t="shared" si="3"/>
        <v>#REF!</v>
      </c>
      <c r="I32" t="e">
        <f>Experiment!#REF!</f>
        <v>#REF!</v>
      </c>
      <c r="J32" t="e">
        <f>((Experiment!#REF!+50)*(Experiment!#REF!-50)+(Experiment!#REF!^2))/((Experiment!#REF!+50)^2+(Experiment!#REF!^2))</f>
        <v>#REF!</v>
      </c>
      <c r="K32" t="e">
        <f>((Experiment!#REF!+50)*Experiment!#REF!-Experiment!#REF!*(Experiment!#REF!-50))/((Experiment!#REF!+50)^2+(Experiment!#REF!^2))</f>
        <v>#REF!</v>
      </c>
      <c r="L32" t="e">
        <f t="shared" si="4"/>
        <v>#REF!</v>
      </c>
      <c r="M32" t="e">
        <f t="shared" si="5"/>
        <v>#REF!</v>
      </c>
      <c r="N32" t="e">
        <f t="shared" si="6"/>
        <v>#REF!</v>
      </c>
      <c r="Q32">
        <f>Experiment!A32</f>
        <v>3200000</v>
      </c>
      <c r="R32">
        <f>((Experiment!D32+50)*(Experiment!D32-50)+(Experiment!E32^2))/((Experiment!D32+50)^2+(Experiment!E32^2))</f>
        <v>0.89773267713428606</v>
      </c>
      <c r="S32">
        <f>((Experiment!D32+50)*Experiment!E32-Experiment!E32*(Experiment!D32-50))/((Experiment!D32+50)^2+(Experiment!E32^2))</f>
        <v>-1.0033455306876458E-2</v>
      </c>
      <c r="T32" t="str">
        <f t="shared" si="7"/>
        <v>0.897732677134286-0.0100334553068765i</v>
      </c>
      <c r="U32">
        <f t="shared" si="0"/>
        <v>0.89778874453853974</v>
      </c>
      <c r="V32">
        <f t="shared" si="8"/>
        <v>0.9365168718805601</v>
      </c>
      <c r="Y32" t="e">
        <f>Experiment!#REF!</f>
        <v>#REF!</v>
      </c>
      <c r="Z32" t="e">
        <f>((Experiment!#REF!+50)*(Experiment!#REF!-50)+(Experiment!#REF!^2))/((Experiment!#REF!+50)^2+(Experiment!#REF!^2))</f>
        <v>#REF!</v>
      </c>
      <c r="AA32" t="e">
        <f>((Experiment!#REF!+50)*Experiment!#REF!-Experiment!#REF!*(Experiment!#REF!-50))/((Experiment!#REF!+50)^2+(Experiment!#REF!^2))</f>
        <v>#REF!</v>
      </c>
      <c r="AB32" t="e">
        <f t="shared" si="9"/>
        <v>#REF!</v>
      </c>
      <c r="AC32" t="e">
        <f t="shared" si="10"/>
        <v>#REF!</v>
      </c>
      <c r="AD32" t="e">
        <f t="shared" si="11"/>
        <v>#REF!</v>
      </c>
    </row>
    <row r="33" spans="1:30" x14ac:dyDescent="0.15">
      <c r="A33" t="e">
        <f>Experiment!#REF!</f>
        <v>#REF!</v>
      </c>
      <c r="B33" t="e">
        <f>((Experiment!#REF!+50)*(Experiment!#REF!-50)+(Experiment!#REF!^2))/((Experiment!#REF!+50)^2+(Experiment!#REF!^2))</f>
        <v>#REF!</v>
      </c>
      <c r="C33" t="e">
        <f>((Experiment!#REF!+50)*Experiment!#REF!-Experiment!#REF!*(Experiment!#REF!-50))/((Experiment!#REF!+50)^2+(Experiment!#REF!^2))</f>
        <v>#REF!</v>
      </c>
      <c r="D33" t="e">
        <f t="shared" si="1"/>
        <v>#REF!</v>
      </c>
      <c r="E33" t="e">
        <f t="shared" si="2"/>
        <v>#REF!</v>
      </c>
      <c r="F33" t="e">
        <f t="shared" si="3"/>
        <v>#REF!</v>
      </c>
      <c r="I33" t="e">
        <f>Experiment!#REF!</f>
        <v>#REF!</v>
      </c>
      <c r="J33" t="e">
        <f>((Experiment!#REF!+50)*(Experiment!#REF!-50)+(Experiment!#REF!^2))/((Experiment!#REF!+50)^2+(Experiment!#REF!^2))</f>
        <v>#REF!</v>
      </c>
      <c r="K33" t="e">
        <f>((Experiment!#REF!+50)*Experiment!#REF!-Experiment!#REF!*(Experiment!#REF!-50))/((Experiment!#REF!+50)^2+(Experiment!#REF!^2))</f>
        <v>#REF!</v>
      </c>
      <c r="L33" t="e">
        <f t="shared" si="4"/>
        <v>#REF!</v>
      </c>
      <c r="M33" t="e">
        <f t="shared" si="5"/>
        <v>#REF!</v>
      </c>
      <c r="N33" t="e">
        <f t="shared" si="6"/>
        <v>#REF!</v>
      </c>
      <c r="Q33">
        <f>Experiment!A33</f>
        <v>3300000</v>
      </c>
      <c r="R33">
        <f>((Experiment!D33+50)*(Experiment!D33-50)+(Experiment!E33^2))/((Experiment!D33+50)^2+(Experiment!E33^2))</f>
        <v>0.89771672046906903</v>
      </c>
      <c r="S33">
        <f>((Experiment!D33+50)*Experiment!E33-Experiment!E33*(Experiment!D33-50))/((Experiment!D33+50)^2+(Experiment!E33^2))</f>
        <v>-1.0365612788226911E-2</v>
      </c>
      <c r="T33" t="str">
        <f t="shared" si="7"/>
        <v>0.897716720469069-0.0103656127882269i</v>
      </c>
      <c r="U33">
        <f t="shared" si="0"/>
        <v>0.89777656247989457</v>
      </c>
      <c r="V33">
        <f t="shared" si="8"/>
        <v>0.93663473116035845</v>
      </c>
      <c r="Y33" t="e">
        <f>Experiment!#REF!</f>
        <v>#REF!</v>
      </c>
      <c r="Z33" t="e">
        <f>((Experiment!#REF!+50)*(Experiment!#REF!-50)+(Experiment!#REF!^2))/((Experiment!#REF!+50)^2+(Experiment!#REF!^2))</f>
        <v>#REF!</v>
      </c>
      <c r="AA33" t="e">
        <f>((Experiment!#REF!+50)*Experiment!#REF!-Experiment!#REF!*(Experiment!#REF!-50))/((Experiment!#REF!+50)^2+(Experiment!#REF!^2))</f>
        <v>#REF!</v>
      </c>
      <c r="AB33" t="e">
        <f t="shared" si="9"/>
        <v>#REF!</v>
      </c>
      <c r="AC33" t="e">
        <f t="shared" si="10"/>
        <v>#REF!</v>
      </c>
      <c r="AD33" t="e">
        <f t="shared" si="11"/>
        <v>#REF!</v>
      </c>
    </row>
    <row r="34" spans="1:30" x14ac:dyDescent="0.15">
      <c r="A34" t="e">
        <f>Experiment!#REF!</f>
        <v>#REF!</v>
      </c>
      <c r="B34" t="e">
        <f>((Experiment!#REF!+50)*(Experiment!#REF!-50)+(Experiment!#REF!^2))/((Experiment!#REF!+50)^2+(Experiment!#REF!^2))</f>
        <v>#REF!</v>
      </c>
      <c r="C34" t="e">
        <f>((Experiment!#REF!+50)*Experiment!#REF!-Experiment!#REF!*(Experiment!#REF!-50))/((Experiment!#REF!+50)^2+(Experiment!#REF!^2))</f>
        <v>#REF!</v>
      </c>
      <c r="D34" t="e">
        <f t="shared" si="1"/>
        <v>#REF!</v>
      </c>
      <c r="E34" t="e">
        <f t="shared" si="2"/>
        <v>#REF!</v>
      </c>
      <c r="F34" t="e">
        <f t="shared" si="3"/>
        <v>#REF!</v>
      </c>
      <c r="I34" t="e">
        <f>Experiment!#REF!</f>
        <v>#REF!</v>
      </c>
      <c r="J34" t="e">
        <f>((Experiment!#REF!+50)*(Experiment!#REF!-50)+(Experiment!#REF!^2))/((Experiment!#REF!+50)^2+(Experiment!#REF!^2))</f>
        <v>#REF!</v>
      </c>
      <c r="K34" t="e">
        <f>((Experiment!#REF!+50)*Experiment!#REF!-Experiment!#REF!*(Experiment!#REF!-50))/((Experiment!#REF!+50)^2+(Experiment!#REF!^2))</f>
        <v>#REF!</v>
      </c>
      <c r="L34" t="e">
        <f t="shared" si="4"/>
        <v>#REF!</v>
      </c>
      <c r="M34" t="e">
        <f t="shared" si="5"/>
        <v>#REF!</v>
      </c>
      <c r="N34" t="e">
        <f t="shared" si="6"/>
        <v>#REF!</v>
      </c>
      <c r="Q34">
        <f>Experiment!A34</f>
        <v>3500000</v>
      </c>
      <c r="R34">
        <f>((Experiment!D34+50)*(Experiment!D34-50)+(Experiment!E34^2))/((Experiment!D34+50)^2+(Experiment!E34^2))</f>
        <v>0.89778264367171279</v>
      </c>
      <c r="S34">
        <f>((Experiment!D34+50)*Experiment!E34-Experiment!E34*(Experiment!D34-50))/((Experiment!D34+50)^2+(Experiment!E34^2))</f>
        <v>-1.0926553553678454E-2</v>
      </c>
      <c r="T34" t="str">
        <f t="shared" si="7"/>
        <v>0.897782643671713-0.0109265535536785i</v>
      </c>
      <c r="U34">
        <f t="shared" si="0"/>
        <v>0.89784913256667509</v>
      </c>
      <c r="V34">
        <f t="shared" si="8"/>
        <v>0.93593265191646879</v>
      </c>
      <c r="Y34" t="e">
        <f>Experiment!#REF!</f>
        <v>#REF!</v>
      </c>
      <c r="Z34" t="e">
        <f>((Experiment!#REF!+50)*(Experiment!#REF!-50)+(Experiment!#REF!^2))/((Experiment!#REF!+50)^2+(Experiment!#REF!^2))</f>
        <v>#REF!</v>
      </c>
      <c r="AA34" t="e">
        <f>((Experiment!#REF!+50)*Experiment!#REF!-Experiment!#REF!*(Experiment!#REF!-50))/((Experiment!#REF!+50)^2+(Experiment!#REF!^2))</f>
        <v>#REF!</v>
      </c>
      <c r="AB34" t="e">
        <f t="shared" si="9"/>
        <v>#REF!</v>
      </c>
      <c r="AC34" t="e">
        <f t="shared" si="10"/>
        <v>#REF!</v>
      </c>
      <c r="AD34" t="e">
        <f t="shared" si="11"/>
        <v>#REF!</v>
      </c>
    </row>
    <row r="35" spans="1:30" x14ac:dyDescent="0.15">
      <c r="A35" t="e">
        <f>Experiment!#REF!</f>
        <v>#REF!</v>
      </c>
      <c r="B35" t="e">
        <f>((Experiment!#REF!+50)*(Experiment!#REF!-50)+(Experiment!#REF!^2))/((Experiment!#REF!+50)^2+(Experiment!#REF!^2))</f>
        <v>#REF!</v>
      </c>
      <c r="C35" t="e">
        <f>((Experiment!#REF!+50)*Experiment!#REF!-Experiment!#REF!*(Experiment!#REF!-50))/((Experiment!#REF!+50)^2+(Experiment!#REF!^2))</f>
        <v>#REF!</v>
      </c>
      <c r="D35" t="e">
        <f t="shared" si="1"/>
        <v>#REF!</v>
      </c>
      <c r="E35" t="e">
        <f t="shared" si="2"/>
        <v>#REF!</v>
      </c>
      <c r="F35" t="e">
        <f t="shared" si="3"/>
        <v>#REF!</v>
      </c>
      <c r="I35" t="e">
        <f>Experiment!#REF!</f>
        <v>#REF!</v>
      </c>
      <c r="J35" t="e">
        <f>((Experiment!#REF!+50)*(Experiment!#REF!-50)+(Experiment!#REF!^2))/((Experiment!#REF!+50)^2+(Experiment!#REF!^2))</f>
        <v>#REF!</v>
      </c>
      <c r="K35" t="e">
        <f>((Experiment!#REF!+50)*Experiment!#REF!-Experiment!#REF!*(Experiment!#REF!-50))/((Experiment!#REF!+50)^2+(Experiment!#REF!^2))</f>
        <v>#REF!</v>
      </c>
      <c r="L35" t="e">
        <f t="shared" si="4"/>
        <v>#REF!</v>
      </c>
      <c r="M35" t="e">
        <f t="shared" si="5"/>
        <v>#REF!</v>
      </c>
      <c r="N35" t="e">
        <f t="shared" si="6"/>
        <v>#REF!</v>
      </c>
      <c r="Q35">
        <f>Experiment!A35</f>
        <v>3600000</v>
      </c>
      <c r="R35">
        <f>((Experiment!D35+50)*(Experiment!D35-50)+(Experiment!E35^2))/((Experiment!D35+50)^2+(Experiment!E35^2))</f>
        <v>0.89775566020155007</v>
      </c>
      <c r="S35">
        <f>((Experiment!D35+50)*Experiment!E35-Experiment!E35*(Experiment!D35-50))/((Experiment!D35+50)^2+(Experiment!E35^2))</f>
        <v>-1.1126691340798958E-2</v>
      </c>
      <c r="T35" t="str">
        <f t="shared" si="7"/>
        <v>0.89775566020155-0.011126691340799i</v>
      </c>
      <c r="U35">
        <f t="shared" ref="U35:U66" si="12">SQRT(R35^2+S35^2)</f>
        <v>0.89782460908805262</v>
      </c>
      <c r="V35">
        <f t="shared" si="8"/>
        <v>0.93616989794165506</v>
      </c>
      <c r="Y35" t="e">
        <f>Experiment!#REF!</f>
        <v>#REF!</v>
      </c>
      <c r="Z35" t="e">
        <f>((Experiment!#REF!+50)*(Experiment!#REF!-50)+(Experiment!#REF!^2))/((Experiment!#REF!+50)^2+(Experiment!#REF!^2))</f>
        <v>#REF!</v>
      </c>
      <c r="AA35" t="e">
        <f>((Experiment!#REF!+50)*Experiment!#REF!-Experiment!#REF!*(Experiment!#REF!-50))/((Experiment!#REF!+50)^2+(Experiment!#REF!^2))</f>
        <v>#REF!</v>
      </c>
      <c r="AB35" t="e">
        <f t="shared" si="9"/>
        <v>#REF!</v>
      </c>
      <c r="AC35" t="e">
        <f t="shared" si="10"/>
        <v>#REF!</v>
      </c>
      <c r="AD35" t="e">
        <f t="shared" si="11"/>
        <v>#REF!</v>
      </c>
    </row>
    <row r="36" spans="1:30" x14ac:dyDescent="0.15">
      <c r="A36" t="e">
        <f>Experiment!#REF!</f>
        <v>#REF!</v>
      </c>
      <c r="B36" t="e">
        <f>((Experiment!#REF!+50)*(Experiment!#REF!-50)+(Experiment!#REF!^2))/((Experiment!#REF!+50)^2+(Experiment!#REF!^2))</f>
        <v>#REF!</v>
      </c>
      <c r="C36" t="e">
        <f>((Experiment!#REF!+50)*Experiment!#REF!-Experiment!#REF!*(Experiment!#REF!-50))/((Experiment!#REF!+50)^2+(Experiment!#REF!^2))</f>
        <v>#REF!</v>
      </c>
      <c r="D36" t="e">
        <f t="shared" si="1"/>
        <v>#REF!</v>
      </c>
      <c r="E36" t="e">
        <f t="shared" si="2"/>
        <v>#REF!</v>
      </c>
      <c r="F36" t="e">
        <f t="shared" si="3"/>
        <v>#REF!</v>
      </c>
      <c r="I36" t="e">
        <f>Experiment!#REF!</f>
        <v>#REF!</v>
      </c>
      <c r="J36" t="e">
        <f>((Experiment!#REF!+50)*(Experiment!#REF!-50)+(Experiment!#REF!^2))/((Experiment!#REF!+50)^2+(Experiment!#REF!^2))</f>
        <v>#REF!</v>
      </c>
      <c r="K36" t="e">
        <f>((Experiment!#REF!+50)*Experiment!#REF!-Experiment!#REF!*(Experiment!#REF!-50))/((Experiment!#REF!+50)^2+(Experiment!#REF!^2))</f>
        <v>#REF!</v>
      </c>
      <c r="L36" t="e">
        <f t="shared" si="4"/>
        <v>#REF!</v>
      </c>
      <c r="M36" t="e">
        <f t="shared" si="5"/>
        <v>#REF!</v>
      </c>
      <c r="N36" t="e">
        <f t="shared" si="6"/>
        <v>#REF!</v>
      </c>
      <c r="Q36">
        <f>Experiment!A36</f>
        <v>3800000</v>
      </c>
      <c r="R36">
        <f>((Experiment!D36+50)*(Experiment!D36-50)+(Experiment!E36^2))/((Experiment!D36+50)^2+(Experiment!E36^2))</f>
        <v>0.89778925524781672</v>
      </c>
      <c r="S36">
        <f>((Experiment!D36+50)*Experiment!E36-Experiment!E36*(Experiment!D36-50))/((Experiment!D36+50)^2+(Experiment!E36^2))</f>
        <v>-1.1818259290019907E-2</v>
      </c>
      <c r="T36" t="str">
        <f t="shared" si="7"/>
        <v>0.897789255247817-0.0118182592900199i</v>
      </c>
      <c r="U36">
        <f t="shared" si="12"/>
        <v>0.89786703809142898</v>
      </c>
      <c r="V36">
        <f t="shared" si="8"/>
        <v>0.9357594336601871</v>
      </c>
      <c r="Y36" t="e">
        <f>Experiment!#REF!</f>
        <v>#REF!</v>
      </c>
      <c r="Z36" t="e">
        <f>((Experiment!#REF!+50)*(Experiment!#REF!-50)+(Experiment!#REF!^2))/((Experiment!#REF!+50)^2+(Experiment!#REF!^2))</f>
        <v>#REF!</v>
      </c>
      <c r="AA36" t="e">
        <f>((Experiment!#REF!+50)*Experiment!#REF!-Experiment!#REF!*(Experiment!#REF!-50))/((Experiment!#REF!+50)^2+(Experiment!#REF!^2))</f>
        <v>#REF!</v>
      </c>
      <c r="AB36" t="e">
        <f t="shared" si="9"/>
        <v>#REF!</v>
      </c>
      <c r="AC36" t="e">
        <f t="shared" si="10"/>
        <v>#REF!</v>
      </c>
      <c r="AD36" t="e">
        <f t="shared" si="11"/>
        <v>#REF!</v>
      </c>
    </row>
    <row r="37" spans="1:30" x14ac:dyDescent="0.15">
      <c r="A37" t="e">
        <f>Experiment!#REF!</f>
        <v>#REF!</v>
      </c>
      <c r="B37" t="e">
        <f>((Experiment!#REF!+50)*(Experiment!#REF!-50)+(Experiment!#REF!^2))/((Experiment!#REF!+50)^2+(Experiment!#REF!^2))</f>
        <v>#REF!</v>
      </c>
      <c r="C37" t="e">
        <f>((Experiment!#REF!+50)*Experiment!#REF!-Experiment!#REF!*(Experiment!#REF!-50))/((Experiment!#REF!+50)^2+(Experiment!#REF!^2))</f>
        <v>#REF!</v>
      </c>
      <c r="D37" t="e">
        <f t="shared" si="1"/>
        <v>#REF!</v>
      </c>
      <c r="E37" t="e">
        <f t="shared" si="2"/>
        <v>#REF!</v>
      </c>
      <c r="F37" t="e">
        <f t="shared" si="3"/>
        <v>#REF!</v>
      </c>
      <c r="I37" t="e">
        <f>Experiment!#REF!</f>
        <v>#REF!</v>
      </c>
      <c r="J37" t="e">
        <f>((Experiment!#REF!+50)*(Experiment!#REF!-50)+(Experiment!#REF!^2))/((Experiment!#REF!+50)^2+(Experiment!#REF!^2))</f>
        <v>#REF!</v>
      </c>
      <c r="K37" t="e">
        <f>((Experiment!#REF!+50)*Experiment!#REF!-Experiment!#REF!*(Experiment!#REF!-50))/((Experiment!#REF!+50)^2+(Experiment!#REF!^2))</f>
        <v>#REF!</v>
      </c>
      <c r="L37" t="e">
        <f t="shared" si="4"/>
        <v>#REF!</v>
      </c>
      <c r="M37" t="e">
        <f t="shared" si="5"/>
        <v>#REF!</v>
      </c>
      <c r="N37" t="e">
        <f t="shared" si="6"/>
        <v>#REF!</v>
      </c>
      <c r="Q37">
        <f>Experiment!A37</f>
        <v>3900000</v>
      </c>
      <c r="R37">
        <f>((Experiment!D37+50)*(Experiment!D37-50)+(Experiment!E37^2))/((Experiment!D37+50)^2+(Experiment!E37^2))</f>
        <v>0.89770801489191776</v>
      </c>
      <c r="S37">
        <f>((Experiment!D37+50)*Experiment!E37-Experiment!E37*(Experiment!D37-50))/((Experiment!D37+50)^2+(Experiment!E37^2))</f>
        <v>-1.2126221087071528E-2</v>
      </c>
      <c r="T37" t="str">
        <f t="shared" si="7"/>
        <v>0.897708014891918-0.0121262210870715i</v>
      </c>
      <c r="U37">
        <f t="shared" si="12"/>
        <v>0.89778991152665566</v>
      </c>
      <c r="V37">
        <f t="shared" si="8"/>
        <v>0.93650558155924835</v>
      </c>
      <c r="Y37" t="e">
        <f>Experiment!#REF!</f>
        <v>#REF!</v>
      </c>
      <c r="Z37" t="e">
        <f>((Experiment!#REF!+50)*(Experiment!#REF!-50)+(Experiment!#REF!^2))/((Experiment!#REF!+50)^2+(Experiment!#REF!^2))</f>
        <v>#REF!</v>
      </c>
      <c r="AA37" t="e">
        <f>((Experiment!#REF!+50)*Experiment!#REF!-Experiment!#REF!*(Experiment!#REF!-50))/((Experiment!#REF!+50)^2+(Experiment!#REF!^2))</f>
        <v>#REF!</v>
      </c>
      <c r="AB37" t="e">
        <f t="shared" si="9"/>
        <v>#REF!</v>
      </c>
      <c r="AC37" t="e">
        <f t="shared" si="10"/>
        <v>#REF!</v>
      </c>
      <c r="AD37" t="e">
        <f t="shared" si="11"/>
        <v>#REF!</v>
      </c>
    </row>
    <row r="38" spans="1:30" x14ac:dyDescent="0.15">
      <c r="A38" t="e">
        <f>Experiment!#REF!</f>
        <v>#REF!</v>
      </c>
      <c r="B38" t="e">
        <f>((Experiment!#REF!+50)*(Experiment!#REF!-50)+(Experiment!#REF!^2))/((Experiment!#REF!+50)^2+(Experiment!#REF!^2))</f>
        <v>#REF!</v>
      </c>
      <c r="C38" t="e">
        <f>((Experiment!#REF!+50)*Experiment!#REF!-Experiment!#REF!*(Experiment!#REF!-50))/((Experiment!#REF!+50)^2+(Experiment!#REF!^2))</f>
        <v>#REF!</v>
      </c>
      <c r="D38" t="e">
        <f t="shared" si="1"/>
        <v>#REF!</v>
      </c>
      <c r="E38" t="e">
        <f t="shared" si="2"/>
        <v>#REF!</v>
      </c>
      <c r="F38" t="e">
        <f t="shared" si="3"/>
        <v>#REF!</v>
      </c>
      <c r="I38" t="e">
        <f>Experiment!#REF!</f>
        <v>#REF!</v>
      </c>
      <c r="J38" t="e">
        <f>((Experiment!#REF!+50)*(Experiment!#REF!-50)+(Experiment!#REF!^2))/((Experiment!#REF!+50)^2+(Experiment!#REF!^2))</f>
        <v>#REF!</v>
      </c>
      <c r="K38" t="e">
        <f>((Experiment!#REF!+50)*Experiment!#REF!-Experiment!#REF!*(Experiment!#REF!-50))/((Experiment!#REF!+50)^2+(Experiment!#REF!^2))</f>
        <v>#REF!</v>
      </c>
      <c r="L38" t="e">
        <f t="shared" si="4"/>
        <v>#REF!</v>
      </c>
      <c r="M38" t="e">
        <f t="shared" si="5"/>
        <v>#REF!</v>
      </c>
      <c r="N38" t="e">
        <f t="shared" si="6"/>
        <v>#REF!</v>
      </c>
      <c r="Q38">
        <f>Experiment!A38</f>
        <v>4099999.9999999995</v>
      </c>
      <c r="R38">
        <f>((Experiment!D38+50)*(Experiment!D38-50)+(Experiment!E38^2))/((Experiment!D38+50)^2+(Experiment!E38^2))</f>
        <v>0.89771473760925091</v>
      </c>
      <c r="S38">
        <f>((Experiment!D38+50)*Experiment!E38-Experiment!E38*(Experiment!D38-50))/((Experiment!D38+50)^2+(Experiment!E38^2))</f>
        <v>-1.2700377054708048E-2</v>
      </c>
      <c r="T38" t="str">
        <f t="shared" si="7"/>
        <v>0.897714737609251-0.012700377054708i</v>
      </c>
      <c r="U38">
        <f t="shared" si="12"/>
        <v>0.89780457210808307</v>
      </c>
      <c r="V38">
        <f t="shared" si="8"/>
        <v>0.93636374531117372</v>
      </c>
      <c r="Y38" t="e">
        <f>Experiment!#REF!</f>
        <v>#REF!</v>
      </c>
      <c r="Z38" t="e">
        <f>((Experiment!#REF!+50)*(Experiment!#REF!-50)+(Experiment!#REF!^2))/((Experiment!#REF!+50)^2+(Experiment!#REF!^2))</f>
        <v>#REF!</v>
      </c>
      <c r="AA38" t="e">
        <f>((Experiment!#REF!+50)*Experiment!#REF!-Experiment!#REF!*(Experiment!#REF!-50))/((Experiment!#REF!+50)^2+(Experiment!#REF!^2))</f>
        <v>#REF!</v>
      </c>
      <c r="AB38" t="e">
        <f t="shared" si="9"/>
        <v>#REF!</v>
      </c>
      <c r="AC38" t="e">
        <f t="shared" si="10"/>
        <v>#REF!</v>
      </c>
      <c r="AD38" t="e">
        <f t="shared" si="11"/>
        <v>#REF!</v>
      </c>
    </row>
    <row r="39" spans="1:30" x14ac:dyDescent="0.15">
      <c r="A39" t="e">
        <f>Experiment!#REF!</f>
        <v>#REF!</v>
      </c>
      <c r="B39" t="e">
        <f>((Experiment!#REF!+50)*(Experiment!#REF!-50)+(Experiment!#REF!^2))/((Experiment!#REF!+50)^2+(Experiment!#REF!^2))</f>
        <v>#REF!</v>
      </c>
      <c r="C39" t="e">
        <f>((Experiment!#REF!+50)*Experiment!#REF!-Experiment!#REF!*(Experiment!#REF!-50))/((Experiment!#REF!+50)^2+(Experiment!#REF!^2))</f>
        <v>#REF!</v>
      </c>
      <c r="D39" t="e">
        <f t="shared" si="1"/>
        <v>#REF!</v>
      </c>
      <c r="E39" t="e">
        <f t="shared" si="2"/>
        <v>#REF!</v>
      </c>
      <c r="F39" t="e">
        <f t="shared" si="3"/>
        <v>#REF!</v>
      </c>
      <c r="I39" t="e">
        <f>Experiment!#REF!</f>
        <v>#REF!</v>
      </c>
      <c r="J39" t="e">
        <f>((Experiment!#REF!+50)*(Experiment!#REF!-50)+(Experiment!#REF!^2))/((Experiment!#REF!+50)^2+(Experiment!#REF!^2))</f>
        <v>#REF!</v>
      </c>
      <c r="K39" t="e">
        <f>((Experiment!#REF!+50)*Experiment!#REF!-Experiment!#REF!*(Experiment!#REF!-50))/((Experiment!#REF!+50)^2+(Experiment!#REF!^2))</f>
        <v>#REF!</v>
      </c>
      <c r="L39" t="e">
        <f t="shared" si="4"/>
        <v>#REF!</v>
      </c>
      <c r="M39" t="e">
        <f t="shared" si="5"/>
        <v>#REF!</v>
      </c>
      <c r="N39" t="e">
        <f t="shared" si="6"/>
        <v>#REF!</v>
      </c>
      <c r="Q39">
        <f>Experiment!A39</f>
        <v>4300000</v>
      </c>
      <c r="R39">
        <f>((Experiment!D39+50)*(Experiment!D39-50)+(Experiment!E39^2))/((Experiment!D39+50)^2+(Experiment!E39^2))</f>
        <v>0.89770173017905219</v>
      </c>
      <c r="S39">
        <f>((Experiment!D39+50)*Experiment!E39-Experiment!E39*(Experiment!D39-50))/((Experiment!D39+50)^2+(Experiment!E39^2))</f>
        <v>-1.3292894508087844E-2</v>
      </c>
      <c r="T39" t="str">
        <f t="shared" si="7"/>
        <v>0.897701730179052-0.0132928945080878i</v>
      </c>
      <c r="U39">
        <f t="shared" si="12"/>
        <v>0.89780014335645264</v>
      </c>
      <c r="V39">
        <f t="shared" si="8"/>
        <v>0.93640659176570251</v>
      </c>
      <c r="Y39" t="e">
        <f>Experiment!#REF!</f>
        <v>#REF!</v>
      </c>
      <c r="Z39" t="e">
        <f>((Experiment!#REF!+50)*(Experiment!#REF!-50)+(Experiment!#REF!^2))/((Experiment!#REF!+50)^2+(Experiment!#REF!^2))</f>
        <v>#REF!</v>
      </c>
      <c r="AA39" t="e">
        <f>((Experiment!#REF!+50)*Experiment!#REF!-Experiment!#REF!*(Experiment!#REF!-50))/((Experiment!#REF!+50)^2+(Experiment!#REF!^2))</f>
        <v>#REF!</v>
      </c>
      <c r="AB39" t="e">
        <f t="shared" si="9"/>
        <v>#REF!</v>
      </c>
      <c r="AC39" t="e">
        <f t="shared" si="10"/>
        <v>#REF!</v>
      </c>
      <c r="AD39" t="e">
        <f t="shared" si="11"/>
        <v>#REF!</v>
      </c>
    </row>
    <row r="40" spans="1:30" x14ac:dyDescent="0.15">
      <c r="A40" t="e">
        <f>Experiment!#REF!</f>
        <v>#REF!</v>
      </c>
      <c r="B40" t="e">
        <f>((Experiment!#REF!+50)*(Experiment!#REF!-50)+(Experiment!#REF!^2))/((Experiment!#REF!+50)^2+(Experiment!#REF!^2))</f>
        <v>#REF!</v>
      </c>
      <c r="C40" t="e">
        <f>((Experiment!#REF!+50)*Experiment!#REF!-Experiment!#REF!*(Experiment!#REF!-50))/((Experiment!#REF!+50)^2+(Experiment!#REF!^2))</f>
        <v>#REF!</v>
      </c>
      <c r="D40" t="e">
        <f t="shared" si="1"/>
        <v>#REF!</v>
      </c>
      <c r="E40" t="e">
        <f t="shared" si="2"/>
        <v>#REF!</v>
      </c>
      <c r="F40" t="e">
        <f t="shared" si="3"/>
        <v>#REF!</v>
      </c>
      <c r="I40" t="e">
        <f>Experiment!#REF!</f>
        <v>#REF!</v>
      </c>
      <c r="J40" t="e">
        <f>((Experiment!#REF!+50)*(Experiment!#REF!-50)+(Experiment!#REF!^2))/((Experiment!#REF!+50)^2+(Experiment!#REF!^2))</f>
        <v>#REF!</v>
      </c>
      <c r="K40" t="e">
        <f>((Experiment!#REF!+50)*Experiment!#REF!-Experiment!#REF!*(Experiment!#REF!-50))/((Experiment!#REF!+50)^2+(Experiment!#REF!^2))</f>
        <v>#REF!</v>
      </c>
      <c r="L40" t="e">
        <f t="shared" si="4"/>
        <v>#REF!</v>
      </c>
      <c r="M40" t="e">
        <f t="shared" si="5"/>
        <v>#REF!</v>
      </c>
      <c r="N40" t="e">
        <f t="shared" si="6"/>
        <v>#REF!</v>
      </c>
      <c r="Q40">
        <f>Experiment!A40</f>
        <v>4400000</v>
      </c>
      <c r="R40">
        <f>((Experiment!D40+50)*(Experiment!D40-50)+(Experiment!E40^2))/((Experiment!D40+50)^2+(Experiment!E40^2))</f>
        <v>0.89763194407910085</v>
      </c>
      <c r="S40">
        <f>((Experiment!D40+50)*Experiment!E40-Experiment!E40*(Experiment!D40-50))/((Experiment!D40+50)^2+(Experiment!E40^2))</f>
        <v>-1.3605883550078737E-2</v>
      </c>
      <c r="T40" t="str">
        <f t="shared" si="7"/>
        <v>0.897631944079101-0.0136058835500787i</v>
      </c>
      <c r="U40">
        <f t="shared" si="12"/>
        <v>0.8977350539543415</v>
      </c>
      <c r="V40">
        <f t="shared" si="8"/>
        <v>0.9370363308701648</v>
      </c>
      <c r="Y40" t="e">
        <f>Experiment!#REF!</f>
        <v>#REF!</v>
      </c>
      <c r="Z40" t="e">
        <f>((Experiment!#REF!+50)*(Experiment!#REF!-50)+(Experiment!#REF!^2))/((Experiment!#REF!+50)^2+(Experiment!#REF!^2))</f>
        <v>#REF!</v>
      </c>
      <c r="AA40" t="e">
        <f>((Experiment!#REF!+50)*Experiment!#REF!-Experiment!#REF!*(Experiment!#REF!-50))/((Experiment!#REF!+50)^2+(Experiment!#REF!^2))</f>
        <v>#REF!</v>
      </c>
      <c r="AB40" t="e">
        <f t="shared" si="9"/>
        <v>#REF!</v>
      </c>
      <c r="AC40" t="e">
        <f t="shared" si="10"/>
        <v>#REF!</v>
      </c>
      <c r="AD40" t="e">
        <f t="shared" si="11"/>
        <v>#REF!</v>
      </c>
    </row>
    <row r="41" spans="1:30" x14ac:dyDescent="0.15">
      <c r="A41" t="e">
        <f>Experiment!#REF!</f>
        <v>#REF!</v>
      </c>
      <c r="B41" t="e">
        <f>((Experiment!#REF!+50)*(Experiment!#REF!-50)+(Experiment!#REF!^2))/((Experiment!#REF!+50)^2+(Experiment!#REF!^2))</f>
        <v>#REF!</v>
      </c>
      <c r="C41" t="e">
        <f>((Experiment!#REF!+50)*Experiment!#REF!-Experiment!#REF!*(Experiment!#REF!-50))/((Experiment!#REF!+50)^2+(Experiment!#REF!^2))</f>
        <v>#REF!</v>
      </c>
      <c r="D41" t="e">
        <f t="shared" si="1"/>
        <v>#REF!</v>
      </c>
      <c r="E41" t="e">
        <f t="shared" si="2"/>
        <v>#REF!</v>
      </c>
      <c r="F41" t="e">
        <f t="shared" si="3"/>
        <v>#REF!</v>
      </c>
      <c r="I41" t="e">
        <f>Experiment!#REF!</f>
        <v>#REF!</v>
      </c>
      <c r="J41" t="e">
        <f>((Experiment!#REF!+50)*(Experiment!#REF!-50)+(Experiment!#REF!^2))/((Experiment!#REF!+50)^2+(Experiment!#REF!^2))</f>
        <v>#REF!</v>
      </c>
      <c r="K41" t="e">
        <f>((Experiment!#REF!+50)*Experiment!#REF!-Experiment!#REF!*(Experiment!#REF!-50))/((Experiment!#REF!+50)^2+(Experiment!#REF!^2))</f>
        <v>#REF!</v>
      </c>
      <c r="L41" t="e">
        <f t="shared" si="4"/>
        <v>#REF!</v>
      </c>
      <c r="M41" t="e">
        <f t="shared" si="5"/>
        <v>#REF!</v>
      </c>
      <c r="N41" t="e">
        <f t="shared" si="6"/>
        <v>#REF!</v>
      </c>
      <c r="Q41">
        <f>Experiment!A41</f>
        <v>4600000</v>
      </c>
      <c r="R41">
        <f>((Experiment!D41+50)*(Experiment!D41-50)+(Experiment!E41^2))/((Experiment!D41+50)^2+(Experiment!E41^2))</f>
        <v>0.89767528860815871</v>
      </c>
      <c r="S41">
        <f>((Experiment!D41+50)*Experiment!E41-Experiment!E41*(Experiment!D41-50))/((Experiment!D41+50)^2+(Experiment!E41^2))</f>
        <v>-1.4225441362768597E-2</v>
      </c>
      <c r="T41" t="str">
        <f t="shared" si="7"/>
        <v>0.897675288608159-0.0142254413627686i</v>
      </c>
      <c r="U41">
        <f t="shared" si="12"/>
        <v>0.89778799666720122</v>
      </c>
      <c r="V41">
        <f t="shared" si="8"/>
        <v>0.93652410735845515</v>
      </c>
      <c r="Y41" t="e">
        <f>Experiment!#REF!</f>
        <v>#REF!</v>
      </c>
      <c r="Z41" t="e">
        <f>((Experiment!#REF!+50)*(Experiment!#REF!-50)+(Experiment!#REF!^2))/((Experiment!#REF!+50)^2+(Experiment!#REF!^2))</f>
        <v>#REF!</v>
      </c>
      <c r="AA41" t="e">
        <f>((Experiment!#REF!+50)*Experiment!#REF!-Experiment!#REF!*(Experiment!#REF!-50))/((Experiment!#REF!+50)^2+(Experiment!#REF!^2))</f>
        <v>#REF!</v>
      </c>
      <c r="AB41" t="e">
        <f t="shared" si="9"/>
        <v>#REF!</v>
      </c>
      <c r="AC41" t="e">
        <f t="shared" si="10"/>
        <v>#REF!</v>
      </c>
      <c r="AD41" t="e">
        <f t="shared" si="11"/>
        <v>#REF!</v>
      </c>
    </row>
    <row r="42" spans="1:30" x14ac:dyDescent="0.15">
      <c r="A42" t="e">
        <f>Experiment!#REF!</f>
        <v>#REF!</v>
      </c>
      <c r="B42" t="e">
        <f>((Experiment!#REF!+50)*(Experiment!#REF!-50)+(Experiment!#REF!^2))/((Experiment!#REF!+50)^2+(Experiment!#REF!^2))</f>
        <v>#REF!</v>
      </c>
      <c r="C42" t="e">
        <f>((Experiment!#REF!+50)*Experiment!#REF!-Experiment!#REF!*(Experiment!#REF!-50))/((Experiment!#REF!+50)^2+(Experiment!#REF!^2))</f>
        <v>#REF!</v>
      </c>
      <c r="D42" t="e">
        <f t="shared" si="1"/>
        <v>#REF!</v>
      </c>
      <c r="E42" t="e">
        <f t="shared" si="2"/>
        <v>#REF!</v>
      </c>
      <c r="F42" t="e">
        <f t="shared" si="3"/>
        <v>#REF!</v>
      </c>
      <c r="I42" t="e">
        <f>Experiment!#REF!</f>
        <v>#REF!</v>
      </c>
      <c r="J42" t="e">
        <f>((Experiment!#REF!+50)*(Experiment!#REF!-50)+(Experiment!#REF!^2))/((Experiment!#REF!+50)^2+(Experiment!#REF!^2))</f>
        <v>#REF!</v>
      </c>
      <c r="K42" t="e">
        <f>((Experiment!#REF!+50)*Experiment!#REF!-Experiment!#REF!*(Experiment!#REF!-50))/((Experiment!#REF!+50)^2+(Experiment!#REF!^2))</f>
        <v>#REF!</v>
      </c>
      <c r="L42" t="e">
        <f t="shared" si="4"/>
        <v>#REF!</v>
      </c>
      <c r="M42" t="e">
        <f t="shared" si="5"/>
        <v>#REF!</v>
      </c>
      <c r="N42" t="e">
        <f t="shared" si="6"/>
        <v>#REF!</v>
      </c>
      <c r="Q42">
        <f>Experiment!A42</f>
        <v>4800000</v>
      </c>
      <c r="R42">
        <f>((Experiment!D42+50)*(Experiment!D42-50)+(Experiment!E42^2))/((Experiment!D42+50)^2+(Experiment!E42^2))</f>
        <v>0.89770601335561873</v>
      </c>
      <c r="S42">
        <f>((Experiment!D42+50)*Experiment!E42-Experiment!E42*(Experiment!D42-50))/((Experiment!D42+50)^2+(Experiment!E42^2))</f>
        <v>-1.4820324178358261E-2</v>
      </c>
      <c r="T42" t="str">
        <f t="shared" si="7"/>
        <v>0.897706013355619-0.0148203241783583i</v>
      </c>
      <c r="U42">
        <f t="shared" si="12"/>
        <v>0.89782834017622215</v>
      </c>
      <c r="V42">
        <f t="shared" si="8"/>
        <v>0.93613380208016483</v>
      </c>
      <c r="Y42" t="e">
        <f>Experiment!#REF!</f>
        <v>#REF!</v>
      </c>
      <c r="Z42" t="e">
        <f>((Experiment!#REF!+50)*(Experiment!#REF!-50)+(Experiment!#REF!^2))/((Experiment!#REF!+50)^2+(Experiment!#REF!^2))</f>
        <v>#REF!</v>
      </c>
      <c r="AA42" t="e">
        <f>((Experiment!#REF!+50)*Experiment!#REF!-Experiment!#REF!*(Experiment!#REF!-50))/((Experiment!#REF!+50)^2+(Experiment!#REF!^2))</f>
        <v>#REF!</v>
      </c>
      <c r="AB42" t="e">
        <f t="shared" si="9"/>
        <v>#REF!</v>
      </c>
      <c r="AC42" t="e">
        <f t="shared" si="10"/>
        <v>#REF!</v>
      </c>
      <c r="AD42" t="e">
        <f t="shared" si="11"/>
        <v>#REF!</v>
      </c>
    </row>
    <row r="43" spans="1:30" x14ac:dyDescent="0.15">
      <c r="A43" t="e">
        <f>Experiment!#REF!</f>
        <v>#REF!</v>
      </c>
      <c r="B43" t="e">
        <f>((Experiment!#REF!+50)*(Experiment!#REF!-50)+(Experiment!#REF!^2))/((Experiment!#REF!+50)^2+(Experiment!#REF!^2))</f>
        <v>#REF!</v>
      </c>
      <c r="C43" t="e">
        <f>((Experiment!#REF!+50)*Experiment!#REF!-Experiment!#REF!*(Experiment!#REF!-50))/((Experiment!#REF!+50)^2+(Experiment!#REF!^2))</f>
        <v>#REF!</v>
      </c>
      <c r="D43" t="e">
        <f t="shared" si="1"/>
        <v>#REF!</v>
      </c>
      <c r="E43" t="e">
        <f t="shared" si="2"/>
        <v>#REF!</v>
      </c>
      <c r="F43" t="e">
        <f t="shared" si="3"/>
        <v>#REF!</v>
      </c>
      <c r="I43" t="e">
        <f>Experiment!#REF!</f>
        <v>#REF!</v>
      </c>
      <c r="J43" t="e">
        <f>((Experiment!#REF!+50)*(Experiment!#REF!-50)+(Experiment!#REF!^2))/((Experiment!#REF!+50)^2+(Experiment!#REF!^2))</f>
        <v>#REF!</v>
      </c>
      <c r="K43" t="e">
        <f>((Experiment!#REF!+50)*Experiment!#REF!-Experiment!#REF!*(Experiment!#REF!-50))/((Experiment!#REF!+50)^2+(Experiment!#REF!^2))</f>
        <v>#REF!</v>
      </c>
      <c r="L43" t="e">
        <f t="shared" si="4"/>
        <v>#REF!</v>
      </c>
      <c r="M43" t="e">
        <f t="shared" si="5"/>
        <v>#REF!</v>
      </c>
      <c r="N43" t="e">
        <f t="shared" si="6"/>
        <v>#REF!</v>
      </c>
      <c r="Q43">
        <f>Experiment!A43</f>
        <v>5000000</v>
      </c>
      <c r="R43">
        <f>((Experiment!D43+50)*(Experiment!D43-50)+(Experiment!E43^2))/((Experiment!D43+50)^2+(Experiment!E43^2))</f>
        <v>0.89765108944075522</v>
      </c>
      <c r="S43">
        <f>((Experiment!D43+50)*Experiment!E43-Experiment!E43*(Experiment!D43-50))/((Experiment!D43+50)^2+(Experiment!E43^2))</f>
        <v>-1.5493425541082828E-2</v>
      </c>
      <c r="T43" t="str">
        <f t="shared" si="7"/>
        <v>0.897651089440755-0.0154934255410828i</v>
      </c>
      <c r="U43">
        <f t="shared" si="12"/>
        <v>0.89778478746811685</v>
      </c>
      <c r="V43">
        <f t="shared" si="8"/>
        <v>0.93655515566718384</v>
      </c>
      <c r="Y43" t="e">
        <f>Experiment!#REF!</f>
        <v>#REF!</v>
      </c>
      <c r="Z43" t="e">
        <f>((Experiment!#REF!+50)*(Experiment!#REF!-50)+(Experiment!#REF!^2))/((Experiment!#REF!+50)^2+(Experiment!#REF!^2))</f>
        <v>#REF!</v>
      </c>
      <c r="AA43" t="e">
        <f>((Experiment!#REF!+50)*Experiment!#REF!-Experiment!#REF!*(Experiment!#REF!-50))/((Experiment!#REF!+50)^2+(Experiment!#REF!^2))</f>
        <v>#REF!</v>
      </c>
      <c r="AB43" t="e">
        <f t="shared" si="9"/>
        <v>#REF!</v>
      </c>
      <c r="AC43" t="e">
        <f t="shared" si="10"/>
        <v>#REF!</v>
      </c>
      <c r="AD43" t="e">
        <f t="shared" si="11"/>
        <v>#REF!</v>
      </c>
    </row>
    <row r="44" spans="1:30" x14ac:dyDescent="0.15">
      <c r="A44" t="e">
        <f>Experiment!#REF!</f>
        <v>#REF!</v>
      </c>
      <c r="B44" t="e">
        <f>((Experiment!#REF!+50)*(Experiment!#REF!-50)+(Experiment!#REF!^2))/((Experiment!#REF!+50)^2+(Experiment!#REF!^2))</f>
        <v>#REF!</v>
      </c>
      <c r="C44" t="e">
        <f>((Experiment!#REF!+50)*Experiment!#REF!-Experiment!#REF!*(Experiment!#REF!-50))/((Experiment!#REF!+50)^2+(Experiment!#REF!^2))</f>
        <v>#REF!</v>
      </c>
      <c r="D44" t="e">
        <f t="shared" si="1"/>
        <v>#REF!</v>
      </c>
      <c r="E44" t="e">
        <f t="shared" si="2"/>
        <v>#REF!</v>
      </c>
      <c r="F44" t="e">
        <f t="shared" si="3"/>
        <v>#REF!</v>
      </c>
      <c r="I44" t="e">
        <f>Experiment!#REF!</f>
        <v>#REF!</v>
      </c>
      <c r="J44" t="e">
        <f>((Experiment!#REF!+50)*(Experiment!#REF!-50)+(Experiment!#REF!^2))/((Experiment!#REF!+50)^2+(Experiment!#REF!^2))</f>
        <v>#REF!</v>
      </c>
      <c r="K44" t="e">
        <f>((Experiment!#REF!+50)*Experiment!#REF!-Experiment!#REF!*(Experiment!#REF!-50))/((Experiment!#REF!+50)^2+(Experiment!#REF!^2))</f>
        <v>#REF!</v>
      </c>
      <c r="L44" t="e">
        <f t="shared" si="4"/>
        <v>#REF!</v>
      </c>
      <c r="M44" t="e">
        <f t="shared" si="5"/>
        <v>#REF!</v>
      </c>
      <c r="N44" t="e">
        <f t="shared" si="6"/>
        <v>#REF!</v>
      </c>
      <c r="Q44">
        <f>Experiment!A44</f>
        <v>5200000</v>
      </c>
      <c r="R44">
        <f>((Experiment!D44+50)*(Experiment!D44-50)+(Experiment!E44^2))/((Experiment!D44+50)^2+(Experiment!E44^2))</f>
        <v>0.89766002192937733</v>
      </c>
      <c r="S44">
        <f>((Experiment!D44+50)*Experiment!E44-Experiment!E44*(Experiment!D44-50))/((Experiment!D44+50)^2+(Experiment!E44^2))</f>
        <v>-1.6030652869544974E-2</v>
      </c>
      <c r="T44" t="str">
        <f t="shared" si="7"/>
        <v>0.897660021929377-0.016030652869545i</v>
      </c>
      <c r="U44">
        <f t="shared" si="12"/>
        <v>0.8978031503629702</v>
      </c>
      <c r="V44">
        <f t="shared" si="8"/>
        <v>0.93637750012074517</v>
      </c>
      <c r="Y44" t="e">
        <f>Experiment!#REF!</f>
        <v>#REF!</v>
      </c>
      <c r="Z44" t="e">
        <f>((Experiment!#REF!+50)*(Experiment!#REF!-50)+(Experiment!#REF!^2))/((Experiment!#REF!+50)^2+(Experiment!#REF!^2))</f>
        <v>#REF!</v>
      </c>
      <c r="AA44" t="e">
        <f>((Experiment!#REF!+50)*Experiment!#REF!-Experiment!#REF!*(Experiment!#REF!-50))/((Experiment!#REF!+50)^2+(Experiment!#REF!^2))</f>
        <v>#REF!</v>
      </c>
      <c r="AB44" t="e">
        <f t="shared" si="9"/>
        <v>#REF!</v>
      </c>
      <c r="AC44" t="e">
        <f t="shared" si="10"/>
        <v>#REF!</v>
      </c>
      <c r="AD44" t="e">
        <f t="shared" si="11"/>
        <v>#REF!</v>
      </c>
    </row>
    <row r="45" spans="1:30" x14ac:dyDescent="0.15">
      <c r="A45" t="e">
        <f>Experiment!#REF!</f>
        <v>#REF!</v>
      </c>
      <c r="B45" t="e">
        <f>((Experiment!#REF!+50)*(Experiment!#REF!-50)+(Experiment!#REF!^2))/((Experiment!#REF!+50)^2+(Experiment!#REF!^2))</f>
        <v>#REF!</v>
      </c>
      <c r="C45" t="e">
        <f>((Experiment!#REF!+50)*Experiment!#REF!-Experiment!#REF!*(Experiment!#REF!-50))/((Experiment!#REF!+50)^2+(Experiment!#REF!^2))</f>
        <v>#REF!</v>
      </c>
      <c r="D45" t="e">
        <f t="shared" si="1"/>
        <v>#REF!</v>
      </c>
      <c r="E45" t="e">
        <f t="shared" si="2"/>
        <v>#REF!</v>
      </c>
      <c r="F45" t="e">
        <f t="shared" si="3"/>
        <v>#REF!</v>
      </c>
      <c r="I45" t="e">
        <f>Experiment!#REF!</f>
        <v>#REF!</v>
      </c>
      <c r="J45" t="e">
        <f>((Experiment!#REF!+50)*(Experiment!#REF!-50)+(Experiment!#REF!^2))/((Experiment!#REF!+50)^2+(Experiment!#REF!^2))</f>
        <v>#REF!</v>
      </c>
      <c r="K45" t="e">
        <f>((Experiment!#REF!+50)*Experiment!#REF!-Experiment!#REF!*(Experiment!#REF!-50))/((Experiment!#REF!+50)^2+(Experiment!#REF!^2))</f>
        <v>#REF!</v>
      </c>
      <c r="L45" t="e">
        <f t="shared" si="4"/>
        <v>#REF!</v>
      </c>
      <c r="M45" t="e">
        <f t="shared" si="5"/>
        <v>#REF!</v>
      </c>
      <c r="N45" t="e">
        <f t="shared" si="6"/>
        <v>#REF!</v>
      </c>
      <c r="Q45">
        <f>Experiment!A45</f>
        <v>5400000</v>
      </c>
      <c r="R45">
        <f>((Experiment!D45+50)*(Experiment!D45-50)+(Experiment!E45^2))/((Experiment!D45+50)^2+(Experiment!E45^2))</f>
        <v>0.8976181019025129</v>
      </c>
      <c r="S45">
        <f>((Experiment!D45+50)*Experiment!E45-Experiment!E45*(Experiment!D45-50))/((Experiment!D45+50)^2+(Experiment!E45^2))</f>
        <v>-1.6662116388693329E-2</v>
      </c>
      <c r="T45" t="str">
        <f t="shared" si="7"/>
        <v>0.897618101902513-0.0166621163886933i</v>
      </c>
      <c r="U45">
        <f t="shared" si="12"/>
        <v>0.89777273459691365</v>
      </c>
      <c r="V45">
        <f t="shared" si="8"/>
        <v>0.93667176558673026</v>
      </c>
      <c r="Y45" t="e">
        <f>Experiment!#REF!</f>
        <v>#REF!</v>
      </c>
      <c r="Z45" t="e">
        <f>((Experiment!#REF!+50)*(Experiment!#REF!-50)+(Experiment!#REF!^2))/((Experiment!#REF!+50)^2+(Experiment!#REF!^2))</f>
        <v>#REF!</v>
      </c>
      <c r="AA45" t="e">
        <f>((Experiment!#REF!+50)*Experiment!#REF!-Experiment!#REF!*(Experiment!#REF!-50))/((Experiment!#REF!+50)^2+(Experiment!#REF!^2))</f>
        <v>#REF!</v>
      </c>
      <c r="AB45" t="e">
        <f t="shared" si="9"/>
        <v>#REF!</v>
      </c>
      <c r="AC45" t="e">
        <f t="shared" si="10"/>
        <v>#REF!</v>
      </c>
      <c r="AD45" t="e">
        <f t="shared" si="11"/>
        <v>#REF!</v>
      </c>
    </row>
    <row r="46" spans="1:30" x14ac:dyDescent="0.15">
      <c r="A46" t="e">
        <f>Experiment!#REF!</f>
        <v>#REF!</v>
      </c>
      <c r="B46" t="e">
        <f>((Experiment!#REF!+50)*(Experiment!#REF!-50)+(Experiment!#REF!^2))/((Experiment!#REF!+50)^2+(Experiment!#REF!^2))</f>
        <v>#REF!</v>
      </c>
      <c r="C46" t="e">
        <f>((Experiment!#REF!+50)*Experiment!#REF!-Experiment!#REF!*(Experiment!#REF!-50))/((Experiment!#REF!+50)^2+(Experiment!#REF!^2))</f>
        <v>#REF!</v>
      </c>
      <c r="D46" t="e">
        <f t="shared" si="1"/>
        <v>#REF!</v>
      </c>
      <c r="E46" t="e">
        <f t="shared" si="2"/>
        <v>#REF!</v>
      </c>
      <c r="F46" t="e">
        <f t="shared" si="3"/>
        <v>#REF!</v>
      </c>
      <c r="I46" t="e">
        <f>Experiment!#REF!</f>
        <v>#REF!</v>
      </c>
      <c r="J46" t="e">
        <f>((Experiment!#REF!+50)*(Experiment!#REF!-50)+(Experiment!#REF!^2))/((Experiment!#REF!+50)^2+(Experiment!#REF!^2))</f>
        <v>#REF!</v>
      </c>
      <c r="K46" t="e">
        <f>((Experiment!#REF!+50)*Experiment!#REF!-Experiment!#REF!*(Experiment!#REF!-50))/((Experiment!#REF!+50)^2+(Experiment!#REF!^2))</f>
        <v>#REF!</v>
      </c>
      <c r="L46" t="e">
        <f t="shared" si="4"/>
        <v>#REF!</v>
      </c>
      <c r="M46" t="e">
        <f t="shared" si="5"/>
        <v>#REF!</v>
      </c>
      <c r="N46" t="e">
        <f t="shared" si="6"/>
        <v>#REF!</v>
      </c>
      <c r="Q46">
        <f>Experiment!A46</f>
        <v>5600000</v>
      </c>
      <c r="R46">
        <f>((Experiment!D46+50)*(Experiment!D46-50)+(Experiment!E46^2))/((Experiment!D46+50)^2+(Experiment!E46^2))</f>
        <v>0.89764665269657995</v>
      </c>
      <c r="S46">
        <f>((Experiment!D46+50)*Experiment!E46-Experiment!E46*(Experiment!D46-50))/((Experiment!D46+50)^2+(Experiment!E46^2))</f>
        <v>-1.7228782036505536E-2</v>
      </c>
      <c r="T46" t="str">
        <f t="shared" si="7"/>
        <v>0.89764665269658-0.0172287820365055i</v>
      </c>
      <c r="U46">
        <f t="shared" si="12"/>
        <v>0.89781197587681794</v>
      </c>
      <c r="V46">
        <f t="shared" si="8"/>
        <v>0.93629211719189698</v>
      </c>
      <c r="Y46" t="e">
        <f>Experiment!#REF!</f>
        <v>#REF!</v>
      </c>
      <c r="Z46" t="e">
        <f>((Experiment!#REF!+50)*(Experiment!#REF!-50)+(Experiment!#REF!^2))/((Experiment!#REF!+50)^2+(Experiment!#REF!^2))</f>
        <v>#REF!</v>
      </c>
      <c r="AA46" t="e">
        <f>((Experiment!#REF!+50)*Experiment!#REF!-Experiment!#REF!*(Experiment!#REF!-50))/((Experiment!#REF!+50)^2+(Experiment!#REF!^2))</f>
        <v>#REF!</v>
      </c>
      <c r="AB46" t="e">
        <f t="shared" si="9"/>
        <v>#REF!</v>
      </c>
      <c r="AC46" t="e">
        <f t="shared" si="10"/>
        <v>#REF!</v>
      </c>
      <c r="AD46" t="e">
        <f t="shared" si="11"/>
        <v>#REF!</v>
      </c>
    </row>
    <row r="47" spans="1:30" x14ac:dyDescent="0.15">
      <c r="A47" t="e">
        <f>Experiment!#REF!</f>
        <v>#REF!</v>
      </c>
      <c r="B47" t="e">
        <f>((Experiment!#REF!+50)*(Experiment!#REF!-50)+(Experiment!#REF!^2))/((Experiment!#REF!+50)^2+(Experiment!#REF!^2))</f>
        <v>#REF!</v>
      </c>
      <c r="C47" t="e">
        <f>((Experiment!#REF!+50)*Experiment!#REF!-Experiment!#REF!*(Experiment!#REF!-50))/((Experiment!#REF!+50)^2+(Experiment!#REF!^2))</f>
        <v>#REF!</v>
      </c>
      <c r="D47" t="e">
        <f t="shared" si="1"/>
        <v>#REF!</v>
      </c>
      <c r="E47" t="e">
        <f t="shared" si="2"/>
        <v>#REF!</v>
      </c>
      <c r="F47" t="e">
        <f t="shared" si="3"/>
        <v>#REF!</v>
      </c>
      <c r="I47" t="e">
        <f>Experiment!#REF!</f>
        <v>#REF!</v>
      </c>
      <c r="J47" t="e">
        <f>((Experiment!#REF!+50)*(Experiment!#REF!-50)+(Experiment!#REF!^2))/((Experiment!#REF!+50)^2+(Experiment!#REF!^2))</f>
        <v>#REF!</v>
      </c>
      <c r="K47" t="e">
        <f>((Experiment!#REF!+50)*Experiment!#REF!-Experiment!#REF!*(Experiment!#REF!-50))/((Experiment!#REF!+50)^2+(Experiment!#REF!^2))</f>
        <v>#REF!</v>
      </c>
      <c r="L47" t="e">
        <f t="shared" si="4"/>
        <v>#REF!</v>
      </c>
      <c r="M47" t="e">
        <f t="shared" si="5"/>
        <v>#REF!</v>
      </c>
      <c r="N47" t="e">
        <f t="shared" si="6"/>
        <v>#REF!</v>
      </c>
      <c r="Q47">
        <f>Experiment!A47</f>
        <v>5900000</v>
      </c>
      <c r="R47">
        <f>((Experiment!D47+50)*(Experiment!D47-50)+(Experiment!E47^2))/((Experiment!D47+50)^2+(Experiment!E47^2))</f>
        <v>0.89759439820460984</v>
      </c>
      <c r="S47">
        <f>((Experiment!D47+50)*Experiment!E47-Experiment!E47*(Experiment!D47-50))/((Experiment!D47+50)^2+(Experiment!E47^2))</f>
        <v>-1.8157390586678531E-2</v>
      </c>
      <c r="T47" t="str">
        <f t="shared" si="7"/>
        <v>0.89759439820461-0.0181573905866785i</v>
      </c>
      <c r="U47">
        <f t="shared" si="12"/>
        <v>0.89777803187715222</v>
      </c>
      <c r="V47">
        <f t="shared" si="8"/>
        <v>0.93662051491491038</v>
      </c>
      <c r="Y47" t="e">
        <f>Experiment!#REF!</f>
        <v>#REF!</v>
      </c>
      <c r="Z47" t="e">
        <f>((Experiment!#REF!+50)*(Experiment!#REF!-50)+(Experiment!#REF!^2))/((Experiment!#REF!+50)^2+(Experiment!#REF!^2))</f>
        <v>#REF!</v>
      </c>
      <c r="AA47" t="e">
        <f>((Experiment!#REF!+50)*Experiment!#REF!-Experiment!#REF!*(Experiment!#REF!-50))/((Experiment!#REF!+50)^2+(Experiment!#REF!^2))</f>
        <v>#REF!</v>
      </c>
      <c r="AB47" t="e">
        <f t="shared" si="9"/>
        <v>#REF!</v>
      </c>
      <c r="AC47" t="e">
        <f t="shared" si="10"/>
        <v>#REF!</v>
      </c>
      <c r="AD47" t="e">
        <f t="shared" si="11"/>
        <v>#REF!</v>
      </c>
    </row>
    <row r="48" spans="1:30" x14ac:dyDescent="0.15">
      <c r="A48" t="e">
        <f>Experiment!#REF!</f>
        <v>#REF!</v>
      </c>
      <c r="B48" t="e">
        <f>((Experiment!#REF!+50)*(Experiment!#REF!-50)+(Experiment!#REF!^2))/((Experiment!#REF!+50)^2+(Experiment!#REF!^2))</f>
        <v>#REF!</v>
      </c>
      <c r="C48" t="e">
        <f>((Experiment!#REF!+50)*Experiment!#REF!-Experiment!#REF!*(Experiment!#REF!-50))/((Experiment!#REF!+50)^2+(Experiment!#REF!^2))</f>
        <v>#REF!</v>
      </c>
      <c r="D48" t="e">
        <f t="shared" si="1"/>
        <v>#REF!</v>
      </c>
      <c r="E48" t="e">
        <f t="shared" si="2"/>
        <v>#REF!</v>
      </c>
      <c r="F48" t="e">
        <f t="shared" si="3"/>
        <v>#REF!</v>
      </c>
      <c r="I48" t="e">
        <f>Experiment!#REF!</f>
        <v>#REF!</v>
      </c>
      <c r="J48" t="e">
        <f>((Experiment!#REF!+50)*(Experiment!#REF!-50)+(Experiment!#REF!^2))/((Experiment!#REF!+50)^2+(Experiment!#REF!^2))</f>
        <v>#REF!</v>
      </c>
      <c r="K48" t="e">
        <f>((Experiment!#REF!+50)*Experiment!#REF!-Experiment!#REF!*(Experiment!#REF!-50))/((Experiment!#REF!+50)^2+(Experiment!#REF!^2))</f>
        <v>#REF!</v>
      </c>
      <c r="L48" t="e">
        <f t="shared" si="4"/>
        <v>#REF!</v>
      </c>
      <c r="M48" t="e">
        <f t="shared" si="5"/>
        <v>#REF!</v>
      </c>
      <c r="N48" t="e">
        <f t="shared" si="6"/>
        <v>#REF!</v>
      </c>
      <c r="Q48">
        <f>Experiment!A48</f>
        <v>6100000</v>
      </c>
      <c r="R48">
        <f>((Experiment!D48+50)*(Experiment!D48-50)+(Experiment!E48^2))/((Experiment!D48+50)^2+(Experiment!E48^2))</f>
        <v>0.89756435426546588</v>
      </c>
      <c r="S48">
        <f>((Experiment!D48+50)*Experiment!E48-Experiment!E48*(Experiment!D48-50))/((Experiment!D48+50)^2+(Experiment!E48^2))</f>
        <v>-1.8711191359013397E-2</v>
      </c>
      <c r="T48" t="str">
        <f t="shared" si="7"/>
        <v>0.897564354265466-0.0187111913590134i</v>
      </c>
      <c r="U48">
        <f t="shared" si="12"/>
        <v>0.89775936571558879</v>
      </c>
      <c r="V48">
        <f t="shared" si="8"/>
        <v>0.93680110955975548</v>
      </c>
      <c r="Y48" t="e">
        <f>Experiment!#REF!</f>
        <v>#REF!</v>
      </c>
      <c r="Z48" t="e">
        <f>((Experiment!#REF!+50)*(Experiment!#REF!-50)+(Experiment!#REF!^2))/((Experiment!#REF!+50)^2+(Experiment!#REF!^2))</f>
        <v>#REF!</v>
      </c>
      <c r="AA48" t="e">
        <f>((Experiment!#REF!+50)*Experiment!#REF!-Experiment!#REF!*(Experiment!#REF!-50))/((Experiment!#REF!+50)^2+(Experiment!#REF!^2))</f>
        <v>#REF!</v>
      </c>
      <c r="AB48" t="e">
        <f t="shared" si="9"/>
        <v>#REF!</v>
      </c>
      <c r="AC48" t="e">
        <f t="shared" si="10"/>
        <v>#REF!</v>
      </c>
      <c r="AD48" t="e">
        <f t="shared" si="11"/>
        <v>#REF!</v>
      </c>
    </row>
    <row r="49" spans="1:30" x14ac:dyDescent="0.15">
      <c r="A49" t="e">
        <f>Experiment!#REF!</f>
        <v>#REF!</v>
      </c>
      <c r="B49" t="e">
        <f>((Experiment!#REF!+50)*(Experiment!#REF!-50)+(Experiment!#REF!^2))/((Experiment!#REF!+50)^2+(Experiment!#REF!^2))</f>
        <v>#REF!</v>
      </c>
      <c r="C49" t="e">
        <f>((Experiment!#REF!+50)*Experiment!#REF!-Experiment!#REF!*(Experiment!#REF!-50))/((Experiment!#REF!+50)^2+(Experiment!#REF!^2))</f>
        <v>#REF!</v>
      </c>
      <c r="D49" t="e">
        <f t="shared" si="1"/>
        <v>#REF!</v>
      </c>
      <c r="E49" t="e">
        <f t="shared" si="2"/>
        <v>#REF!</v>
      </c>
      <c r="F49" t="e">
        <f t="shared" si="3"/>
        <v>#REF!</v>
      </c>
      <c r="I49" t="e">
        <f>Experiment!#REF!</f>
        <v>#REF!</v>
      </c>
      <c r="J49" t="e">
        <f>((Experiment!#REF!+50)*(Experiment!#REF!-50)+(Experiment!#REF!^2))/((Experiment!#REF!+50)^2+(Experiment!#REF!^2))</f>
        <v>#REF!</v>
      </c>
      <c r="K49" t="e">
        <f>((Experiment!#REF!+50)*Experiment!#REF!-Experiment!#REF!*(Experiment!#REF!-50))/((Experiment!#REF!+50)^2+(Experiment!#REF!^2))</f>
        <v>#REF!</v>
      </c>
      <c r="L49" t="e">
        <f t="shared" si="4"/>
        <v>#REF!</v>
      </c>
      <c r="M49" t="e">
        <f t="shared" si="5"/>
        <v>#REF!</v>
      </c>
      <c r="N49" t="e">
        <f t="shared" si="6"/>
        <v>#REF!</v>
      </c>
      <c r="Q49">
        <f>Experiment!A49</f>
        <v>6400000</v>
      </c>
      <c r="R49">
        <f>((Experiment!D49+50)*(Experiment!D49-50)+(Experiment!E49^2))/((Experiment!D49+50)^2+(Experiment!E49^2))</f>
        <v>0.89757473869907189</v>
      </c>
      <c r="S49">
        <f>((Experiment!D49+50)*Experiment!E49-Experiment!E49*(Experiment!D49-50))/((Experiment!D49+50)^2+(Experiment!E49^2))</f>
        <v>-1.9650410955697899E-2</v>
      </c>
      <c r="T49" t="str">
        <f t="shared" si="7"/>
        <v>0.897574738699072-0.0196504109556979i</v>
      </c>
      <c r="U49">
        <f t="shared" si="12"/>
        <v>0.89778981404415314</v>
      </c>
      <c r="V49">
        <f t="shared" si="8"/>
        <v>0.9365065246777815</v>
      </c>
      <c r="Y49" t="e">
        <f>Experiment!#REF!</f>
        <v>#REF!</v>
      </c>
      <c r="Z49" t="e">
        <f>((Experiment!#REF!+50)*(Experiment!#REF!-50)+(Experiment!#REF!^2))/((Experiment!#REF!+50)^2+(Experiment!#REF!^2))</f>
        <v>#REF!</v>
      </c>
      <c r="AA49" t="e">
        <f>((Experiment!#REF!+50)*Experiment!#REF!-Experiment!#REF!*(Experiment!#REF!-50))/((Experiment!#REF!+50)^2+(Experiment!#REF!^2))</f>
        <v>#REF!</v>
      </c>
      <c r="AB49" t="e">
        <f t="shared" si="9"/>
        <v>#REF!</v>
      </c>
      <c r="AC49" t="e">
        <f t="shared" si="10"/>
        <v>#REF!</v>
      </c>
      <c r="AD49" t="e">
        <f t="shared" si="11"/>
        <v>#REF!</v>
      </c>
    </row>
    <row r="50" spans="1:30" x14ac:dyDescent="0.15">
      <c r="A50" t="e">
        <f>Experiment!#REF!</f>
        <v>#REF!</v>
      </c>
      <c r="B50" t="e">
        <f>((Experiment!#REF!+50)*(Experiment!#REF!-50)+(Experiment!#REF!^2))/((Experiment!#REF!+50)^2+(Experiment!#REF!^2))</f>
        <v>#REF!</v>
      </c>
      <c r="C50" t="e">
        <f>((Experiment!#REF!+50)*Experiment!#REF!-Experiment!#REF!*(Experiment!#REF!-50))/((Experiment!#REF!+50)^2+(Experiment!#REF!^2))</f>
        <v>#REF!</v>
      </c>
      <c r="D50" t="e">
        <f t="shared" si="1"/>
        <v>#REF!</v>
      </c>
      <c r="E50" t="e">
        <f t="shared" si="2"/>
        <v>#REF!</v>
      </c>
      <c r="F50" t="e">
        <f t="shared" si="3"/>
        <v>#REF!</v>
      </c>
      <c r="I50" t="e">
        <f>Experiment!#REF!</f>
        <v>#REF!</v>
      </c>
      <c r="J50" t="e">
        <f>((Experiment!#REF!+50)*(Experiment!#REF!-50)+(Experiment!#REF!^2))/((Experiment!#REF!+50)^2+(Experiment!#REF!^2))</f>
        <v>#REF!</v>
      </c>
      <c r="K50" t="e">
        <f>((Experiment!#REF!+50)*Experiment!#REF!-Experiment!#REF!*(Experiment!#REF!-50))/((Experiment!#REF!+50)^2+(Experiment!#REF!^2))</f>
        <v>#REF!</v>
      </c>
      <c r="L50" t="e">
        <f t="shared" si="4"/>
        <v>#REF!</v>
      </c>
      <c r="M50" t="e">
        <f t="shared" si="5"/>
        <v>#REF!</v>
      </c>
      <c r="N50" t="e">
        <f t="shared" si="6"/>
        <v>#REF!</v>
      </c>
      <c r="Q50">
        <f>Experiment!A50</f>
        <v>6600000</v>
      </c>
      <c r="R50">
        <f>((Experiment!D50+50)*(Experiment!D50-50)+(Experiment!E50^2))/((Experiment!D50+50)^2+(Experiment!E50^2))</f>
        <v>0.89755665707226484</v>
      </c>
      <c r="S50">
        <f>((Experiment!D50+50)*Experiment!E50-Experiment!E50*(Experiment!D50-50))/((Experiment!D50+50)^2+(Experiment!E50^2))</f>
        <v>-2.0326120703540996E-2</v>
      </c>
      <c r="T50" t="str">
        <f t="shared" si="7"/>
        <v>0.897556657072265-0.020326120703541i</v>
      </c>
      <c r="U50">
        <f t="shared" si="12"/>
        <v>0.89778678083250596</v>
      </c>
      <c r="V50">
        <f t="shared" si="8"/>
        <v>0.93653587028374619</v>
      </c>
      <c r="Y50" t="e">
        <f>Experiment!#REF!</f>
        <v>#REF!</v>
      </c>
      <c r="Z50" t="e">
        <f>((Experiment!#REF!+50)*(Experiment!#REF!-50)+(Experiment!#REF!^2))/((Experiment!#REF!+50)^2+(Experiment!#REF!^2))</f>
        <v>#REF!</v>
      </c>
      <c r="AA50" t="e">
        <f>((Experiment!#REF!+50)*Experiment!#REF!-Experiment!#REF!*(Experiment!#REF!-50))/((Experiment!#REF!+50)^2+(Experiment!#REF!^2))</f>
        <v>#REF!</v>
      </c>
      <c r="AB50" t="e">
        <f t="shared" si="9"/>
        <v>#REF!</v>
      </c>
      <c r="AC50" t="e">
        <f t="shared" si="10"/>
        <v>#REF!</v>
      </c>
      <c r="AD50" t="e">
        <f t="shared" si="11"/>
        <v>#REF!</v>
      </c>
    </row>
    <row r="51" spans="1:30" x14ac:dyDescent="0.15">
      <c r="A51" t="e">
        <f>Experiment!#REF!</f>
        <v>#REF!</v>
      </c>
      <c r="B51" t="e">
        <f>((Experiment!#REF!+50)*(Experiment!#REF!-50)+(Experiment!#REF!^2))/((Experiment!#REF!+50)^2+(Experiment!#REF!^2))</f>
        <v>#REF!</v>
      </c>
      <c r="C51" t="e">
        <f>((Experiment!#REF!+50)*Experiment!#REF!-Experiment!#REF!*(Experiment!#REF!-50))/((Experiment!#REF!+50)^2+(Experiment!#REF!^2))</f>
        <v>#REF!</v>
      </c>
      <c r="D51" t="e">
        <f t="shared" si="1"/>
        <v>#REF!</v>
      </c>
      <c r="E51" t="e">
        <f t="shared" si="2"/>
        <v>#REF!</v>
      </c>
      <c r="F51" t="e">
        <f t="shared" si="3"/>
        <v>#REF!</v>
      </c>
      <c r="I51" t="e">
        <f>Experiment!#REF!</f>
        <v>#REF!</v>
      </c>
      <c r="J51" t="e">
        <f>((Experiment!#REF!+50)*(Experiment!#REF!-50)+(Experiment!#REF!^2))/((Experiment!#REF!+50)^2+(Experiment!#REF!^2))</f>
        <v>#REF!</v>
      </c>
      <c r="K51" t="e">
        <f>((Experiment!#REF!+50)*Experiment!#REF!-Experiment!#REF!*(Experiment!#REF!-50))/((Experiment!#REF!+50)^2+(Experiment!#REF!^2))</f>
        <v>#REF!</v>
      </c>
      <c r="L51" t="e">
        <f t="shared" si="4"/>
        <v>#REF!</v>
      </c>
      <c r="M51" t="e">
        <f t="shared" si="5"/>
        <v>#REF!</v>
      </c>
      <c r="N51" t="e">
        <f t="shared" si="6"/>
        <v>#REF!</v>
      </c>
      <c r="Q51">
        <f>Experiment!A51</f>
        <v>6900000</v>
      </c>
      <c r="R51">
        <f>((Experiment!D51+50)*(Experiment!D51-50)+(Experiment!E51^2))/((Experiment!D51+50)^2+(Experiment!E51^2))</f>
        <v>0.89754657741720567</v>
      </c>
      <c r="S51">
        <f>((Experiment!D51+50)*Experiment!E51-Experiment!E51*(Experiment!D51-50))/((Experiment!D51+50)^2+(Experiment!E51^2))</f>
        <v>-2.1231785971171303E-2</v>
      </c>
      <c r="T51" t="str">
        <f t="shared" si="7"/>
        <v>0.897546577417206-0.0212317859711713i</v>
      </c>
      <c r="U51">
        <f t="shared" si="12"/>
        <v>0.89779766504979597</v>
      </c>
      <c r="V51">
        <f t="shared" si="8"/>
        <v>0.93643056851373407</v>
      </c>
      <c r="Y51" t="e">
        <f>Experiment!#REF!</f>
        <v>#REF!</v>
      </c>
      <c r="Z51" t="e">
        <f>((Experiment!#REF!+50)*(Experiment!#REF!-50)+(Experiment!#REF!^2))/((Experiment!#REF!+50)^2+(Experiment!#REF!^2))</f>
        <v>#REF!</v>
      </c>
      <c r="AA51" t="e">
        <f>((Experiment!#REF!+50)*Experiment!#REF!-Experiment!#REF!*(Experiment!#REF!-50))/((Experiment!#REF!+50)^2+(Experiment!#REF!^2))</f>
        <v>#REF!</v>
      </c>
      <c r="AB51" t="e">
        <f t="shared" si="9"/>
        <v>#REF!</v>
      </c>
      <c r="AC51" t="e">
        <f t="shared" si="10"/>
        <v>#REF!</v>
      </c>
      <c r="AD51" t="e">
        <f t="shared" si="11"/>
        <v>#REF!</v>
      </c>
    </row>
    <row r="52" spans="1:30" x14ac:dyDescent="0.15">
      <c r="A52" t="e">
        <f>Experiment!#REF!</f>
        <v>#REF!</v>
      </c>
      <c r="B52" t="e">
        <f>((Experiment!#REF!+50)*(Experiment!#REF!-50)+(Experiment!#REF!^2))/((Experiment!#REF!+50)^2+(Experiment!#REF!^2))</f>
        <v>#REF!</v>
      </c>
      <c r="C52" t="e">
        <f>((Experiment!#REF!+50)*Experiment!#REF!-Experiment!#REF!*(Experiment!#REF!-50))/((Experiment!#REF!+50)^2+(Experiment!#REF!^2))</f>
        <v>#REF!</v>
      </c>
      <c r="D52" t="e">
        <f t="shared" si="1"/>
        <v>#REF!</v>
      </c>
      <c r="E52" t="e">
        <f t="shared" si="2"/>
        <v>#REF!</v>
      </c>
      <c r="F52" t="e">
        <f t="shared" si="3"/>
        <v>#REF!</v>
      </c>
      <c r="I52" t="e">
        <f>Experiment!#REF!</f>
        <v>#REF!</v>
      </c>
      <c r="J52" t="e">
        <f>((Experiment!#REF!+50)*(Experiment!#REF!-50)+(Experiment!#REF!^2))/((Experiment!#REF!+50)^2+(Experiment!#REF!^2))</f>
        <v>#REF!</v>
      </c>
      <c r="K52" t="e">
        <f>((Experiment!#REF!+50)*Experiment!#REF!-Experiment!#REF!*(Experiment!#REF!-50))/((Experiment!#REF!+50)^2+(Experiment!#REF!^2))</f>
        <v>#REF!</v>
      </c>
      <c r="L52" t="e">
        <f t="shared" si="4"/>
        <v>#REF!</v>
      </c>
      <c r="M52" t="e">
        <f t="shared" si="5"/>
        <v>#REF!</v>
      </c>
      <c r="N52" t="e">
        <f t="shared" si="6"/>
        <v>#REF!</v>
      </c>
      <c r="Q52">
        <f>Experiment!A52</f>
        <v>7200000</v>
      </c>
      <c r="R52">
        <f>((Experiment!D52+50)*(Experiment!D52-50)+(Experiment!E52^2))/((Experiment!D52+50)^2+(Experiment!E52^2))</f>
        <v>0.8975547062130953</v>
      </c>
      <c r="S52">
        <f>((Experiment!D52+50)*Experiment!E52-Experiment!E52*(Experiment!D52-50))/((Experiment!D52+50)^2+(Experiment!E52^2))</f>
        <v>-2.2154647971286506E-2</v>
      </c>
      <c r="T52" t="str">
        <f t="shared" si="7"/>
        <v>0.897554706213095-0.0221546479712865i</v>
      </c>
      <c r="U52">
        <f t="shared" si="12"/>
        <v>0.89782808993259255</v>
      </c>
      <c r="V52">
        <f t="shared" si="8"/>
        <v>0.93613622302051058</v>
      </c>
      <c r="Y52" t="e">
        <f>Experiment!#REF!</f>
        <v>#REF!</v>
      </c>
      <c r="Z52" t="e">
        <f>((Experiment!#REF!+50)*(Experiment!#REF!-50)+(Experiment!#REF!^2))/((Experiment!#REF!+50)^2+(Experiment!#REF!^2))</f>
        <v>#REF!</v>
      </c>
      <c r="AA52" t="e">
        <f>((Experiment!#REF!+50)*Experiment!#REF!-Experiment!#REF!*(Experiment!#REF!-50))/((Experiment!#REF!+50)^2+(Experiment!#REF!^2))</f>
        <v>#REF!</v>
      </c>
      <c r="AB52" t="e">
        <f t="shared" si="9"/>
        <v>#REF!</v>
      </c>
      <c r="AC52" t="e">
        <f t="shared" si="10"/>
        <v>#REF!</v>
      </c>
      <c r="AD52" t="e">
        <f t="shared" si="11"/>
        <v>#REF!</v>
      </c>
    </row>
    <row r="53" spans="1:30" x14ac:dyDescent="0.15">
      <c r="A53" t="e">
        <f>Experiment!#REF!</f>
        <v>#REF!</v>
      </c>
      <c r="B53" t="e">
        <f>((Experiment!#REF!+50)*(Experiment!#REF!-50)+(Experiment!#REF!^2))/((Experiment!#REF!+50)^2+(Experiment!#REF!^2))</f>
        <v>#REF!</v>
      </c>
      <c r="C53" t="e">
        <f>((Experiment!#REF!+50)*Experiment!#REF!-Experiment!#REF!*(Experiment!#REF!-50))/((Experiment!#REF!+50)^2+(Experiment!#REF!^2))</f>
        <v>#REF!</v>
      </c>
      <c r="D53" t="e">
        <f t="shared" si="1"/>
        <v>#REF!</v>
      </c>
      <c r="E53" t="e">
        <f t="shared" si="2"/>
        <v>#REF!</v>
      </c>
      <c r="F53" t="e">
        <f t="shared" si="3"/>
        <v>#REF!</v>
      </c>
      <c r="I53" t="e">
        <f>Experiment!#REF!</f>
        <v>#REF!</v>
      </c>
      <c r="J53" t="e">
        <f>((Experiment!#REF!+50)*(Experiment!#REF!-50)+(Experiment!#REF!^2))/((Experiment!#REF!+50)^2+(Experiment!#REF!^2))</f>
        <v>#REF!</v>
      </c>
      <c r="K53" t="e">
        <f>((Experiment!#REF!+50)*Experiment!#REF!-Experiment!#REF!*(Experiment!#REF!-50))/((Experiment!#REF!+50)^2+(Experiment!#REF!^2))</f>
        <v>#REF!</v>
      </c>
      <c r="L53" t="e">
        <f t="shared" si="4"/>
        <v>#REF!</v>
      </c>
      <c r="M53" t="e">
        <f t="shared" si="5"/>
        <v>#REF!</v>
      </c>
      <c r="N53" t="e">
        <f t="shared" si="6"/>
        <v>#REF!</v>
      </c>
      <c r="Q53">
        <f>Experiment!A53</f>
        <v>7500000</v>
      </c>
      <c r="R53">
        <f>((Experiment!D53+50)*(Experiment!D53-50)+(Experiment!E53^2))/((Experiment!D53+50)^2+(Experiment!E53^2))</f>
        <v>0.89751670885554469</v>
      </c>
      <c r="S53">
        <f>((Experiment!D53+50)*Experiment!E53-Experiment!E53*(Experiment!D53-50))/((Experiment!D53+50)^2+(Experiment!E53^2))</f>
        <v>-2.3093192516687112E-2</v>
      </c>
      <c r="T53" t="str">
        <f t="shared" si="7"/>
        <v>0.897516708855545-0.0230931925166871i</v>
      </c>
      <c r="U53">
        <f t="shared" si="12"/>
        <v>0.89781375474844516</v>
      </c>
      <c r="V53">
        <f t="shared" si="8"/>
        <v>0.93627490750017683</v>
      </c>
      <c r="Y53" t="e">
        <f>Experiment!#REF!</f>
        <v>#REF!</v>
      </c>
      <c r="Z53" t="e">
        <f>((Experiment!#REF!+50)*(Experiment!#REF!-50)+(Experiment!#REF!^2))/((Experiment!#REF!+50)^2+(Experiment!#REF!^2))</f>
        <v>#REF!</v>
      </c>
      <c r="AA53" t="e">
        <f>((Experiment!#REF!+50)*Experiment!#REF!-Experiment!#REF!*(Experiment!#REF!-50))/((Experiment!#REF!+50)^2+(Experiment!#REF!^2))</f>
        <v>#REF!</v>
      </c>
      <c r="AB53" t="e">
        <f t="shared" si="9"/>
        <v>#REF!</v>
      </c>
      <c r="AC53" t="e">
        <f t="shared" si="10"/>
        <v>#REF!</v>
      </c>
      <c r="AD53" t="e">
        <f t="shared" si="11"/>
        <v>#REF!</v>
      </c>
    </row>
    <row r="54" spans="1:30" x14ac:dyDescent="0.15">
      <c r="A54" t="e">
        <f>Experiment!#REF!</f>
        <v>#REF!</v>
      </c>
      <c r="B54" t="e">
        <f>((Experiment!#REF!+50)*(Experiment!#REF!-50)+(Experiment!#REF!^2))/((Experiment!#REF!+50)^2+(Experiment!#REF!^2))</f>
        <v>#REF!</v>
      </c>
      <c r="C54" t="e">
        <f>((Experiment!#REF!+50)*Experiment!#REF!-Experiment!#REF!*(Experiment!#REF!-50))/((Experiment!#REF!+50)^2+(Experiment!#REF!^2))</f>
        <v>#REF!</v>
      </c>
      <c r="D54" t="e">
        <f t="shared" si="1"/>
        <v>#REF!</v>
      </c>
      <c r="E54" t="e">
        <f t="shared" si="2"/>
        <v>#REF!</v>
      </c>
      <c r="F54" t="e">
        <f t="shared" si="3"/>
        <v>#REF!</v>
      </c>
      <c r="I54" t="e">
        <f>Experiment!#REF!</f>
        <v>#REF!</v>
      </c>
      <c r="J54" t="e">
        <f>((Experiment!#REF!+50)*(Experiment!#REF!-50)+(Experiment!#REF!^2))/((Experiment!#REF!+50)^2+(Experiment!#REF!^2))</f>
        <v>#REF!</v>
      </c>
      <c r="K54" t="e">
        <f>((Experiment!#REF!+50)*Experiment!#REF!-Experiment!#REF!*(Experiment!#REF!-50))/((Experiment!#REF!+50)^2+(Experiment!#REF!^2))</f>
        <v>#REF!</v>
      </c>
      <c r="L54" t="e">
        <f t="shared" si="4"/>
        <v>#REF!</v>
      </c>
      <c r="M54" t="e">
        <f t="shared" si="5"/>
        <v>#REF!</v>
      </c>
      <c r="N54" t="e">
        <f t="shared" si="6"/>
        <v>#REF!</v>
      </c>
      <c r="Q54">
        <f>Experiment!A54</f>
        <v>7800000</v>
      </c>
      <c r="R54">
        <f>((Experiment!D54+50)*(Experiment!D54-50)+(Experiment!E54^2))/((Experiment!D54+50)^2+(Experiment!E54^2))</f>
        <v>0.89749031487271624</v>
      </c>
      <c r="S54">
        <f>((Experiment!D54+50)*Experiment!E54-Experiment!E54*(Experiment!D54-50))/((Experiment!D54+50)^2+(Experiment!E54^2))</f>
        <v>-2.39748034562089E-2</v>
      </c>
      <c r="T54" t="str">
        <f t="shared" si="7"/>
        <v>0.897490314872716-0.0239748034562089i</v>
      </c>
      <c r="U54">
        <f t="shared" si="12"/>
        <v>0.8978104791608813</v>
      </c>
      <c r="V54">
        <f t="shared" si="8"/>
        <v>0.93630659719509435</v>
      </c>
      <c r="Y54" t="e">
        <f>Experiment!#REF!</f>
        <v>#REF!</v>
      </c>
      <c r="Z54" t="e">
        <f>((Experiment!#REF!+50)*(Experiment!#REF!-50)+(Experiment!#REF!^2))/((Experiment!#REF!+50)^2+(Experiment!#REF!^2))</f>
        <v>#REF!</v>
      </c>
      <c r="AA54" t="e">
        <f>((Experiment!#REF!+50)*Experiment!#REF!-Experiment!#REF!*(Experiment!#REF!-50))/((Experiment!#REF!+50)^2+(Experiment!#REF!^2))</f>
        <v>#REF!</v>
      </c>
      <c r="AB54" t="e">
        <f t="shared" si="9"/>
        <v>#REF!</v>
      </c>
      <c r="AC54" t="e">
        <f t="shared" si="10"/>
        <v>#REF!</v>
      </c>
      <c r="AD54" t="e">
        <f t="shared" si="11"/>
        <v>#REF!</v>
      </c>
    </row>
    <row r="55" spans="1:30" x14ac:dyDescent="0.15">
      <c r="A55" t="e">
        <f>Experiment!#REF!</f>
        <v>#REF!</v>
      </c>
      <c r="B55" t="e">
        <f>((Experiment!#REF!+50)*(Experiment!#REF!-50)+(Experiment!#REF!^2))/((Experiment!#REF!+50)^2+(Experiment!#REF!^2))</f>
        <v>#REF!</v>
      </c>
      <c r="C55" t="e">
        <f>((Experiment!#REF!+50)*Experiment!#REF!-Experiment!#REF!*(Experiment!#REF!-50))/((Experiment!#REF!+50)^2+(Experiment!#REF!^2))</f>
        <v>#REF!</v>
      </c>
      <c r="D55" t="e">
        <f t="shared" si="1"/>
        <v>#REF!</v>
      </c>
      <c r="E55" t="e">
        <f t="shared" si="2"/>
        <v>#REF!</v>
      </c>
      <c r="F55" t="e">
        <f t="shared" si="3"/>
        <v>#REF!</v>
      </c>
      <c r="I55" t="e">
        <f>Experiment!#REF!</f>
        <v>#REF!</v>
      </c>
      <c r="J55" t="e">
        <f>((Experiment!#REF!+50)*(Experiment!#REF!-50)+(Experiment!#REF!^2))/((Experiment!#REF!+50)^2+(Experiment!#REF!^2))</f>
        <v>#REF!</v>
      </c>
      <c r="K55" t="e">
        <f>((Experiment!#REF!+50)*Experiment!#REF!-Experiment!#REF!*(Experiment!#REF!-50))/((Experiment!#REF!+50)^2+(Experiment!#REF!^2))</f>
        <v>#REF!</v>
      </c>
      <c r="L55" t="e">
        <f t="shared" si="4"/>
        <v>#REF!</v>
      </c>
      <c r="M55" t="e">
        <f t="shared" si="5"/>
        <v>#REF!</v>
      </c>
      <c r="N55" t="e">
        <f t="shared" si="6"/>
        <v>#REF!</v>
      </c>
      <c r="Q55">
        <f>Experiment!A55</f>
        <v>8100000</v>
      </c>
      <c r="R55">
        <f>((Experiment!D55+50)*(Experiment!D55-50)+(Experiment!E55^2))/((Experiment!D55+50)^2+(Experiment!E55^2))</f>
        <v>0.89743849340755433</v>
      </c>
      <c r="S55">
        <f>((Experiment!D55+50)*Experiment!E55-Experiment!E55*(Experiment!D55-50))/((Experiment!D55+50)^2+(Experiment!E55^2))</f>
        <v>-2.4928900576347102E-2</v>
      </c>
      <c r="T55" t="str">
        <f t="shared" si="7"/>
        <v>0.897438493407554-0.0249289005763471i</v>
      </c>
      <c r="U55">
        <f t="shared" si="12"/>
        <v>0.89778466211757391</v>
      </c>
      <c r="V55">
        <f t="shared" si="8"/>
        <v>0.93655636840889356</v>
      </c>
      <c r="Y55" t="e">
        <f>Experiment!#REF!</f>
        <v>#REF!</v>
      </c>
      <c r="Z55" t="e">
        <f>((Experiment!#REF!+50)*(Experiment!#REF!-50)+(Experiment!#REF!^2))/((Experiment!#REF!+50)^2+(Experiment!#REF!^2))</f>
        <v>#REF!</v>
      </c>
      <c r="AA55" t="e">
        <f>((Experiment!#REF!+50)*Experiment!#REF!-Experiment!#REF!*(Experiment!#REF!-50))/((Experiment!#REF!+50)^2+(Experiment!#REF!^2))</f>
        <v>#REF!</v>
      </c>
      <c r="AB55" t="e">
        <f t="shared" si="9"/>
        <v>#REF!</v>
      </c>
      <c r="AC55" t="e">
        <f t="shared" si="10"/>
        <v>#REF!</v>
      </c>
      <c r="AD55" t="e">
        <f t="shared" si="11"/>
        <v>#REF!</v>
      </c>
    </row>
    <row r="56" spans="1:30" x14ac:dyDescent="0.15">
      <c r="A56" t="e">
        <f>Experiment!#REF!</f>
        <v>#REF!</v>
      </c>
      <c r="B56" t="e">
        <f>((Experiment!#REF!+50)*(Experiment!#REF!-50)+(Experiment!#REF!^2))/((Experiment!#REF!+50)^2+(Experiment!#REF!^2))</f>
        <v>#REF!</v>
      </c>
      <c r="C56" t="e">
        <f>((Experiment!#REF!+50)*Experiment!#REF!-Experiment!#REF!*(Experiment!#REF!-50))/((Experiment!#REF!+50)^2+(Experiment!#REF!^2))</f>
        <v>#REF!</v>
      </c>
      <c r="D56" t="e">
        <f t="shared" si="1"/>
        <v>#REF!</v>
      </c>
      <c r="E56" t="e">
        <f t="shared" si="2"/>
        <v>#REF!</v>
      </c>
      <c r="F56" t="e">
        <f t="shared" si="3"/>
        <v>#REF!</v>
      </c>
      <c r="I56" t="e">
        <f>Experiment!#REF!</f>
        <v>#REF!</v>
      </c>
      <c r="J56" t="e">
        <f>((Experiment!#REF!+50)*(Experiment!#REF!-50)+(Experiment!#REF!^2))/((Experiment!#REF!+50)^2+(Experiment!#REF!^2))</f>
        <v>#REF!</v>
      </c>
      <c r="K56" t="e">
        <f>((Experiment!#REF!+50)*Experiment!#REF!-Experiment!#REF!*(Experiment!#REF!-50))/((Experiment!#REF!+50)^2+(Experiment!#REF!^2))</f>
        <v>#REF!</v>
      </c>
      <c r="L56" t="e">
        <f t="shared" si="4"/>
        <v>#REF!</v>
      </c>
      <c r="M56" t="e">
        <f t="shared" si="5"/>
        <v>#REF!</v>
      </c>
      <c r="N56" t="e">
        <f t="shared" si="6"/>
        <v>#REF!</v>
      </c>
      <c r="Q56">
        <f>Experiment!A56</f>
        <v>8400000</v>
      </c>
      <c r="R56">
        <f>((Experiment!D56+50)*(Experiment!D56-50)+(Experiment!E56^2))/((Experiment!D56+50)^2+(Experiment!E56^2))</f>
        <v>0.89736544978010335</v>
      </c>
      <c r="S56">
        <f>((Experiment!D56+50)*Experiment!E56-Experiment!E56*(Experiment!D56-50))/((Experiment!D56+50)^2+(Experiment!E56^2))</f>
        <v>-2.5852435603304691E-2</v>
      </c>
      <c r="T56" t="str">
        <f t="shared" si="7"/>
        <v>0.897365449780103-0.0258524356033047i</v>
      </c>
      <c r="U56">
        <f t="shared" si="12"/>
        <v>0.89773776732722466</v>
      </c>
      <c r="V56">
        <f t="shared" si="8"/>
        <v>0.93701007811141446</v>
      </c>
      <c r="Y56" t="e">
        <f>Experiment!#REF!</f>
        <v>#REF!</v>
      </c>
      <c r="Z56" t="e">
        <f>((Experiment!#REF!+50)*(Experiment!#REF!-50)+(Experiment!#REF!^2))/((Experiment!#REF!+50)^2+(Experiment!#REF!^2))</f>
        <v>#REF!</v>
      </c>
      <c r="AA56" t="e">
        <f>((Experiment!#REF!+50)*Experiment!#REF!-Experiment!#REF!*(Experiment!#REF!-50))/((Experiment!#REF!+50)^2+(Experiment!#REF!^2))</f>
        <v>#REF!</v>
      </c>
      <c r="AB56" t="e">
        <f t="shared" si="9"/>
        <v>#REF!</v>
      </c>
      <c r="AC56" t="e">
        <f t="shared" si="10"/>
        <v>#REF!</v>
      </c>
      <c r="AD56" t="e">
        <f t="shared" si="11"/>
        <v>#REF!</v>
      </c>
    </row>
    <row r="57" spans="1:30" x14ac:dyDescent="0.15">
      <c r="A57" t="e">
        <f>Experiment!#REF!</f>
        <v>#REF!</v>
      </c>
      <c r="B57" t="e">
        <f>((Experiment!#REF!+50)*(Experiment!#REF!-50)+(Experiment!#REF!^2))/((Experiment!#REF!+50)^2+(Experiment!#REF!^2))</f>
        <v>#REF!</v>
      </c>
      <c r="C57" t="e">
        <f>((Experiment!#REF!+50)*Experiment!#REF!-Experiment!#REF!*(Experiment!#REF!-50))/((Experiment!#REF!+50)^2+(Experiment!#REF!^2))</f>
        <v>#REF!</v>
      </c>
      <c r="D57" t="e">
        <f t="shared" si="1"/>
        <v>#REF!</v>
      </c>
      <c r="E57" t="e">
        <f t="shared" si="2"/>
        <v>#REF!</v>
      </c>
      <c r="F57" t="e">
        <f t="shared" si="3"/>
        <v>#REF!</v>
      </c>
      <c r="I57" t="e">
        <f>Experiment!#REF!</f>
        <v>#REF!</v>
      </c>
      <c r="J57" t="e">
        <f>((Experiment!#REF!+50)*(Experiment!#REF!-50)+(Experiment!#REF!^2))/((Experiment!#REF!+50)^2+(Experiment!#REF!^2))</f>
        <v>#REF!</v>
      </c>
      <c r="K57" t="e">
        <f>((Experiment!#REF!+50)*Experiment!#REF!-Experiment!#REF!*(Experiment!#REF!-50))/((Experiment!#REF!+50)^2+(Experiment!#REF!^2))</f>
        <v>#REF!</v>
      </c>
      <c r="L57" t="e">
        <f t="shared" si="4"/>
        <v>#REF!</v>
      </c>
      <c r="M57" t="e">
        <f t="shared" si="5"/>
        <v>#REF!</v>
      </c>
      <c r="N57" t="e">
        <f t="shared" si="6"/>
        <v>#REF!</v>
      </c>
      <c r="Q57">
        <f>Experiment!A57</f>
        <v>8800000</v>
      </c>
      <c r="R57">
        <f>((Experiment!D57+50)*(Experiment!D57-50)+(Experiment!E57^2))/((Experiment!D57+50)^2+(Experiment!E57^2))</f>
        <v>0.89736665454472941</v>
      </c>
      <c r="S57">
        <f>((Experiment!D57+50)*Experiment!E57-Experiment!E57*(Experiment!D57-50))/((Experiment!D57+50)^2+(Experiment!E57^2))</f>
        <v>-2.70862939437304E-2</v>
      </c>
      <c r="T57" t="str">
        <f t="shared" si="7"/>
        <v>0.897366654544729-0.0270862939437304i</v>
      </c>
      <c r="U57">
        <f t="shared" si="12"/>
        <v>0.89777535052395252</v>
      </c>
      <c r="V57">
        <f t="shared" si="8"/>
        <v>0.93664645670890168</v>
      </c>
      <c r="Y57" t="e">
        <f>Experiment!#REF!</f>
        <v>#REF!</v>
      </c>
      <c r="Z57" t="e">
        <f>((Experiment!#REF!+50)*(Experiment!#REF!-50)+(Experiment!#REF!^2))/((Experiment!#REF!+50)^2+(Experiment!#REF!^2))</f>
        <v>#REF!</v>
      </c>
      <c r="AA57" t="e">
        <f>((Experiment!#REF!+50)*Experiment!#REF!-Experiment!#REF!*(Experiment!#REF!-50))/((Experiment!#REF!+50)^2+(Experiment!#REF!^2))</f>
        <v>#REF!</v>
      </c>
      <c r="AB57" t="e">
        <f t="shared" si="9"/>
        <v>#REF!</v>
      </c>
      <c r="AC57" t="e">
        <f t="shared" si="10"/>
        <v>#REF!</v>
      </c>
      <c r="AD57" t="e">
        <f t="shared" si="11"/>
        <v>#REF!</v>
      </c>
    </row>
    <row r="58" spans="1:30" x14ac:dyDescent="0.15">
      <c r="A58" t="e">
        <f>Experiment!#REF!</f>
        <v>#REF!</v>
      </c>
      <c r="B58" t="e">
        <f>((Experiment!#REF!+50)*(Experiment!#REF!-50)+(Experiment!#REF!^2))/((Experiment!#REF!+50)^2+(Experiment!#REF!^2))</f>
        <v>#REF!</v>
      </c>
      <c r="C58" t="e">
        <f>((Experiment!#REF!+50)*Experiment!#REF!-Experiment!#REF!*(Experiment!#REF!-50))/((Experiment!#REF!+50)^2+(Experiment!#REF!^2))</f>
        <v>#REF!</v>
      </c>
      <c r="D58" t="e">
        <f t="shared" si="1"/>
        <v>#REF!</v>
      </c>
      <c r="E58" t="e">
        <f t="shared" si="2"/>
        <v>#REF!</v>
      </c>
      <c r="F58" t="e">
        <f t="shared" si="3"/>
        <v>#REF!</v>
      </c>
      <c r="I58" t="e">
        <f>Experiment!#REF!</f>
        <v>#REF!</v>
      </c>
      <c r="J58" t="e">
        <f>((Experiment!#REF!+50)*(Experiment!#REF!-50)+(Experiment!#REF!^2))/((Experiment!#REF!+50)^2+(Experiment!#REF!^2))</f>
        <v>#REF!</v>
      </c>
      <c r="K58" t="e">
        <f>((Experiment!#REF!+50)*Experiment!#REF!-Experiment!#REF!*(Experiment!#REF!-50))/((Experiment!#REF!+50)^2+(Experiment!#REF!^2))</f>
        <v>#REF!</v>
      </c>
      <c r="L58" t="e">
        <f t="shared" si="4"/>
        <v>#REF!</v>
      </c>
      <c r="M58" t="e">
        <f t="shared" si="5"/>
        <v>#REF!</v>
      </c>
      <c r="N58" t="e">
        <f t="shared" si="6"/>
        <v>#REF!</v>
      </c>
      <c r="Q58">
        <f>Experiment!A58</f>
        <v>9100000</v>
      </c>
      <c r="R58">
        <f>((Experiment!D58+50)*(Experiment!D58-50)+(Experiment!E58^2))/((Experiment!D58+50)^2+(Experiment!E58^2))</f>
        <v>0.89739741027948627</v>
      </c>
      <c r="S58">
        <f>((Experiment!D58+50)*Experiment!E58-Experiment!E58*(Experiment!D58-50))/((Experiment!D58+50)^2+(Experiment!E58^2))</f>
        <v>-2.8017170815861192E-2</v>
      </c>
      <c r="T58" t="str">
        <f t="shared" si="7"/>
        <v>0.897397410279486-0.0280171708158612i</v>
      </c>
      <c r="U58">
        <f t="shared" si="12"/>
        <v>0.89783465840702192</v>
      </c>
      <c r="V58">
        <f t="shared" si="8"/>
        <v>0.93607267763144808</v>
      </c>
      <c r="Y58" t="e">
        <f>Experiment!#REF!</f>
        <v>#REF!</v>
      </c>
      <c r="Z58" t="e">
        <f>((Experiment!#REF!+50)*(Experiment!#REF!-50)+(Experiment!#REF!^2))/((Experiment!#REF!+50)^2+(Experiment!#REF!^2))</f>
        <v>#REF!</v>
      </c>
      <c r="AA58" t="e">
        <f>((Experiment!#REF!+50)*Experiment!#REF!-Experiment!#REF!*(Experiment!#REF!-50))/((Experiment!#REF!+50)^2+(Experiment!#REF!^2))</f>
        <v>#REF!</v>
      </c>
      <c r="AB58" t="e">
        <f t="shared" si="9"/>
        <v>#REF!</v>
      </c>
      <c r="AC58" t="e">
        <f t="shared" si="10"/>
        <v>#REF!</v>
      </c>
      <c r="AD58" t="e">
        <f t="shared" si="11"/>
        <v>#REF!</v>
      </c>
    </row>
    <row r="59" spans="1:30" x14ac:dyDescent="0.15">
      <c r="A59" t="e">
        <f>Experiment!#REF!</f>
        <v>#REF!</v>
      </c>
      <c r="B59" t="e">
        <f>((Experiment!#REF!+50)*(Experiment!#REF!-50)+(Experiment!#REF!^2))/((Experiment!#REF!+50)^2+(Experiment!#REF!^2))</f>
        <v>#REF!</v>
      </c>
      <c r="C59" t="e">
        <f>((Experiment!#REF!+50)*Experiment!#REF!-Experiment!#REF!*(Experiment!#REF!-50))/((Experiment!#REF!+50)^2+(Experiment!#REF!^2))</f>
        <v>#REF!</v>
      </c>
      <c r="D59" t="e">
        <f t="shared" si="1"/>
        <v>#REF!</v>
      </c>
      <c r="E59" t="e">
        <f t="shared" si="2"/>
        <v>#REF!</v>
      </c>
      <c r="F59" t="e">
        <f t="shared" si="3"/>
        <v>#REF!</v>
      </c>
      <c r="I59" t="e">
        <f>Experiment!#REF!</f>
        <v>#REF!</v>
      </c>
      <c r="J59" t="e">
        <f>((Experiment!#REF!+50)*(Experiment!#REF!-50)+(Experiment!#REF!^2))/((Experiment!#REF!+50)^2+(Experiment!#REF!^2))</f>
        <v>#REF!</v>
      </c>
      <c r="K59" t="e">
        <f>((Experiment!#REF!+50)*Experiment!#REF!-Experiment!#REF!*(Experiment!#REF!-50))/((Experiment!#REF!+50)^2+(Experiment!#REF!^2))</f>
        <v>#REF!</v>
      </c>
      <c r="L59" t="e">
        <f t="shared" si="4"/>
        <v>#REF!</v>
      </c>
      <c r="M59" t="e">
        <f t="shared" si="5"/>
        <v>#REF!</v>
      </c>
      <c r="N59" t="e">
        <f t="shared" si="6"/>
        <v>#REF!</v>
      </c>
      <c r="Q59">
        <f>Experiment!A59</f>
        <v>9500000</v>
      </c>
      <c r="R59">
        <f>((Experiment!D59+50)*(Experiment!D59-50)+(Experiment!E59^2))/((Experiment!D59+50)^2+(Experiment!E59^2))</f>
        <v>0.89730524210894913</v>
      </c>
      <c r="S59">
        <f>((Experiment!D59+50)*Experiment!E59-Experiment!E59*(Experiment!D59-50))/((Experiment!D59+50)^2+(Experiment!E59^2))</f>
        <v>-2.9266638809290986E-2</v>
      </c>
      <c r="T59" t="str">
        <f t="shared" si="7"/>
        <v>0.897305242108949-0.029266638809291i</v>
      </c>
      <c r="U59">
        <f t="shared" si="12"/>
        <v>0.89778239772418866</v>
      </c>
      <c r="V59">
        <f t="shared" si="8"/>
        <v>0.93657827599617494</v>
      </c>
      <c r="Y59" t="e">
        <f>Experiment!#REF!</f>
        <v>#REF!</v>
      </c>
      <c r="Z59" t="e">
        <f>((Experiment!#REF!+50)*(Experiment!#REF!-50)+(Experiment!#REF!^2))/((Experiment!#REF!+50)^2+(Experiment!#REF!^2))</f>
        <v>#REF!</v>
      </c>
      <c r="AA59" t="e">
        <f>((Experiment!#REF!+50)*Experiment!#REF!-Experiment!#REF!*(Experiment!#REF!-50))/((Experiment!#REF!+50)^2+(Experiment!#REF!^2))</f>
        <v>#REF!</v>
      </c>
      <c r="AB59" t="e">
        <f t="shared" si="9"/>
        <v>#REF!</v>
      </c>
      <c r="AC59" t="e">
        <f t="shared" si="10"/>
        <v>#REF!</v>
      </c>
      <c r="AD59" t="e">
        <f t="shared" si="11"/>
        <v>#REF!</v>
      </c>
    </row>
    <row r="60" spans="1:30" x14ac:dyDescent="0.15">
      <c r="A60" t="e">
        <f>Experiment!#REF!</f>
        <v>#REF!</v>
      </c>
      <c r="B60" t="e">
        <f>((Experiment!#REF!+50)*(Experiment!#REF!-50)+(Experiment!#REF!^2))/((Experiment!#REF!+50)^2+(Experiment!#REF!^2))</f>
        <v>#REF!</v>
      </c>
      <c r="C60" t="e">
        <f>((Experiment!#REF!+50)*Experiment!#REF!-Experiment!#REF!*(Experiment!#REF!-50))/((Experiment!#REF!+50)^2+(Experiment!#REF!^2))</f>
        <v>#REF!</v>
      </c>
      <c r="D60" t="e">
        <f t="shared" si="1"/>
        <v>#REF!</v>
      </c>
      <c r="E60" t="e">
        <f t="shared" si="2"/>
        <v>#REF!</v>
      </c>
      <c r="F60" t="e">
        <f t="shared" si="3"/>
        <v>#REF!</v>
      </c>
      <c r="I60" t="e">
        <f>Experiment!#REF!</f>
        <v>#REF!</v>
      </c>
      <c r="J60" t="e">
        <f>((Experiment!#REF!+50)*(Experiment!#REF!-50)+(Experiment!#REF!^2))/((Experiment!#REF!+50)^2+(Experiment!#REF!^2))</f>
        <v>#REF!</v>
      </c>
      <c r="K60" t="e">
        <f>((Experiment!#REF!+50)*Experiment!#REF!-Experiment!#REF!*(Experiment!#REF!-50))/((Experiment!#REF!+50)^2+(Experiment!#REF!^2))</f>
        <v>#REF!</v>
      </c>
      <c r="L60" t="e">
        <f t="shared" si="4"/>
        <v>#REF!</v>
      </c>
      <c r="M60" t="e">
        <f t="shared" si="5"/>
        <v>#REF!</v>
      </c>
      <c r="N60" t="e">
        <f t="shared" si="6"/>
        <v>#REF!</v>
      </c>
      <c r="Q60">
        <f>Experiment!A60</f>
        <v>9900000</v>
      </c>
      <c r="R60">
        <f>((Experiment!D60+50)*(Experiment!D60-50)+(Experiment!E60^2))/((Experiment!D60+50)^2+(Experiment!E60^2))</f>
        <v>0.89725311589275636</v>
      </c>
      <c r="S60">
        <f>((Experiment!D60+50)*Experiment!E60-Experiment!E60*(Experiment!D60-50))/((Experiment!D60+50)^2+(Experiment!E60^2))</f>
        <v>-3.0506502877182384E-2</v>
      </c>
      <c r="T60" t="str">
        <f t="shared" si="7"/>
        <v>0.897253115892756-0.0305065028771824i</v>
      </c>
      <c r="U60">
        <f t="shared" si="12"/>
        <v>0.89777157489923665</v>
      </c>
      <c r="V60">
        <f t="shared" si="8"/>
        <v>0.93668298558947005</v>
      </c>
      <c r="Y60" t="e">
        <f>Experiment!#REF!</f>
        <v>#REF!</v>
      </c>
      <c r="Z60" t="e">
        <f>((Experiment!#REF!+50)*(Experiment!#REF!-50)+(Experiment!#REF!^2))/((Experiment!#REF!+50)^2+(Experiment!#REF!^2))</f>
        <v>#REF!</v>
      </c>
      <c r="AA60" t="e">
        <f>((Experiment!#REF!+50)*Experiment!#REF!-Experiment!#REF!*(Experiment!#REF!-50))/((Experiment!#REF!+50)^2+(Experiment!#REF!^2))</f>
        <v>#REF!</v>
      </c>
      <c r="AB60" t="e">
        <f t="shared" si="9"/>
        <v>#REF!</v>
      </c>
      <c r="AC60" t="e">
        <f t="shared" si="10"/>
        <v>#REF!</v>
      </c>
      <c r="AD60" t="e">
        <f t="shared" si="11"/>
        <v>#REF!</v>
      </c>
    </row>
    <row r="61" spans="1:30" x14ac:dyDescent="0.15">
      <c r="A61" t="e">
        <f>Experiment!#REF!</f>
        <v>#REF!</v>
      </c>
      <c r="B61" t="e">
        <f>((Experiment!#REF!+50)*(Experiment!#REF!-50)+(Experiment!#REF!^2))/((Experiment!#REF!+50)^2+(Experiment!#REF!^2))</f>
        <v>#REF!</v>
      </c>
      <c r="C61" t="e">
        <f>((Experiment!#REF!+50)*Experiment!#REF!-Experiment!#REF!*(Experiment!#REF!-50))/((Experiment!#REF!+50)^2+(Experiment!#REF!^2))</f>
        <v>#REF!</v>
      </c>
      <c r="D61" t="e">
        <f t="shared" si="1"/>
        <v>#REF!</v>
      </c>
      <c r="E61" t="e">
        <f t="shared" si="2"/>
        <v>#REF!</v>
      </c>
      <c r="F61" t="e">
        <f t="shared" si="3"/>
        <v>#REF!</v>
      </c>
      <c r="I61" t="e">
        <f>Experiment!#REF!</f>
        <v>#REF!</v>
      </c>
      <c r="J61" t="e">
        <f>((Experiment!#REF!+50)*(Experiment!#REF!-50)+(Experiment!#REF!^2))/((Experiment!#REF!+50)^2+(Experiment!#REF!^2))</f>
        <v>#REF!</v>
      </c>
      <c r="K61" t="e">
        <f>((Experiment!#REF!+50)*Experiment!#REF!-Experiment!#REF!*(Experiment!#REF!-50))/((Experiment!#REF!+50)^2+(Experiment!#REF!^2))</f>
        <v>#REF!</v>
      </c>
      <c r="L61" t="e">
        <f t="shared" si="4"/>
        <v>#REF!</v>
      </c>
      <c r="M61" t="e">
        <f t="shared" si="5"/>
        <v>#REF!</v>
      </c>
      <c r="N61" t="e">
        <f t="shared" si="6"/>
        <v>#REF!</v>
      </c>
      <c r="Q61">
        <f>Experiment!A61</f>
        <v>10300000</v>
      </c>
      <c r="R61">
        <f>((Experiment!D61+50)*(Experiment!D61-50)+(Experiment!E61^2))/((Experiment!D61+50)^2+(Experiment!E61^2))</f>
        <v>0.89721273853793604</v>
      </c>
      <c r="S61">
        <f>((Experiment!D61+50)*Experiment!E61-Experiment!E61*(Experiment!D61-50))/((Experiment!D61+50)^2+(Experiment!E61^2))</f>
        <v>-3.175073773198616E-2</v>
      </c>
      <c r="T61" t="str">
        <f t="shared" si="7"/>
        <v>0.897212738537936-0.0317507377319862i</v>
      </c>
      <c r="U61">
        <f t="shared" si="12"/>
        <v>0.89777436337938954</v>
      </c>
      <c r="V61">
        <f t="shared" si="8"/>
        <v>0.93665600724227249</v>
      </c>
      <c r="Y61" t="e">
        <f>Experiment!#REF!</f>
        <v>#REF!</v>
      </c>
      <c r="Z61" t="e">
        <f>((Experiment!#REF!+50)*(Experiment!#REF!-50)+(Experiment!#REF!^2))/((Experiment!#REF!+50)^2+(Experiment!#REF!^2))</f>
        <v>#REF!</v>
      </c>
      <c r="AA61" t="e">
        <f>((Experiment!#REF!+50)*Experiment!#REF!-Experiment!#REF!*(Experiment!#REF!-50))/((Experiment!#REF!+50)^2+(Experiment!#REF!^2))</f>
        <v>#REF!</v>
      </c>
      <c r="AB61" t="e">
        <f t="shared" si="9"/>
        <v>#REF!</v>
      </c>
      <c r="AC61" t="e">
        <f t="shared" si="10"/>
        <v>#REF!</v>
      </c>
      <c r="AD61" t="e">
        <f t="shared" si="11"/>
        <v>#REF!</v>
      </c>
    </row>
    <row r="62" spans="1:30" x14ac:dyDescent="0.15">
      <c r="A62" t="e">
        <f>Experiment!#REF!</f>
        <v>#REF!</v>
      </c>
      <c r="B62" t="e">
        <f>((Experiment!#REF!+50)*(Experiment!#REF!-50)+(Experiment!#REF!^2))/((Experiment!#REF!+50)^2+(Experiment!#REF!^2))</f>
        <v>#REF!</v>
      </c>
      <c r="C62" t="e">
        <f>((Experiment!#REF!+50)*Experiment!#REF!-Experiment!#REF!*(Experiment!#REF!-50))/((Experiment!#REF!+50)^2+(Experiment!#REF!^2))</f>
        <v>#REF!</v>
      </c>
      <c r="D62" t="e">
        <f t="shared" si="1"/>
        <v>#REF!</v>
      </c>
      <c r="E62" t="e">
        <f t="shared" si="2"/>
        <v>#REF!</v>
      </c>
      <c r="F62" t="e">
        <f t="shared" si="3"/>
        <v>#REF!</v>
      </c>
      <c r="I62" t="e">
        <f>Experiment!#REF!</f>
        <v>#REF!</v>
      </c>
      <c r="J62" t="e">
        <f>((Experiment!#REF!+50)*(Experiment!#REF!-50)+(Experiment!#REF!^2))/((Experiment!#REF!+50)^2+(Experiment!#REF!^2))</f>
        <v>#REF!</v>
      </c>
      <c r="K62" t="e">
        <f>((Experiment!#REF!+50)*Experiment!#REF!-Experiment!#REF!*(Experiment!#REF!-50))/((Experiment!#REF!+50)^2+(Experiment!#REF!^2))</f>
        <v>#REF!</v>
      </c>
      <c r="L62" t="e">
        <f t="shared" si="4"/>
        <v>#REF!</v>
      </c>
      <c r="M62" t="e">
        <f t="shared" si="5"/>
        <v>#REF!</v>
      </c>
      <c r="N62" t="e">
        <f t="shared" si="6"/>
        <v>#REF!</v>
      </c>
      <c r="Q62">
        <f>Experiment!A62</f>
        <v>10700000</v>
      </c>
      <c r="R62">
        <f>((Experiment!D62+50)*(Experiment!D62-50)+(Experiment!E62^2))/((Experiment!D62+50)^2+(Experiment!E62^2))</f>
        <v>0.89715929577519027</v>
      </c>
      <c r="S62">
        <f>((Experiment!D62+50)*Experiment!E62-Experiment!E62*(Experiment!D62-50))/((Experiment!D62+50)^2+(Experiment!E62^2))</f>
        <v>-3.2996349313717074E-2</v>
      </c>
      <c r="T62" t="str">
        <f t="shared" si="7"/>
        <v>0.89715929577519-0.0329963493137171i</v>
      </c>
      <c r="U62">
        <f t="shared" si="12"/>
        <v>0.89776587207571446</v>
      </c>
      <c r="V62">
        <f t="shared" si="8"/>
        <v>0.93673816026246026</v>
      </c>
      <c r="Y62" t="e">
        <f>Experiment!#REF!</f>
        <v>#REF!</v>
      </c>
      <c r="Z62" t="e">
        <f>((Experiment!#REF!+50)*(Experiment!#REF!-50)+(Experiment!#REF!^2))/((Experiment!#REF!+50)^2+(Experiment!#REF!^2))</f>
        <v>#REF!</v>
      </c>
      <c r="AA62" t="e">
        <f>((Experiment!#REF!+50)*Experiment!#REF!-Experiment!#REF!*(Experiment!#REF!-50))/((Experiment!#REF!+50)^2+(Experiment!#REF!^2))</f>
        <v>#REF!</v>
      </c>
      <c r="AB62" t="e">
        <f t="shared" si="9"/>
        <v>#REF!</v>
      </c>
      <c r="AC62" t="e">
        <f t="shared" si="10"/>
        <v>#REF!</v>
      </c>
      <c r="AD62" t="e">
        <f t="shared" si="11"/>
        <v>#REF!</v>
      </c>
    </row>
    <row r="63" spans="1:30" x14ac:dyDescent="0.15">
      <c r="A63" t="e">
        <f>Experiment!#REF!</f>
        <v>#REF!</v>
      </c>
      <c r="B63" t="e">
        <f>((Experiment!#REF!+50)*(Experiment!#REF!-50)+(Experiment!#REF!^2))/((Experiment!#REF!+50)^2+(Experiment!#REF!^2))</f>
        <v>#REF!</v>
      </c>
      <c r="C63" t="e">
        <f>((Experiment!#REF!+50)*Experiment!#REF!-Experiment!#REF!*(Experiment!#REF!-50))/((Experiment!#REF!+50)^2+(Experiment!#REF!^2))</f>
        <v>#REF!</v>
      </c>
      <c r="D63" t="e">
        <f t="shared" si="1"/>
        <v>#REF!</v>
      </c>
      <c r="E63" t="e">
        <f t="shared" si="2"/>
        <v>#REF!</v>
      </c>
      <c r="F63" t="e">
        <f t="shared" si="3"/>
        <v>#REF!</v>
      </c>
      <c r="I63" t="e">
        <f>Experiment!#REF!</f>
        <v>#REF!</v>
      </c>
      <c r="J63" t="e">
        <f>((Experiment!#REF!+50)*(Experiment!#REF!-50)+(Experiment!#REF!^2))/((Experiment!#REF!+50)^2+(Experiment!#REF!^2))</f>
        <v>#REF!</v>
      </c>
      <c r="K63" t="e">
        <f>((Experiment!#REF!+50)*Experiment!#REF!-Experiment!#REF!*(Experiment!#REF!-50))/((Experiment!#REF!+50)^2+(Experiment!#REF!^2))</f>
        <v>#REF!</v>
      </c>
      <c r="L63" t="e">
        <f t="shared" si="4"/>
        <v>#REF!</v>
      </c>
      <c r="M63" t="e">
        <f t="shared" si="5"/>
        <v>#REF!</v>
      </c>
      <c r="N63" t="e">
        <f t="shared" si="6"/>
        <v>#REF!</v>
      </c>
      <c r="Q63">
        <f>Experiment!A63</f>
        <v>11200000</v>
      </c>
      <c r="R63">
        <f>((Experiment!D63+50)*(Experiment!D63-50)+(Experiment!E63^2))/((Experiment!D63+50)^2+(Experiment!E63^2))</f>
        <v>0.89714252686198293</v>
      </c>
      <c r="S63">
        <f>((Experiment!D63+50)*Experiment!E63-Experiment!E63*(Experiment!D63-50))/((Experiment!D63+50)^2+(Experiment!E63^2))</f>
        <v>-3.4534337214935443E-2</v>
      </c>
      <c r="T63" t="str">
        <f t="shared" si="7"/>
        <v>0.897142526861983-0.0345343372149354i</v>
      </c>
      <c r="U63">
        <f t="shared" si="12"/>
        <v>0.8978069580656961</v>
      </c>
      <c r="V63">
        <f t="shared" si="8"/>
        <v>0.93634066218416134</v>
      </c>
      <c r="Y63" t="e">
        <f>Experiment!#REF!</f>
        <v>#REF!</v>
      </c>
      <c r="Z63" t="e">
        <f>((Experiment!#REF!+50)*(Experiment!#REF!-50)+(Experiment!#REF!^2))/((Experiment!#REF!+50)^2+(Experiment!#REF!^2))</f>
        <v>#REF!</v>
      </c>
      <c r="AA63" t="e">
        <f>((Experiment!#REF!+50)*Experiment!#REF!-Experiment!#REF!*(Experiment!#REF!-50))/((Experiment!#REF!+50)^2+(Experiment!#REF!^2))</f>
        <v>#REF!</v>
      </c>
      <c r="AB63" t="e">
        <f t="shared" si="9"/>
        <v>#REF!</v>
      </c>
      <c r="AC63" t="e">
        <f t="shared" si="10"/>
        <v>#REF!</v>
      </c>
      <c r="AD63" t="e">
        <f t="shared" si="11"/>
        <v>#REF!</v>
      </c>
    </row>
    <row r="64" spans="1:30" x14ac:dyDescent="0.15">
      <c r="A64" t="e">
        <f>Experiment!#REF!</f>
        <v>#REF!</v>
      </c>
      <c r="B64" t="e">
        <f>((Experiment!#REF!+50)*(Experiment!#REF!-50)+(Experiment!#REF!^2))/((Experiment!#REF!+50)^2+(Experiment!#REF!^2))</f>
        <v>#REF!</v>
      </c>
      <c r="C64" t="e">
        <f>((Experiment!#REF!+50)*Experiment!#REF!-Experiment!#REF!*(Experiment!#REF!-50))/((Experiment!#REF!+50)^2+(Experiment!#REF!^2))</f>
        <v>#REF!</v>
      </c>
      <c r="D64" t="e">
        <f t="shared" si="1"/>
        <v>#REF!</v>
      </c>
      <c r="E64" t="e">
        <f t="shared" si="2"/>
        <v>#REF!</v>
      </c>
      <c r="F64" t="e">
        <f t="shared" si="3"/>
        <v>#REF!</v>
      </c>
      <c r="I64" t="e">
        <f>Experiment!#REF!</f>
        <v>#REF!</v>
      </c>
      <c r="J64" t="e">
        <f>((Experiment!#REF!+50)*(Experiment!#REF!-50)+(Experiment!#REF!^2))/((Experiment!#REF!+50)^2+(Experiment!#REF!^2))</f>
        <v>#REF!</v>
      </c>
      <c r="K64" t="e">
        <f>((Experiment!#REF!+50)*Experiment!#REF!-Experiment!#REF!*(Experiment!#REF!-50))/((Experiment!#REF!+50)^2+(Experiment!#REF!^2))</f>
        <v>#REF!</v>
      </c>
      <c r="L64" t="e">
        <f t="shared" si="4"/>
        <v>#REF!</v>
      </c>
      <c r="M64" t="e">
        <f t="shared" si="5"/>
        <v>#REF!</v>
      </c>
      <c r="N64" t="e">
        <f t="shared" si="6"/>
        <v>#REF!</v>
      </c>
      <c r="Q64">
        <f>Experiment!A64</f>
        <v>11600000</v>
      </c>
      <c r="R64">
        <f>((Experiment!D64+50)*(Experiment!D64-50)+(Experiment!E64^2))/((Experiment!D64+50)^2+(Experiment!E64^2))</f>
        <v>0.8970427367020174</v>
      </c>
      <c r="S64">
        <f>((Experiment!D64+50)*Experiment!E64-Experiment!E64*(Experiment!D64-50))/((Experiment!D64+50)^2+(Experiment!E64^2))</f>
        <v>-3.5730934188076956E-2</v>
      </c>
      <c r="T64" t="str">
        <f t="shared" si="7"/>
        <v>0.897042736702017-0.035730934188077i</v>
      </c>
      <c r="U64">
        <f t="shared" si="12"/>
        <v>0.89775407051586109</v>
      </c>
      <c r="V64">
        <f t="shared" si="8"/>
        <v>0.9368523411679609</v>
      </c>
      <c r="Y64" t="e">
        <f>Experiment!#REF!</f>
        <v>#REF!</v>
      </c>
      <c r="Z64" t="e">
        <f>((Experiment!#REF!+50)*(Experiment!#REF!-50)+(Experiment!#REF!^2))/((Experiment!#REF!+50)^2+(Experiment!#REF!^2))</f>
        <v>#REF!</v>
      </c>
      <c r="AA64" t="e">
        <f>((Experiment!#REF!+50)*Experiment!#REF!-Experiment!#REF!*(Experiment!#REF!-50))/((Experiment!#REF!+50)^2+(Experiment!#REF!^2))</f>
        <v>#REF!</v>
      </c>
      <c r="AB64" t="e">
        <f t="shared" si="9"/>
        <v>#REF!</v>
      </c>
      <c r="AC64" t="e">
        <f t="shared" si="10"/>
        <v>#REF!</v>
      </c>
      <c r="AD64" t="e">
        <f t="shared" si="11"/>
        <v>#REF!</v>
      </c>
    </row>
    <row r="65" spans="1:30" x14ac:dyDescent="0.15">
      <c r="A65" t="e">
        <f>Experiment!#REF!</f>
        <v>#REF!</v>
      </c>
      <c r="B65" t="e">
        <f>((Experiment!#REF!+50)*(Experiment!#REF!-50)+(Experiment!#REF!^2))/((Experiment!#REF!+50)^2+(Experiment!#REF!^2))</f>
        <v>#REF!</v>
      </c>
      <c r="C65" t="e">
        <f>((Experiment!#REF!+50)*Experiment!#REF!-Experiment!#REF!*(Experiment!#REF!-50))/((Experiment!#REF!+50)^2+(Experiment!#REF!^2))</f>
        <v>#REF!</v>
      </c>
      <c r="D65" t="e">
        <f t="shared" si="1"/>
        <v>#REF!</v>
      </c>
      <c r="E65" t="e">
        <f t="shared" si="2"/>
        <v>#REF!</v>
      </c>
      <c r="F65" t="e">
        <f t="shared" si="3"/>
        <v>#REF!</v>
      </c>
      <c r="I65" t="e">
        <f>Experiment!#REF!</f>
        <v>#REF!</v>
      </c>
      <c r="J65" t="e">
        <f>((Experiment!#REF!+50)*(Experiment!#REF!-50)+(Experiment!#REF!^2))/((Experiment!#REF!+50)^2+(Experiment!#REF!^2))</f>
        <v>#REF!</v>
      </c>
      <c r="K65" t="e">
        <f>((Experiment!#REF!+50)*Experiment!#REF!-Experiment!#REF!*(Experiment!#REF!-50))/((Experiment!#REF!+50)^2+(Experiment!#REF!^2))</f>
        <v>#REF!</v>
      </c>
      <c r="L65" t="e">
        <f t="shared" si="4"/>
        <v>#REF!</v>
      </c>
      <c r="M65" t="e">
        <f t="shared" si="5"/>
        <v>#REF!</v>
      </c>
      <c r="N65" t="e">
        <f t="shared" si="6"/>
        <v>#REF!</v>
      </c>
      <c r="Q65">
        <f>Experiment!A65</f>
        <v>12100000</v>
      </c>
      <c r="R65">
        <f>((Experiment!D65+50)*(Experiment!D65-50)+(Experiment!E65^2))/((Experiment!D65+50)^2+(Experiment!E65^2))</f>
        <v>0.89698013365651386</v>
      </c>
      <c r="S65">
        <f>((Experiment!D65+50)*Experiment!E65-Experiment!E65*(Experiment!D65-50))/((Experiment!D65+50)^2+(Experiment!E65^2))</f>
        <v>-3.7240054794756103E-2</v>
      </c>
      <c r="T65" t="str">
        <f t="shared" si="7"/>
        <v>0.896980133656514-0.0372400547947561i</v>
      </c>
      <c r="U65">
        <f t="shared" si="12"/>
        <v>0.89775285120993853</v>
      </c>
      <c r="V65">
        <f t="shared" si="8"/>
        <v>0.93686413812240343</v>
      </c>
      <c r="Y65" t="e">
        <f>Experiment!#REF!</f>
        <v>#REF!</v>
      </c>
      <c r="Z65" t="e">
        <f>((Experiment!#REF!+50)*(Experiment!#REF!-50)+(Experiment!#REF!^2))/((Experiment!#REF!+50)^2+(Experiment!#REF!^2))</f>
        <v>#REF!</v>
      </c>
      <c r="AA65" t="e">
        <f>((Experiment!#REF!+50)*Experiment!#REF!-Experiment!#REF!*(Experiment!#REF!-50))/((Experiment!#REF!+50)^2+(Experiment!#REF!^2))</f>
        <v>#REF!</v>
      </c>
      <c r="AB65" t="e">
        <f t="shared" si="9"/>
        <v>#REF!</v>
      </c>
      <c r="AC65" t="e">
        <f t="shared" si="10"/>
        <v>#REF!</v>
      </c>
      <c r="AD65" t="e">
        <f t="shared" si="11"/>
        <v>#REF!</v>
      </c>
    </row>
    <row r="66" spans="1:30" x14ac:dyDescent="0.15">
      <c r="A66" t="e">
        <f>Experiment!#REF!</f>
        <v>#REF!</v>
      </c>
      <c r="B66" t="e">
        <f>((Experiment!#REF!+50)*(Experiment!#REF!-50)+(Experiment!#REF!^2))/((Experiment!#REF!+50)^2+(Experiment!#REF!^2))</f>
        <v>#REF!</v>
      </c>
      <c r="C66" t="e">
        <f>((Experiment!#REF!+50)*Experiment!#REF!-Experiment!#REF!*(Experiment!#REF!-50))/((Experiment!#REF!+50)^2+(Experiment!#REF!^2))</f>
        <v>#REF!</v>
      </c>
      <c r="D66" t="e">
        <f t="shared" si="1"/>
        <v>#REF!</v>
      </c>
      <c r="E66" t="e">
        <f t="shared" si="2"/>
        <v>#REF!</v>
      </c>
      <c r="F66" t="e">
        <f t="shared" si="3"/>
        <v>#REF!</v>
      </c>
      <c r="I66" t="e">
        <f>Experiment!#REF!</f>
        <v>#REF!</v>
      </c>
      <c r="J66" t="e">
        <f>((Experiment!#REF!+50)*(Experiment!#REF!-50)+(Experiment!#REF!^2))/((Experiment!#REF!+50)^2+(Experiment!#REF!^2))</f>
        <v>#REF!</v>
      </c>
      <c r="K66" t="e">
        <f>((Experiment!#REF!+50)*Experiment!#REF!-Experiment!#REF!*(Experiment!#REF!-50))/((Experiment!#REF!+50)^2+(Experiment!#REF!^2))</f>
        <v>#REF!</v>
      </c>
      <c r="L66" t="e">
        <f t="shared" si="4"/>
        <v>#REF!</v>
      </c>
      <c r="M66" t="e">
        <f t="shared" si="5"/>
        <v>#REF!</v>
      </c>
      <c r="N66" t="e">
        <f t="shared" si="6"/>
        <v>#REF!</v>
      </c>
      <c r="Q66">
        <f>Experiment!A66</f>
        <v>12600000</v>
      </c>
      <c r="R66">
        <f>((Experiment!D66+50)*(Experiment!D66-50)+(Experiment!E66^2))/((Experiment!D66+50)^2+(Experiment!E66^2))</f>
        <v>0.89700011682056935</v>
      </c>
      <c r="S66">
        <f>((Experiment!D66+50)*Experiment!E66-Experiment!E66*(Experiment!D66-50))/((Experiment!D66+50)^2+(Experiment!E66^2))</f>
        <v>-3.8792975581523045E-2</v>
      </c>
      <c r="T66" t="str">
        <f t="shared" si="7"/>
        <v>0.897000116820569-0.038792975581523i</v>
      </c>
      <c r="U66">
        <f t="shared" si="12"/>
        <v>0.89783857375955045</v>
      </c>
      <c r="V66">
        <f t="shared" si="8"/>
        <v>0.93603479955948288</v>
      </c>
      <c r="Y66" t="e">
        <f>Experiment!#REF!</f>
        <v>#REF!</v>
      </c>
      <c r="Z66" t="e">
        <f>((Experiment!#REF!+50)*(Experiment!#REF!-50)+(Experiment!#REF!^2))/((Experiment!#REF!+50)^2+(Experiment!#REF!^2))</f>
        <v>#REF!</v>
      </c>
      <c r="AA66" t="e">
        <f>((Experiment!#REF!+50)*Experiment!#REF!-Experiment!#REF!*(Experiment!#REF!-50))/((Experiment!#REF!+50)^2+(Experiment!#REF!^2))</f>
        <v>#REF!</v>
      </c>
      <c r="AB66" t="e">
        <f t="shared" si="9"/>
        <v>#REF!</v>
      </c>
      <c r="AC66" t="e">
        <f t="shared" si="10"/>
        <v>#REF!</v>
      </c>
      <c r="AD66" t="e">
        <f t="shared" si="11"/>
        <v>#REF!</v>
      </c>
    </row>
    <row r="67" spans="1:30" x14ac:dyDescent="0.15">
      <c r="A67" t="e">
        <f>Experiment!#REF!</f>
        <v>#REF!</v>
      </c>
      <c r="B67" t="e">
        <f>((Experiment!#REF!+50)*(Experiment!#REF!-50)+(Experiment!#REF!^2))/((Experiment!#REF!+50)^2+(Experiment!#REF!^2))</f>
        <v>#REF!</v>
      </c>
      <c r="C67" t="e">
        <f>((Experiment!#REF!+50)*Experiment!#REF!-Experiment!#REF!*(Experiment!#REF!-50))/((Experiment!#REF!+50)^2+(Experiment!#REF!^2))</f>
        <v>#REF!</v>
      </c>
      <c r="D67" t="e">
        <f t="shared" si="1"/>
        <v>#REF!</v>
      </c>
      <c r="E67" t="e">
        <f t="shared" si="2"/>
        <v>#REF!</v>
      </c>
      <c r="F67" t="e">
        <f t="shared" si="3"/>
        <v>#REF!</v>
      </c>
      <c r="I67" t="e">
        <f>Experiment!#REF!</f>
        <v>#REF!</v>
      </c>
      <c r="J67" t="e">
        <f>((Experiment!#REF!+50)*(Experiment!#REF!-50)+(Experiment!#REF!^2))/((Experiment!#REF!+50)^2+(Experiment!#REF!^2))</f>
        <v>#REF!</v>
      </c>
      <c r="K67" t="e">
        <f>((Experiment!#REF!+50)*Experiment!#REF!-Experiment!#REF!*(Experiment!#REF!-50))/((Experiment!#REF!+50)^2+(Experiment!#REF!^2))</f>
        <v>#REF!</v>
      </c>
      <c r="L67" t="e">
        <f t="shared" si="4"/>
        <v>#REF!</v>
      </c>
      <c r="M67" t="e">
        <f t="shared" si="5"/>
        <v>#REF!</v>
      </c>
      <c r="N67" t="e">
        <f t="shared" si="6"/>
        <v>#REF!</v>
      </c>
      <c r="Q67">
        <f>Experiment!A67</f>
        <v>13100000</v>
      </c>
      <c r="R67">
        <f>((Experiment!D67+50)*(Experiment!D67-50)+(Experiment!E67^2))/((Experiment!D67+50)^2+(Experiment!E67^2))</f>
        <v>0.89697544662807238</v>
      </c>
      <c r="S67">
        <f>((Experiment!D67+50)*Experiment!E67-Experiment!E67*(Experiment!D67-50))/((Experiment!D67+50)^2+(Experiment!E67^2))</f>
        <v>-4.0372332852919988E-2</v>
      </c>
      <c r="T67" t="str">
        <f t="shared" si="7"/>
        <v>0.896975446628072-0.04037233285292i</v>
      </c>
      <c r="U67">
        <f t="shared" ref="U67:U98" si="13">SQRT(R67^2+S67^2)</f>
        <v>0.89788355431738298</v>
      </c>
      <c r="V67">
        <f t="shared" si="8"/>
        <v>0.93559965855947513</v>
      </c>
      <c r="Y67" t="e">
        <f>Experiment!#REF!</f>
        <v>#REF!</v>
      </c>
      <c r="Z67" t="e">
        <f>((Experiment!#REF!+50)*(Experiment!#REF!-50)+(Experiment!#REF!^2))/((Experiment!#REF!+50)^2+(Experiment!#REF!^2))</f>
        <v>#REF!</v>
      </c>
      <c r="AA67" t="e">
        <f>((Experiment!#REF!+50)*Experiment!#REF!-Experiment!#REF!*(Experiment!#REF!-50))/((Experiment!#REF!+50)^2+(Experiment!#REF!^2))</f>
        <v>#REF!</v>
      </c>
      <c r="AB67" t="e">
        <f t="shared" si="9"/>
        <v>#REF!</v>
      </c>
      <c r="AC67" t="e">
        <f t="shared" si="10"/>
        <v>#REF!</v>
      </c>
      <c r="AD67" t="e">
        <f t="shared" si="11"/>
        <v>#REF!</v>
      </c>
    </row>
    <row r="68" spans="1:30" x14ac:dyDescent="0.15">
      <c r="A68" t="e">
        <f>Experiment!#REF!</f>
        <v>#REF!</v>
      </c>
      <c r="B68" t="e">
        <f>((Experiment!#REF!+50)*(Experiment!#REF!-50)+(Experiment!#REF!^2))/((Experiment!#REF!+50)^2+(Experiment!#REF!^2))</f>
        <v>#REF!</v>
      </c>
      <c r="C68" t="e">
        <f>((Experiment!#REF!+50)*Experiment!#REF!-Experiment!#REF!*(Experiment!#REF!-50))/((Experiment!#REF!+50)^2+(Experiment!#REF!^2))</f>
        <v>#REF!</v>
      </c>
      <c r="D68" t="e">
        <f t="shared" ref="D68:D131" si="14">IMSUM(B68,IMPRODUCT(C68,$C$1))</f>
        <v>#REF!</v>
      </c>
      <c r="E68" t="e">
        <f t="shared" ref="E68:E131" si="15">SQRT(B68^2+C68^2)</f>
        <v>#REF!</v>
      </c>
      <c r="F68" t="e">
        <f t="shared" ref="F68:F131" si="16">-20*LOG(ABS(E68))</f>
        <v>#REF!</v>
      </c>
      <c r="I68" t="e">
        <f>Experiment!#REF!</f>
        <v>#REF!</v>
      </c>
      <c r="J68" t="e">
        <f>((Experiment!#REF!+50)*(Experiment!#REF!-50)+(Experiment!#REF!^2))/((Experiment!#REF!+50)^2+(Experiment!#REF!^2))</f>
        <v>#REF!</v>
      </c>
      <c r="K68" t="e">
        <f>((Experiment!#REF!+50)*Experiment!#REF!-Experiment!#REF!*(Experiment!#REF!-50))/((Experiment!#REF!+50)^2+(Experiment!#REF!^2))</f>
        <v>#REF!</v>
      </c>
      <c r="L68" t="e">
        <f t="shared" ref="L68:L131" si="17">IMSUM(J68,IMPRODUCT(K68,$K$1))</f>
        <v>#REF!</v>
      </c>
      <c r="M68" t="e">
        <f t="shared" ref="M68:M131" si="18">SQRT(J68^2+K68^2)</f>
        <v>#REF!</v>
      </c>
      <c r="N68" t="e">
        <f t="shared" ref="N68:N131" si="19">-20*LOG(ABS(M68))</f>
        <v>#REF!</v>
      </c>
      <c r="Q68">
        <f>Experiment!A68</f>
        <v>13700000</v>
      </c>
      <c r="R68">
        <f>((Experiment!D68+50)*(Experiment!D68-50)+(Experiment!E68^2))/((Experiment!D68+50)^2+(Experiment!E68^2))</f>
        <v>0.89695643415426507</v>
      </c>
      <c r="S68">
        <f>((Experiment!D68+50)*Experiment!E68-Experiment!E68*(Experiment!D68-50))/((Experiment!D68+50)^2+(Experiment!E68^2))</f>
        <v>-4.2212341362878422E-2</v>
      </c>
      <c r="T68" t="str">
        <f t="shared" ref="T68:T131" si="20">IMSUM(R68,IMPRODUCT(S68,$S$1))</f>
        <v>0.896956434154265-0.0422123413628784i</v>
      </c>
      <c r="U68">
        <f t="shared" si="13"/>
        <v>0.8979491781465534</v>
      </c>
      <c r="V68">
        <f t="shared" ref="V68:V131" si="21">-20*LOG(ABS(U68))</f>
        <v>0.93496485407267516</v>
      </c>
      <c r="Y68" t="e">
        <f>Experiment!#REF!</f>
        <v>#REF!</v>
      </c>
      <c r="Z68" t="e">
        <f>((Experiment!#REF!+50)*(Experiment!#REF!-50)+(Experiment!#REF!^2))/((Experiment!#REF!+50)^2+(Experiment!#REF!^2))</f>
        <v>#REF!</v>
      </c>
      <c r="AA68" t="e">
        <f>((Experiment!#REF!+50)*Experiment!#REF!-Experiment!#REF!*(Experiment!#REF!-50))/((Experiment!#REF!+50)^2+(Experiment!#REF!^2))</f>
        <v>#REF!</v>
      </c>
      <c r="AB68" t="e">
        <f t="shared" ref="AB68:AB131" si="22">IMSUM(Z68,IMPRODUCT(AA68,$AA$1))</f>
        <v>#REF!</v>
      </c>
      <c r="AC68" t="e">
        <f t="shared" ref="AC68:AC131" si="23">SQRT(Z68^2+AA68^2)</f>
        <v>#REF!</v>
      </c>
      <c r="AD68" t="e">
        <f t="shared" ref="AD68:AD131" si="24">-20*LOG(ABS(AC68))</f>
        <v>#REF!</v>
      </c>
    </row>
    <row r="69" spans="1:30" x14ac:dyDescent="0.15">
      <c r="A69" t="e">
        <f>Experiment!#REF!</f>
        <v>#REF!</v>
      </c>
      <c r="B69" t="e">
        <f>((Experiment!#REF!+50)*(Experiment!#REF!-50)+(Experiment!#REF!^2))/((Experiment!#REF!+50)^2+(Experiment!#REF!^2))</f>
        <v>#REF!</v>
      </c>
      <c r="C69" t="e">
        <f>((Experiment!#REF!+50)*Experiment!#REF!-Experiment!#REF!*(Experiment!#REF!-50))/((Experiment!#REF!+50)^2+(Experiment!#REF!^2))</f>
        <v>#REF!</v>
      </c>
      <c r="D69" t="e">
        <f t="shared" si="14"/>
        <v>#REF!</v>
      </c>
      <c r="E69" t="e">
        <f t="shared" si="15"/>
        <v>#REF!</v>
      </c>
      <c r="F69" t="e">
        <f t="shared" si="16"/>
        <v>#REF!</v>
      </c>
      <c r="I69" t="e">
        <f>Experiment!#REF!</f>
        <v>#REF!</v>
      </c>
      <c r="J69" t="e">
        <f>((Experiment!#REF!+50)*(Experiment!#REF!-50)+(Experiment!#REF!^2))/((Experiment!#REF!+50)^2+(Experiment!#REF!^2))</f>
        <v>#REF!</v>
      </c>
      <c r="K69" t="e">
        <f>((Experiment!#REF!+50)*Experiment!#REF!-Experiment!#REF!*(Experiment!#REF!-50))/((Experiment!#REF!+50)^2+(Experiment!#REF!^2))</f>
        <v>#REF!</v>
      </c>
      <c r="L69" t="e">
        <f t="shared" si="17"/>
        <v>#REF!</v>
      </c>
      <c r="M69" t="e">
        <f t="shared" si="18"/>
        <v>#REF!</v>
      </c>
      <c r="N69" t="e">
        <f t="shared" si="19"/>
        <v>#REF!</v>
      </c>
      <c r="Q69">
        <f>Experiment!A69</f>
        <v>14200000</v>
      </c>
      <c r="R69">
        <f>((Experiment!D69+50)*(Experiment!D69-50)+(Experiment!E69^2))/((Experiment!D69+50)^2+(Experiment!E69^2))</f>
        <v>0.89688260250122076</v>
      </c>
      <c r="S69">
        <f>((Experiment!D69+50)*Experiment!E69-Experiment!E69*(Experiment!D69-50))/((Experiment!D69+50)^2+(Experiment!E69^2))</f>
        <v>-4.3722076611520617E-2</v>
      </c>
      <c r="T69" t="str">
        <f t="shared" si="20"/>
        <v>0.896882602501221-0.0437220766115206i</v>
      </c>
      <c r="U69">
        <f t="shared" si="13"/>
        <v>0.89794767255814323</v>
      </c>
      <c r="V69">
        <f t="shared" si="21"/>
        <v>0.93497941768724568</v>
      </c>
      <c r="Y69" t="e">
        <f>Experiment!#REF!</f>
        <v>#REF!</v>
      </c>
      <c r="Z69" t="e">
        <f>((Experiment!#REF!+50)*(Experiment!#REF!-50)+(Experiment!#REF!^2))/((Experiment!#REF!+50)^2+(Experiment!#REF!^2))</f>
        <v>#REF!</v>
      </c>
      <c r="AA69" t="e">
        <f>((Experiment!#REF!+50)*Experiment!#REF!-Experiment!#REF!*(Experiment!#REF!-50))/((Experiment!#REF!+50)^2+(Experiment!#REF!^2))</f>
        <v>#REF!</v>
      </c>
      <c r="AB69" t="e">
        <f t="shared" si="22"/>
        <v>#REF!</v>
      </c>
      <c r="AC69" t="e">
        <f t="shared" si="23"/>
        <v>#REF!</v>
      </c>
      <c r="AD69" t="e">
        <f t="shared" si="24"/>
        <v>#REF!</v>
      </c>
    </row>
    <row r="70" spans="1:30" x14ac:dyDescent="0.15">
      <c r="A70" t="e">
        <f>Experiment!#REF!</f>
        <v>#REF!</v>
      </c>
      <c r="B70" t="e">
        <f>((Experiment!#REF!+50)*(Experiment!#REF!-50)+(Experiment!#REF!^2))/((Experiment!#REF!+50)^2+(Experiment!#REF!^2))</f>
        <v>#REF!</v>
      </c>
      <c r="C70" t="e">
        <f>((Experiment!#REF!+50)*Experiment!#REF!-Experiment!#REF!*(Experiment!#REF!-50))/((Experiment!#REF!+50)^2+(Experiment!#REF!^2))</f>
        <v>#REF!</v>
      </c>
      <c r="D70" t="e">
        <f t="shared" si="14"/>
        <v>#REF!</v>
      </c>
      <c r="E70" t="e">
        <f t="shared" si="15"/>
        <v>#REF!</v>
      </c>
      <c r="F70" t="e">
        <f t="shared" si="16"/>
        <v>#REF!</v>
      </c>
      <c r="I70" t="e">
        <f>Experiment!#REF!</f>
        <v>#REF!</v>
      </c>
      <c r="J70" t="e">
        <f>((Experiment!#REF!+50)*(Experiment!#REF!-50)+(Experiment!#REF!^2))/((Experiment!#REF!+50)^2+(Experiment!#REF!^2))</f>
        <v>#REF!</v>
      </c>
      <c r="K70" t="e">
        <f>((Experiment!#REF!+50)*Experiment!#REF!-Experiment!#REF!*(Experiment!#REF!-50))/((Experiment!#REF!+50)^2+(Experiment!#REF!^2))</f>
        <v>#REF!</v>
      </c>
      <c r="L70" t="e">
        <f t="shared" si="17"/>
        <v>#REF!</v>
      </c>
      <c r="M70" t="e">
        <f t="shared" si="18"/>
        <v>#REF!</v>
      </c>
      <c r="N70" t="e">
        <f t="shared" si="19"/>
        <v>#REF!</v>
      </c>
      <c r="Q70">
        <f>Experiment!A70</f>
        <v>14800000</v>
      </c>
      <c r="R70">
        <f>((Experiment!D70+50)*(Experiment!D70-50)+(Experiment!E70^2))/((Experiment!D70+50)^2+(Experiment!E70^2))</f>
        <v>0.89685725879867506</v>
      </c>
      <c r="S70">
        <f>((Experiment!D70+50)*Experiment!E70-Experiment!E70*(Experiment!D70-50))/((Experiment!D70+50)^2+(Experiment!E70^2))</f>
        <v>-4.5626275501641625E-2</v>
      </c>
      <c r="T70" t="str">
        <f t="shared" si="20"/>
        <v>0.896857258798675-0.0456262755016416i</v>
      </c>
      <c r="U70">
        <f t="shared" si="13"/>
        <v>0.8980170931981335</v>
      </c>
      <c r="V70">
        <f t="shared" si="21"/>
        <v>0.93430793456089867</v>
      </c>
      <c r="Y70" t="e">
        <f>Experiment!#REF!</f>
        <v>#REF!</v>
      </c>
      <c r="Z70" t="e">
        <f>((Experiment!#REF!+50)*(Experiment!#REF!-50)+(Experiment!#REF!^2))/((Experiment!#REF!+50)^2+(Experiment!#REF!^2))</f>
        <v>#REF!</v>
      </c>
      <c r="AA70" t="e">
        <f>((Experiment!#REF!+50)*Experiment!#REF!-Experiment!#REF!*(Experiment!#REF!-50))/((Experiment!#REF!+50)^2+(Experiment!#REF!^2))</f>
        <v>#REF!</v>
      </c>
      <c r="AB70" t="e">
        <f t="shared" si="22"/>
        <v>#REF!</v>
      </c>
      <c r="AC70" t="e">
        <f t="shared" si="23"/>
        <v>#REF!</v>
      </c>
      <c r="AD70" t="e">
        <f t="shared" si="24"/>
        <v>#REF!</v>
      </c>
    </row>
    <row r="71" spans="1:30" x14ac:dyDescent="0.15">
      <c r="A71" t="e">
        <f>Experiment!#REF!</f>
        <v>#REF!</v>
      </c>
      <c r="B71" t="e">
        <f>((Experiment!#REF!+50)*(Experiment!#REF!-50)+(Experiment!#REF!^2))/((Experiment!#REF!+50)^2+(Experiment!#REF!^2))</f>
        <v>#REF!</v>
      </c>
      <c r="C71" t="e">
        <f>((Experiment!#REF!+50)*Experiment!#REF!-Experiment!#REF!*(Experiment!#REF!-50))/((Experiment!#REF!+50)^2+(Experiment!#REF!^2))</f>
        <v>#REF!</v>
      </c>
      <c r="D71" t="e">
        <f t="shared" si="14"/>
        <v>#REF!</v>
      </c>
      <c r="E71" t="e">
        <f t="shared" si="15"/>
        <v>#REF!</v>
      </c>
      <c r="F71" t="e">
        <f t="shared" si="16"/>
        <v>#REF!</v>
      </c>
      <c r="I71" t="e">
        <f>Experiment!#REF!</f>
        <v>#REF!</v>
      </c>
      <c r="J71" t="e">
        <f>((Experiment!#REF!+50)*(Experiment!#REF!-50)+(Experiment!#REF!^2))/((Experiment!#REF!+50)^2+(Experiment!#REF!^2))</f>
        <v>#REF!</v>
      </c>
      <c r="K71" t="e">
        <f>((Experiment!#REF!+50)*Experiment!#REF!-Experiment!#REF!*(Experiment!#REF!-50))/((Experiment!#REF!+50)^2+(Experiment!#REF!^2))</f>
        <v>#REF!</v>
      </c>
      <c r="L71" t="e">
        <f t="shared" si="17"/>
        <v>#REF!</v>
      </c>
      <c r="M71" t="e">
        <f t="shared" si="18"/>
        <v>#REF!</v>
      </c>
      <c r="N71" t="e">
        <f t="shared" si="19"/>
        <v>#REF!</v>
      </c>
      <c r="Q71">
        <f>Experiment!A71</f>
        <v>15400000</v>
      </c>
      <c r="R71">
        <f>((Experiment!D71+50)*(Experiment!D71-50)+(Experiment!E71^2))/((Experiment!D71+50)^2+(Experiment!E71^2))</f>
        <v>0.89671153049357644</v>
      </c>
      <c r="S71">
        <f>((Experiment!D71+50)*Experiment!E71-Experiment!E71*(Experiment!D71-50))/((Experiment!D71+50)^2+(Experiment!E71^2))</f>
        <v>-4.741793192744316E-2</v>
      </c>
      <c r="T71" t="str">
        <f t="shared" si="20"/>
        <v>0.896711530493576-0.0474179319274432i</v>
      </c>
      <c r="U71">
        <f t="shared" si="13"/>
        <v>0.8979643808016039</v>
      </c>
      <c r="V71">
        <f t="shared" si="21"/>
        <v>0.93481779957406697</v>
      </c>
      <c r="Y71" t="e">
        <f>Experiment!#REF!</f>
        <v>#REF!</v>
      </c>
      <c r="Z71" t="e">
        <f>((Experiment!#REF!+50)*(Experiment!#REF!-50)+(Experiment!#REF!^2))/((Experiment!#REF!+50)^2+(Experiment!#REF!^2))</f>
        <v>#REF!</v>
      </c>
      <c r="AA71" t="e">
        <f>((Experiment!#REF!+50)*Experiment!#REF!-Experiment!#REF!*(Experiment!#REF!-50))/((Experiment!#REF!+50)^2+(Experiment!#REF!^2))</f>
        <v>#REF!</v>
      </c>
      <c r="AB71" t="e">
        <f t="shared" si="22"/>
        <v>#REF!</v>
      </c>
      <c r="AC71" t="e">
        <f t="shared" si="23"/>
        <v>#REF!</v>
      </c>
      <c r="AD71" t="e">
        <f t="shared" si="24"/>
        <v>#REF!</v>
      </c>
    </row>
    <row r="72" spans="1:30" x14ac:dyDescent="0.15">
      <c r="A72" t="e">
        <f>Experiment!#REF!</f>
        <v>#REF!</v>
      </c>
      <c r="B72" t="e">
        <f>((Experiment!#REF!+50)*(Experiment!#REF!-50)+(Experiment!#REF!^2))/((Experiment!#REF!+50)^2+(Experiment!#REF!^2))</f>
        <v>#REF!</v>
      </c>
      <c r="C72" t="e">
        <f>((Experiment!#REF!+50)*Experiment!#REF!-Experiment!#REF!*(Experiment!#REF!-50))/((Experiment!#REF!+50)^2+(Experiment!#REF!^2))</f>
        <v>#REF!</v>
      </c>
      <c r="D72" t="e">
        <f t="shared" si="14"/>
        <v>#REF!</v>
      </c>
      <c r="E72" t="e">
        <f t="shared" si="15"/>
        <v>#REF!</v>
      </c>
      <c r="F72" t="e">
        <f t="shared" si="16"/>
        <v>#REF!</v>
      </c>
      <c r="I72" t="e">
        <f>Experiment!#REF!</f>
        <v>#REF!</v>
      </c>
      <c r="J72" t="e">
        <f>((Experiment!#REF!+50)*(Experiment!#REF!-50)+(Experiment!#REF!^2))/((Experiment!#REF!+50)^2+(Experiment!#REF!^2))</f>
        <v>#REF!</v>
      </c>
      <c r="K72" t="e">
        <f>((Experiment!#REF!+50)*Experiment!#REF!-Experiment!#REF!*(Experiment!#REF!-50))/((Experiment!#REF!+50)^2+(Experiment!#REF!^2))</f>
        <v>#REF!</v>
      </c>
      <c r="L72" t="e">
        <f t="shared" si="17"/>
        <v>#REF!</v>
      </c>
      <c r="M72" t="e">
        <f t="shared" si="18"/>
        <v>#REF!</v>
      </c>
      <c r="N72" t="e">
        <f t="shared" si="19"/>
        <v>#REF!</v>
      </c>
      <c r="Q72">
        <f>Experiment!A72</f>
        <v>16100000.000000002</v>
      </c>
      <c r="R72">
        <f>((Experiment!D72+50)*(Experiment!D72-50)+(Experiment!E72^2))/((Experiment!D72+50)^2+(Experiment!E72^2))</f>
        <v>0.89665487593908999</v>
      </c>
      <c r="S72">
        <f>((Experiment!D72+50)*Experiment!E72-Experiment!E72*(Experiment!D72-50))/((Experiment!D72+50)^2+(Experiment!E72^2))</f>
        <v>-4.9504840162228655E-2</v>
      </c>
      <c r="T72" t="str">
        <f t="shared" si="20"/>
        <v>0.89665487593909-0.0495048401622287i</v>
      </c>
      <c r="U72">
        <f t="shared" si="13"/>
        <v>0.8980204316967586</v>
      </c>
      <c r="V72">
        <f t="shared" si="21"/>
        <v>0.93427564366473137</v>
      </c>
      <c r="Y72" t="e">
        <f>Experiment!#REF!</f>
        <v>#REF!</v>
      </c>
      <c r="Z72" t="e">
        <f>((Experiment!#REF!+50)*(Experiment!#REF!-50)+(Experiment!#REF!^2))/((Experiment!#REF!+50)^2+(Experiment!#REF!^2))</f>
        <v>#REF!</v>
      </c>
      <c r="AA72" t="e">
        <f>((Experiment!#REF!+50)*Experiment!#REF!-Experiment!#REF!*(Experiment!#REF!-50))/((Experiment!#REF!+50)^2+(Experiment!#REF!^2))</f>
        <v>#REF!</v>
      </c>
      <c r="AB72" t="e">
        <f t="shared" si="22"/>
        <v>#REF!</v>
      </c>
      <c r="AC72" t="e">
        <f t="shared" si="23"/>
        <v>#REF!</v>
      </c>
      <c r="AD72" t="e">
        <f t="shared" si="24"/>
        <v>#REF!</v>
      </c>
    </row>
    <row r="73" spans="1:30" x14ac:dyDescent="0.15">
      <c r="A73" t="e">
        <f>Experiment!#REF!</f>
        <v>#REF!</v>
      </c>
      <c r="B73" t="e">
        <f>((Experiment!#REF!+50)*(Experiment!#REF!-50)+(Experiment!#REF!^2))/((Experiment!#REF!+50)^2+(Experiment!#REF!^2))</f>
        <v>#REF!</v>
      </c>
      <c r="C73" t="e">
        <f>((Experiment!#REF!+50)*Experiment!#REF!-Experiment!#REF!*(Experiment!#REF!-50))/((Experiment!#REF!+50)^2+(Experiment!#REF!^2))</f>
        <v>#REF!</v>
      </c>
      <c r="D73" t="e">
        <f t="shared" si="14"/>
        <v>#REF!</v>
      </c>
      <c r="E73" t="e">
        <f t="shared" si="15"/>
        <v>#REF!</v>
      </c>
      <c r="F73" t="e">
        <f t="shared" si="16"/>
        <v>#REF!</v>
      </c>
      <c r="I73" t="e">
        <f>Experiment!#REF!</f>
        <v>#REF!</v>
      </c>
      <c r="J73" t="e">
        <f>((Experiment!#REF!+50)*(Experiment!#REF!-50)+(Experiment!#REF!^2))/((Experiment!#REF!+50)^2+(Experiment!#REF!^2))</f>
        <v>#REF!</v>
      </c>
      <c r="K73" t="e">
        <f>((Experiment!#REF!+50)*Experiment!#REF!-Experiment!#REF!*(Experiment!#REF!-50))/((Experiment!#REF!+50)^2+(Experiment!#REF!^2))</f>
        <v>#REF!</v>
      </c>
      <c r="L73" t="e">
        <f t="shared" si="17"/>
        <v>#REF!</v>
      </c>
      <c r="M73" t="e">
        <f t="shared" si="18"/>
        <v>#REF!</v>
      </c>
      <c r="N73" t="e">
        <f t="shared" si="19"/>
        <v>#REF!</v>
      </c>
      <c r="Q73">
        <f>Experiment!A73</f>
        <v>16700000</v>
      </c>
      <c r="R73">
        <f>((Experiment!D73+50)*(Experiment!D73-50)+(Experiment!E73^2))/((Experiment!D73+50)^2+(Experiment!E73^2))</f>
        <v>0.89654057803446396</v>
      </c>
      <c r="S73">
        <f>((Experiment!D73+50)*Experiment!E73-Experiment!E73*(Experiment!D73-50))/((Experiment!D73+50)^2+(Experiment!E73^2))</f>
        <v>-5.1407391272087155E-2</v>
      </c>
      <c r="T73" t="str">
        <f t="shared" si="20"/>
        <v>0.896540578034464-0.0514073912720872i</v>
      </c>
      <c r="U73">
        <f t="shared" si="13"/>
        <v>0.89801321145057345</v>
      </c>
      <c r="V73">
        <f t="shared" si="21"/>
        <v>0.93434548006424811</v>
      </c>
      <c r="Y73" t="e">
        <f>Experiment!#REF!</f>
        <v>#REF!</v>
      </c>
      <c r="Z73" t="e">
        <f>((Experiment!#REF!+50)*(Experiment!#REF!-50)+(Experiment!#REF!^2))/((Experiment!#REF!+50)^2+(Experiment!#REF!^2))</f>
        <v>#REF!</v>
      </c>
      <c r="AA73" t="e">
        <f>((Experiment!#REF!+50)*Experiment!#REF!-Experiment!#REF!*(Experiment!#REF!-50))/((Experiment!#REF!+50)^2+(Experiment!#REF!^2))</f>
        <v>#REF!</v>
      </c>
      <c r="AB73" t="e">
        <f t="shared" si="22"/>
        <v>#REF!</v>
      </c>
      <c r="AC73" t="e">
        <f t="shared" si="23"/>
        <v>#REF!</v>
      </c>
      <c r="AD73" t="e">
        <f t="shared" si="24"/>
        <v>#REF!</v>
      </c>
    </row>
    <row r="74" spans="1:30" x14ac:dyDescent="0.15">
      <c r="A74" t="e">
        <f>Experiment!#REF!</f>
        <v>#REF!</v>
      </c>
      <c r="B74" t="e">
        <f>((Experiment!#REF!+50)*(Experiment!#REF!-50)+(Experiment!#REF!^2))/((Experiment!#REF!+50)^2+(Experiment!#REF!^2))</f>
        <v>#REF!</v>
      </c>
      <c r="C74" t="e">
        <f>((Experiment!#REF!+50)*Experiment!#REF!-Experiment!#REF!*(Experiment!#REF!-50))/((Experiment!#REF!+50)^2+(Experiment!#REF!^2))</f>
        <v>#REF!</v>
      </c>
      <c r="D74" t="e">
        <f t="shared" si="14"/>
        <v>#REF!</v>
      </c>
      <c r="E74" t="e">
        <f t="shared" si="15"/>
        <v>#REF!</v>
      </c>
      <c r="F74" t="e">
        <f t="shared" si="16"/>
        <v>#REF!</v>
      </c>
      <c r="I74" t="e">
        <f>Experiment!#REF!</f>
        <v>#REF!</v>
      </c>
      <c r="J74" t="e">
        <f>((Experiment!#REF!+50)*(Experiment!#REF!-50)+(Experiment!#REF!^2))/((Experiment!#REF!+50)^2+(Experiment!#REF!^2))</f>
        <v>#REF!</v>
      </c>
      <c r="K74" t="e">
        <f>((Experiment!#REF!+50)*Experiment!#REF!-Experiment!#REF!*(Experiment!#REF!-50))/((Experiment!#REF!+50)^2+(Experiment!#REF!^2))</f>
        <v>#REF!</v>
      </c>
      <c r="L74" t="e">
        <f t="shared" si="17"/>
        <v>#REF!</v>
      </c>
      <c r="M74" t="e">
        <f t="shared" si="18"/>
        <v>#REF!</v>
      </c>
      <c r="N74" t="e">
        <f t="shared" si="19"/>
        <v>#REF!</v>
      </c>
      <c r="Q74">
        <f>Experiment!A74</f>
        <v>17400000</v>
      </c>
      <c r="R74">
        <f>((Experiment!D74+50)*(Experiment!D74-50)+(Experiment!E74^2))/((Experiment!D74+50)^2+(Experiment!E74^2))</f>
        <v>0.89635074531550596</v>
      </c>
      <c r="S74">
        <f>((Experiment!D74+50)*Experiment!E74-Experiment!E74*(Experiment!D74-50))/((Experiment!D74+50)^2+(Experiment!E74^2))</f>
        <v>-5.3554136185526562E-2</v>
      </c>
      <c r="T74" t="str">
        <f t="shared" si="20"/>
        <v>0.896350745315506-0.0535541361855266i</v>
      </c>
      <c r="U74">
        <f t="shared" si="13"/>
        <v>0.89794916567155458</v>
      </c>
      <c r="V74">
        <f t="shared" si="21"/>
        <v>0.93496497474371809</v>
      </c>
      <c r="Y74" t="e">
        <f>Experiment!#REF!</f>
        <v>#REF!</v>
      </c>
      <c r="Z74" t="e">
        <f>((Experiment!#REF!+50)*(Experiment!#REF!-50)+(Experiment!#REF!^2))/((Experiment!#REF!+50)^2+(Experiment!#REF!^2))</f>
        <v>#REF!</v>
      </c>
      <c r="AA74" t="e">
        <f>((Experiment!#REF!+50)*Experiment!#REF!-Experiment!#REF!*(Experiment!#REF!-50))/((Experiment!#REF!+50)^2+(Experiment!#REF!^2))</f>
        <v>#REF!</v>
      </c>
      <c r="AB74" t="e">
        <f t="shared" si="22"/>
        <v>#REF!</v>
      </c>
      <c r="AC74" t="e">
        <f t="shared" si="23"/>
        <v>#REF!</v>
      </c>
      <c r="AD74" t="e">
        <f t="shared" si="24"/>
        <v>#REF!</v>
      </c>
    </row>
    <row r="75" spans="1:30" x14ac:dyDescent="0.15">
      <c r="A75" t="e">
        <f>Experiment!#REF!</f>
        <v>#REF!</v>
      </c>
      <c r="B75" t="e">
        <f>((Experiment!#REF!+50)*(Experiment!#REF!-50)+(Experiment!#REF!^2))/((Experiment!#REF!+50)^2+(Experiment!#REF!^2))</f>
        <v>#REF!</v>
      </c>
      <c r="C75" t="e">
        <f>((Experiment!#REF!+50)*Experiment!#REF!-Experiment!#REF!*(Experiment!#REF!-50))/((Experiment!#REF!+50)^2+(Experiment!#REF!^2))</f>
        <v>#REF!</v>
      </c>
      <c r="D75" t="e">
        <f t="shared" si="14"/>
        <v>#REF!</v>
      </c>
      <c r="E75" t="e">
        <f t="shared" si="15"/>
        <v>#REF!</v>
      </c>
      <c r="F75" t="e">
        <f t="shared" si="16"/>
        <v>#REF!</v>
      </c>
      <c r="I75" t="e">
        <f>Experiment!#REF!</f>
        <v>#REF!</v>
      </c>
      <c r="J75" t="e">
        <f>((Experiment!#REF!+50)*(Experiment!#REF!-50)+(Experiment!#REF!^2))/((Experiment!#REF!+50)^2+(Experiment!#REF!^2))</f>
        <v>#REF!</v>
      </c>
      <c r="K75" t="e">
        <f>((Experiment!#REF!+50)*Experiment!#REF!-Experiment!#REF!*(Experiment!#REF!-50))/((Experiment!#REF!+50)^2+(Experiment!#REF!^2))</f>
        <v>#REF!</v>
      </c>
      <c r="L75" t="e">
        <f t="shared" si="17"/>
        <v>#REF!</v>
      </c>
      <c r="M75" t="e">
        <f t="shared" si="18"/>
        <v>#REF!</v>
      </c>
      <c r="N75" t="e">
        <f t="shared" si="19"/>
        <v>#REF!</v>
      </c>
      <c r="Q75">
        <f>Experiment!A75</f>
        <v>18100000</v>
      </c>
      <c r="R75">
        <f>((Experiment!D75+50)*(Experiment!D75-50)+(Experiment!E75^2))/((Experiment!D75+50)^2+(Experiment!E75^2))</f>
        <v>0.89620579553743551</v>
      </c>
      <c r="S75">
        <f>((Experiment!D75+50)*Experiment!E75-Experiment!E75*(Experiment!D75-50))/((Experiment!D75+50)^2+(Experiment!E75^2))</f>
        <v>-5.5649735229384559E-2</v>
      </c>
      <c r="T75" t="str">
        <f t="shared" si="20"/>
        <v>0.896205795537436-0.0556497352293846i</v>
      </c>
      <c r="U75">
        <f t="shared" si="13"/>
        <v>0.89793191333529754</v>
      </c>
      <c r="V75">
        <f t="shared" si="21"/>
        <v>0.93513185872115256</v>
      </c>
      <c r="Y75" t="e">
        <f>Experiment!#REF!</f>
        <v>#REF!</v>
      </c>
      <c r="Z75" t="e">
        <f>((Experiment!#REF!+50)*(Experiment!#REF!-50)+(Experiment!#REF!^2))/((Experiment!#REF!+50)^2+(Experiment!#REF!^2))</f>
        <v>#REF!</v>
      </c>
      <c r="AA75" t="e">
        <f>((Experiment!#REF!+50)*Experiment!#REF!-Experiment!#REF!*(Experiment!#REF!-50))/((Experiment!#REF!+50)^2+(Experiment!#REF!^2))</f>
        <v>#REF!</v>
      </c>
      <c r="AB75" t="e">
        <f t="shared" si="22"/>
        <v>#REF!</v>
      </c>
      <c r="AC75" t="e">
        <f t="shared" si="23"/>
        <v>#REF!</v>
      </c>
      <c r="AD75" t="e">
        <f t="shared" si="24"/>
        <v>#REF!</v>
      </c>
    </row>
    <row r="76" spans="1:30" x14ac:dyDescent="0.15">
      <c r="A76" t="e">
        <f>Experiment!#REF!</f>
        <v>#REF!</v>
      </c>
      <c r="B76" t="e">
        <f>((Experiment!#REF!+50)*(Experiment!#REF!-50)+(Experiment!#REF!^2))/((Experiment!#REF!+50)^2+(Experiment!#REF!^2))</f>
        <v>#REF!</v>
      </c>
      <c r="C76" t="e">
        <f>((Experiment!#REF!+50)*Experiment!#REF!-Experiment!#REF!*(Experiment!#REF!-50))/((Experiment!#REF!+50)^2+(Experiment!#REF!^2))</f>
        <v>#REF!</v>
      </c>
      <c r="D76" t="e">
        <f t="shared" si="14"/>
        <v>#REF!</v>
      </c>
      <c r="E76" t="e">
        <f t="shared" si="15"/>
        <v>#REF!</v>
      </c>
      <c r="F76" t="e">
        <f t="shared" si="16"/>
        <v>#REF!</v>
      </c>
      <c r="I76" t="e">
        <f>Experiment!#REF!</f>
        <v>#REF!</v>
      </c>
      <c r="J76" t="e">
        <f>((Experiment!#REF!+50)*(Experiment!#REF!-50)+(Experiment!#REF!^2))/((Experiment!#REF!+50)^2+(Experiment!#REF!^2))</f>
        <v>#REF!</v>
      </c>
      <c r="K76" t="e">
        <f>((Experiment!#REF!+50)*Experiment!#REF!-Experiment!#REF!*(Experiment!#REF!-50))/((Experiment!#REF!+50)^2+(Experiment!#REF!^2))</f>
        <v>#REF!</v>
      </c>
      <c r="L76" t="e">
        <f t="shared" si="17"/>
        <v>#REF!</v>
      </c>
      <c r="M76" t="e">
        <f t="shared" si="18"/>
        <v>#REF!</v>
      </c>
      <c r="N76" t="e">
        <f t="shared" si="19"/>
        <v>#REF!</v>
      </c>
      <c r="Q76">
        <f>Experiment!A76</f>
        <v>18900000</v>
      </c>
      <c r="R76">
        <f>((Experiment!D76+50)*(Experiment!D76-50)+(Experiment!E76^2))/((Experiment!D76+50)^2+(Experiment!E76^2))</f>
        <v>0.89599026787968483</v>
      </c>
      <c r="S76">
        <f>((Experiment!D76+50)*Experiment!E76-Experiment!E76*(Experiment!D76-50))/((Experiment!D76+50)^2+(Experiment!E76^2))</f>
        <v>-5.8131570573549736E-2</v>
      </c>
      <c r="T76" t="str">
        <f t="shared" si="20"/>
        <v>0.895990267879685-0.0581315705735497i</v>
      </c>
      <c r="U76">
        <f t="shared" si="13"/>
        <v>0.89787406668889658</v>
      </c>
      <c r="V76">
        <f t="shared" si="21"/>
        <v>0.93569143987004466</v>
      </c>
      <c r="Y76" t="e">
        <f>Experiment!#REF!</f>
        <v>#REF!</v>
      </c>
      <c r="Z76" t="e">
        <f>((Experiment!#REF!+50)*(Experiment!#REF!-50)+(Experiment!#REF!^2))/((Experiment!#REF!+50)^2+(Experiment!#REF!^2))</f>
        <v>#REF!</v>
      </c>
      <c r="AA76" t="e">
        <f>((Experiment!#REF!+50)*Experiment!#REF!-Experiment!#REF!*(Experiment!#REF!-50))/((Experiment!#REF!+50)^2+(Experiment!#REF!^2))</f>
        <v>#REF!</v>
      </c>
      <c r="AB76" t="e">
        <f t="shared" si="22"/>
        <v>#REF!</v>
      </c>
      <c r="AC76" t="e">
        <f t="shared" si="23"/>
        <v>#REF!</v>
      </c>
      <c r="AD76" t="e">
        <f t="shared" si="24"/>
        <v>#REF!</v>
      </c>
    </row>
    <row r="77" spans="1:30" x14ac:dyDescent="0.15">
      <c r="A77" t="e">
        <f>Experiment!#REF!</f>
        <v>#REF!</v>
      </c>
      <c r="B77" t="e">
        <f>((Experiment!#REF!+50)*(Experiment!#REF!-50)+(Experiment!#REF!^2))/((Experiment!#REF!+50)^2+(Experiment!#REF!^2))</f>
        <v>#REF!</v>
      </c>
      <c r="C77" t="e">
        <f>((Experiment!#REF!+50)*Experiment!#REF!-Experiment!#REF!*(Experiment!#REF!-50))/((Experiment!#REF!+50)^2+(Experiment!#REF!^2))</f>
        <v>#REF!</v>
      </c>
      <c r="D77" t="e">
        <f t="shared" si="14"/>
        <v>#REF!</v>
      </c>
      <c r="E77" t="e">
        <f t="shared" si="15"/>
        <v>#REF!</v>
      </c>
      <c r="F77" t="e">
        <f t="shared" si="16"/>
        <v>#REF!</v>
      </c>
      <c r="I77" t="e">
        <f>Experiment!#REF!</f>
        <v>#REF!</v>
      </c>
      <c r="J77" t="e">
        <f>((Experiment!#REF!+50)*(Experiment!#REF!-50)+(Experiment!#REF!^2))/((Experiment!#REF!+50)^2+(Experiment!#REF!^2))</f>
        <v>#REF!</v>
      </c>
      <c r="K77" t="e">
        <f>((Experiment!#REF!+50)*Experiment!#REF!-Experiment!#REF!*(Experiment!#REF!-50))/((Experiment!#REF!+50)^2+(Experiment!#REF!^2))</f>
        <v>#REF!</v>
      </c>
      <c r="L77" t="e">
        <f t="shared" si="17"/>
        <v>#REF!</v>
      </c>
      <c r="M77" t="e">
        <f t="shared" si="18"/>
        <v>#REF!</v>
      </c>
      <c r="N77" t="e">
        <f t="shared" si="19"/>
        <v>#REF!</v>
      </c>
      <c r="Q77">
        <f>Experiment!A77</f>
        <v>19600000</v>
      </c>
      <c r="R77">
        <f>((Experiment!D77+50)*(Experiment!D77-50)+(Experiment!E77^2))/((Experiment!D77+50)^2+(Experiment!E77^2))</f>
        <v>0.89576965241102646</v>
      </c>
      <c r="S77">
        <f>((Experiment!D77+50)*Experiment!E77-Experiment!E77*(Experiment!D77-50))/((Experiment!D77+50)^2+(Experiment!E77^2))</f>
        <v>-6.0207209615294383E-2</v>
      </c>
      <c r="T77" t="str">
        <f t="shared" si="20"/>
        <v>0.895769652411026-0.0602072096152944i</v>
      </c>
      <c r="U77">
        <f t="shared" si="13"/>
        <v>0.89779072075302224</v>
      </c>
      <c r="V77">
        <f t="shared" si="21"/>
        <v>0.93649775250296874</v>
      </c>
      <c r="Y77" t="e">
        <f>Experiment!#REF!</f>
        <v>#REF!</v>
      </c>
      <c r="Z77" t="e">
        <f>((Experiment!#REF!+50)*(Experiment!#REF!-50)+(Experiment!#REF!^2))/((Experiment!#REF!+50)^2+(Experiment!#REF!^2))</f>
        <v>#REF!</v>
      </c>
      <c r="AA77" t="e">
        <f>((Experiment!#REF!+50)*Experiment!#REF!-Experiment!#REF!*(Experiment!#REF!-50))/((Experiment!#REF!+50)^2+(Experiment!#REF!^2))</f>
        <v>#REF!</v>
      </c>
      <c r="AB77" t="e">
        <f t="shared" si="22"/>
        <v>#REF!</v>
      </c>
      <c r="AC77" t="e">
        <f t="shared" si="23"/>
        <v>#REF!</v>
      </c>
      <c r="AD77" t="e">
        <f t="shared" si="24"/>
        <v>#REF!</v>
      </c>
    </row>
    <row r="78" spans="1:30" x14ac:dyDescent="0.15">
      <c r="A78" t="e">
        <f>Experiment!#REF!</f>
        <v>#REF!</v>
      </c>
      <c r="B78" t="e">
        <f>((Experiment!#REF!+50)*(Experiment!#REF!-50)+(Experiment!#REF!^2))/((Experiment!#REF!+50)^2+(Experiment!#REF!^2))</f>
        <v>#REF!</v>
      </c>
      <c r="C78" t="e">
        <f>((Experiment!#REF!+50)*Experiment!#REF!-Experiment!#REF!*(Experiment!#REF!-50))/((Experiment!#REF!+50)^2+(Experiment!#REF!^2))</f>
        <v>#REF!</v>
      </c>
      <c r="D78" t="e">
        <f t="shared" si="14"/>
        <v>#REF!</v>
      </c>
      <c r="E78" t="e">
        <f t="shared" si="15"/>
        <v>#REF!</v>
      </c>
      <c r="F78" t="e">
        <f t="shared" si="16"/>
        <v>#REF!</v>
      </c>
      <c r="I78" t="e">
        <f>Experiment!#REF!</f>
        <v>#REF!</v>
      </c>
      <c r="J78" t="e">
        <f>((Experiment!#REF!+50)*(Experiment!#REF!-50)+(Experiment!#REF!^2))/((Experiment!#REF!+50)^2+(Experiment!#REF!^2))</f>
        <v>#REF!</v>
      </c>
      <c r="K78" t="e">
        <f>((Experiment!#REF!+50)*Experiment!#REF!-Experiment!#REF!*(Experiment!#REF!-50))/((Experiment!#REF!+50)^2+(Experiment!#REF!^2))</f>
        <v>#REF!</v>
      </c>
      <c r="L78" t="e">
        <f t="shared" si="17"/>
        <v>#REF!</v>
      </c>
      <c r="M78" t="e">
        <f t="shared" si="18"/>
        <v>#REF!</v>
      </c>
      <c r="N78" t="e">
        <f t="shared" si="19"/>
        <v>#REF!</v>
      </c>
      <c r="Q78">
        <f>Experiment!A78</f>
        <v>20400000</v>
      </c>
      <c r="R78">
        <f>((Experiment!D78+50)*(Experiment!D78-50)+(Experiment!E78^2))/((Experiment!D78+50)^2+(Experiment!E78^2))</f>
        <v>0.89562637379528343</v>
      </c>
      <c r="S78">
        <f>((Experiment!D78+50)*Experiment!E78-Experiment!E78*(Experiment!D78-50))/((Experiment!D78+50)^2+(Experiment!E78^2))</f>
        <v>-6.2667779412044114E-2</v>
      </c>
      <c r="T78" t="str">
        <f t="shared" si="20"/>
        <v>0.895626373795283-0.0626677794120441i</v>
      </c>
      <c r="U78">
        <f t="shared" si="13"/>
        <v>0.89781615713581664</v>
      </c>
      <c r="V78">
        <f t="shared" si="21"/>
        <v>0.93625166566015361</v>
      </c>
      <c r="Y78" t="e">
        <f>Experiment!#REF!</f>
        <v>#REF!</v>
      </c>
      <c r="Z78" t="e">
        <f>((Experiment!#REF!+50)*(Experiment!#REF!-50)+(Experiment!#REF!^2))/((Experiment!#REF!+50)^2+(Experiment!#REF!^2))</f>
        <v>#REF!</v>
      </c>
      <c r="AA78" t="e">
        <f>((Experiment!#REF!+50)*Experiment!#REF!-Experiment!#REF!*(Experiment!#REF!-50))/((Experiment!#REF!+50)^2+(Experiment!#REF!^2))</f>
        <v>#REF!</v>
      </c>
      <c r="AB78" t="e">
        <f t="shared" si="22"/>
        <v>#REF!</v>
      </c>
      <c r="AC78" t="e">
        <f t="shared" si="23"/>
        <v>#REF!</v>
      </c>
      <c r="AD78" t="e">
        <f t="shared" si="24"/>
        <v>#REF!</v>
      </c>
    </row>
    <row r="79" spans="1:30" x14ac:dyDescent="0.15">
      <c r="A79" t="e">
        <f>Experiment!#REF!</f>
        <v>#REF!</v>
      </c>
      <c r="B79" t="e">
        <f>((Experiment!#REF!+50)*(Experiment!#REF!-50)+(Experiment!#REF!^2))/((Experiment!#REF!+50)^2+(Experiment!#REF!^2))</f>
        <v>#REF!</v>
      </c>
      <c r="C79" t="e">
        <f>((Experiment!#REF!+50)*Experiment!#REF!-Experiment!#REF!*(Experiment!#REF!-50))/((Experiment!#REF!+50)^2+(Experiment!#REF!^2))</f>
        <v>#REF!</v>
      </c>
      <c r="D79" t="e">
        <f t="shared" si="14"/>
        <v>#REF!</v>
      </c>
      <c r="E79" t="e">
        <f t="shared" si="15"/>
        <v>#REF!</v>
      </c>
      <c r="F79" t="e">
        <f t="shared" si="16"/>
        <v>#REF!</v>
      </c>
      <c r="I79" t="e">
        <f>Experiment!#REF!</f>
        <v>#REF!</v>
      </c>
      <c r="J79" t="e">
        <f>((Experiment!#REF!+50)*(Experiment!#REF!-50)+(Experiment!#REF!^2))/((Experiment!#REF!+50)^2+(Experiment!#REF!^2))</f>
        <v>#REF!</v>
      </c>
      <c r="K79" t="e">
        <f>((Experiment!#REF!+50)*Experiment!#REF!-Experiment!#REF!*(Experiment!#REF!-50))/((Experiment!#REF!+50)^2+(Experiment!#REF!^2))</f>
        <v>#REF!</v>
      </c>
      <c r="L79" t="e">
        <f t="shared" si="17"/>
        <v>#REF!</v>
      </c>
      <c r="M79" t="e">
        <f t="shared" si="18"/>
        <v>#REF!</v>
      </c>
      <c r="N79" t="e">
        <f t="shared" si="19"/>
        <v>#REF!</v>
      </c>
      <c r="Q79">
        <f>Experiment!A79</f>
        <v>21300000</v>
      </c>
      <c r="R79">
        <f>((Experiment!D79+50)*(Experiment!D79-50)+(Experiment!E79^2))/((Experiment!D79+50)^2+(Experiment!E79^2))</f>
        <v>0.89551139109834355</v>
      </c>
      <c r="S79">
        <f>((Experiment!D79+50)*Experiment!E79-Experiment!E79*(Experiment!D79-50))/((Experiment!D79+50)^2+(Experiment!E79^2))</f>
        <v>-6.5461991927769303E-2</v>
      </c>
      <c r="T79" t="str">
        <f t="shared" si="20"/>
        <v>0.895511391098344-0.0654619919277693i</v>
      </c>
      <c r="U79">
        <f t="shared" si="13"/>
        <v>0.89790084306344309</v>
      </c>
      <c r="V79">
        <f t="shared" si="21"/>
        <v>0.93543241338184435</v>
      </c>
      <c r="Y79" t="e">
        <f>Experiment!#REF!</f>
        <v>#REF!</v>
      </c>
      <c r="Z79" t="e">
        <f>((Experiment!#REF!+50)*(Experiment!#REF!-50)+(Experiment!#REF!^2))/((Experiment!#REF!+50)^2+(Experiment!#REF!^2))</f>
        <v>#REF!</v>
      </c>
      <c r="AA79" t="e">
        <f>((Experiment!#REF!+50)*Experiment!#REF!-Experiment!#REF!*(Experiment!#REF!-50))/((Experiment!#REF!+50)^2+(Experiment!#REF!^2))</f>
        <v>#REF!</v>
      </c>
      <c r="AB79" t="e">
        <f t="shared" si="22"/>
        <v>#REF!</v>
      </c>
      <c r="AC79" t="e">
        <f t="shared" si="23"/>
        <v>#REF!</v>
      </c>
      <c r="AD79" t="e">
        <f t="shared" si="24"/>
        <v>#REF!</v>
      </c>
    </row>
    <row r="80" spans="1:30" x14ac:dyDescent="0.15">
      <c r="A80" t="e">
        <f>Experiment!#REF!</f>
        <v>#REF!</v>
      </c>
      <c r="B80" t="e">
        <f>((Experiment!#REF!+50)*(Experiment!#REF!-50)+(Experiment!#REF!^2))/((Experiment!#REF!+50)^2+(Experiment!#REF!^2))</f>
        <v>#REF!</v>
      </c>
      <c r="C80" t="e">
        <f>((Experiment!#REF!+50)*Experiment!#REF!-Experiment!#REF!*(Experiment!#REF!-50))/((Experiment!#REF!+50)^2+(Experiment!#REF!^2))</f>
        <v>#REF!</v>
      </c>
      <c r="D80" t="e">
        <f t="shared" si="14"/>
        <v>#REF!</v>
      </c>
      <c r="E80" t="e">
        <f t="shared" si="15"/>
        <v>#REF!</v>
      </c>
      <c r="F80" t="e">
        <f t="shared" si="16"/>
        <v>#REF!</v>
      </c>
      <c r="I80" t="e">
        <f>Experiment!#REF!</f>
        <v>#REF!</v>
      </c>
      <c r="J80" t="e">
        <f>((Experiment!#REF!+50)*(Experiment!#REF!-50)+(Experiment!#REF!^2))/((Experiment!#REF!+50)^2+(Experiment!#REF!^2))</f>
        <v>#REF!</v>
      </c>
      <c r="K80" t="e">
        <f>((Experiment!#REF!+50)*Experiment!#REF!-Experiment!#REF!*(Experiment!#REF!-50))/((Experiment!#REF!+50)^2+(Experiment!#REF!^2))</f>
        <v>#REF!</v>
      </c>
      <c r="L80" t="e">
        <f t="shared" si="17"/>
        <v>#REF!</v>
      </c>
      <c r="M80" t="e">
        <f t="shared" si="18"/>
        <v>#REF!</v>
      </c>
      <c r="N80" t="e">
        <f t="shared" si="19"/>
        <v>#REF!</v>
      </c>
      <c r="Q80">
        <f>Experiment!A80</f>
        <v>22200000</v>
      </c>
      <c r="R80">
        <f>((Experiment!D80+50)*(Experiment!D80-50)+(Experiment!E80^2))/((Experiment!D80+50)^2+(Experiment!E80^2))</f>
        <v>0.89541584715850953</v>
      </c>
      <c r="S80">
        <f>((Experiment!D80+50)*Experiment!E80-Experiment!E80*(Experiment!D80-50))/((Experiment!D80+50)^2+(Experiment!E80^2))</f>
        <v>-6.8193975614781674E-2</v>
      </c>
      <c r="T80" t="str">
        <f t="shared" si="20"/>
        <v>0.89541584715851-0.0681939756147817i</v>
      </c>
      <c r="U80">
        <f t="shared" si="13"/>
        <v>0.89800888506336107</v>
      </c>
      <c r="V80">
        <f t="shared" si="21"/>
        <v>0.93438732645570544</v>
      </c>
      <c r="Y80" t="e">
        <f>Experiment!#REF!</f>
        <v>#REF!</v>
      </c>
      <c r="Z80" t="e">
        <f>((Experiment!#REF!+50)*(Experiment!#REF!-50)+(Experiment!#REF!^2))/((Experiment!#REF!+50)^2+(Experiment!#REF!^2))</f>
        <v>#REF!</v>
      </c>
      <c r="AA80" t="e">
        <f>((Experiment!#REF!+50)*Experiment!#REF!-Experiment!#REF!*(Experiment!#REF!-50))/((Experiment!#REF!+50)^2+(Experiment!#REF!^2))</f>
        <v>#REF!</v>
      </c>
      <c r="AB80" t="e">
        <f t="shared" si="22"/>
        <v>#REF!</v>
      </c>
      <c r="AC80" t="e">
        <f t="shared" si="23"/>
        <v>#REF!</v>
      </c>
      <c r="AD80" t="e">
        <f t="shared" si="24"/>
        <v>#REF!</v>
      </c>
    </row>
    <row r="81" spans="1:30" x14ac:dyDescent="0.15">
      <c r="A81" t="e">
        <f>Experiment!#REF!</f>
        <v>#REF!</v>
      </c>
      <c r="B81" t="e">
        <f>((Experiment!#REF!+50)*(Experiment!#REF!-50)+(Experiment!#REF!^2))/((Experiment!#REF!+50)^2+(Experiment!#REF!^2))</f>
        <v>#REF!</v>
      </c>
      <c r="C81" t="e">
        <f>((Experiment!#REF!+50)*Experiment!#REF!-Experiment!#REF!*(Experiment!#REF!-50))/((Experiment!#REF!+50)^2+(Experiment!#REF!^2))</f>
        <v>#REF!</v>
      </c>
      <c r="D81" t="e">
        <f t="shared" si="14"/>
        <v>#REF!</v>
      </c>
      <c r="E81" t="e">
        <f t="shared" si="15"/>
        <v>#REF!</v>
      </c>
      <c r="F81" t="e">
        <f t="shared" si="16"/>
        <v>#REF!</v>
      </c>
      <c r="I81" t="e">
        <f>Experiment!#REF!</f>
        <v>#REF!</v>
      </c>
      <c r="J81" t="e">
        <f>((Experiment!#REF!+50)*(Experiment!#REF!-50)+(Experiment!#REF!^2))/((Experiment!#REF!+50)^2+(Experiment!#REF!^2))</f>
        <v>#REF!</v>
      </c>
      <c r="K81" t="e">
        <f>((Experiment!#REF!+50)*Experiment!#REF!-Experiment!#REF!*(Experiment!#REF!-50))/((Experiment!#REF!+50)^2+(Experiment!#REF!^2))</f>
        <v>#REF!</v>
      </c>
      <c r="L81" t="e">
        <f t="shared" si="17"/>
        <v>#REF!</v>
      </c>
      <c r="M81" t="e">
        <f t="shared" si="18"/>
        <v>#REF!</v>
      </c>
      <c r="N81" t="e">
        <f t="shared" si="19"/>
        <v>#REF!</v>
      </c>
      <c r="Q81">
        <f>Experiment!A81</f>
        <v>23100000</v>
      </c>
      <c r="R81">
        <f>((Experiment!D81+50)*(Experiment!D81-50)+(Experiment!E81^2))/((Experiment!D81+50)^2+(Experiment!E81^2))</f>
        <v>0.89525995130057323</v>
      </c>
      <c r="S81">
        <f>((Experiment!D81+50)*Experiment!E81-Experiment!E81*(Experiment!D81-50))/((Experiment!D81+50)^2+(Experiment!E81^2))</f>
        <v>-7.0987940793427087E-2</v>
      </c>
      <c r="T81" t="str">
        <f t="shared" si="20"/>
        <v>0.895259951300573-0.0709879407934271i</v>
      </c>
      <c r="U81">
        <f t="shared" si="13"/>
        <v>0.89806996839934239</v>
      </c>
      <c r="V81">
        <f t="shared" si="21"/>
        <v>0.93379652487231135</v>
      </c>
      <c r="Y81" t="e">
        <f>Experiment!#REF!</f>
        <v>#REF!</v>
      </c>
      <c r="Z81" t="e">
        <f>((Experiment!#REF!+50)*(Experiment!#REF!-50)+(Experiment!#REF!^2))/((Experiment!#REF!+50)^2+(Experiment!#REF!^2))</f>
        <v>#REF!</v>
      </c>
      <c r="AA81" t="e">
        <f>((Experiment!#REF!+50)*Experiment!#REF!-Experiment!#REF!*(Experiment!#REF!-50))/((Experiment!#REF!+50)^2+(Experiment!#REF!^2))</f>
        <v>#REF!</v>
      </c>
      <c r="AB81" t="e">
        <f t="shared" si="22"/>
        <v>#REF!</v>
      </c>
      <c r="AC81" t="e">
        <f t="shared" si="23"/>
        <v>#REF!</v>
      </c>
      <c r="AD81" t="e">
        <f t="shared" si="24"/>
        <v>#REF!</v>
      </c>
    </row>
    <row r="82" spans="1:30" x14ac:dyDescent="0.15">
      <c r="A82" t="e">
        <f>Experiment!#REF!</f>
        <v>#REF!</v>
      </c>
      <c r="B82" t="e">
        <f>((Experiment!#REF!+50)*(Experiment!#REF!-50)+(Experiment!#REF!^2))/((Experiment!#REF!+50)^2+(Experiment!#REF!^2))</f>
        <v>#REF!</v>
      </c>
      <c r="C82" t="e">
        <f>((Experiment!#REF!+50)*Experiment!#REF!-Experiment!#REF!*(Experiment!#REF!-50))/((Experiment!#REF!+50)^2+(Experiment!#REF!^2))</f>
        <v>#REF!</v>
      </c>
      <c r="D82" t="e">
        <f t="shared" si="14"/>
        <v>#REF!</v>
      </c>
      <c r="E82" t="e">
        <f t="shared" si="15"/>
        <v>#REF!</v>
      </c>
      <c r="F82" t="e">
        <f t="shared" si="16"/>
        <v>#REF!</v>
      </c>
      <c r="I82" t="e">
        <f>Experiment!#REF!</f>
        <v>#REF!</v>
      </c>
      <c r="J82" t="e">
        <f>((Experiment!#REF!+50)*(Experiment!#REF!-50)+(Experiment!#REF!^2))/((Experiment!#REF!+50)^2+(Experiment!#REF!^2))</f>
        <v>#REF!</v>
      </c>
      <c r="K82" t="e">
        <f>((Experiment!#REF!+50)*Experiment!#REF!-Experiment!#REF!*(Experiment!#REF!-50))/((Experiment!#REF!+50)^2+(Experiment!#REF!^2))</f>
        <v>#REF!</v>
      </c>
      <c r="L82" t="e">
        <f t="shared" si="17"/>
        <v>#REF!</v>
      </c>
      <c r="M82" t="e">
        <f t="shared" si="18"/>
        <v>#REF!</v>
      </c>
      <c r="N82" t="e">
        <f t="shared" si="19"/>
        <v>#REF!</v>
      </c>
      <c r="Q82">
        <f>Experiment!A82</f>
        <v>24000000</v>
      </c>
      <c r="R82">
        <f>((Experiment!D82+50)*(Experiment!D82-50)+(Experiment!E82^2))/((Experiment!D82+50)^2+(Experiment!E82^2))</f>
        <v>0.89506401326570895</v>
      </c>
      <c r="S82">
        <f>((Experiment!D82+50)*Experiment!E82-Experiment!E82*(Experiment!D82-50))/((Experiment!D82+50)^2+(Experiment!E82^2))</f>
        <v>-7.3701843559844049E-2</v>
      </c>
      <c r="T82" t="str">
        <f t="shared" si="20"/>
        <v>0.895064013265709-0.073701843559844i</v>
      </c>
      <c r="U82">
        <f t="shared" si="13"/>
        <v>0.89809328557084589</v>
      </c>
      <c r="V82">
        <f t="shared" si="21"/>
        <v>0.93357101042877189</v>
      </c>
      <c r="Y82" t="e">
        <f>Experiment!#REF!</f>
        <v>#REF!</v>
      </c>
      <c r="Z82" t="e">
        <f>((Experiment!#REF!+50)*(Experiment!#REF!-50)+(Experiment!#REF!^2))/((Experiment!#REF!+50)^2+(Experiment!#REF!^2))</f>
        <v>#REF!</v>
      </c>
      <c r="AA82" t="e">
        <f>((Experiment!#REF!+50)*Experiment!#REF!-Experiment!#REF!*(Experiment!#REF!-50))/((Experiment!#REF!+50)^2+(Experiment!#REF!^2))</f>
        <v>#REF!</v>
      </c>
      <c r="AB82" t="e">
        <f t="shared" si="22"/>
        <v>#REF!</v>
      </c>
      <c r="AC82" t="e">
        <f t="shared" si="23"/>
        <v>#REF!</v>
      </c>
      <c r="AD82" t="e">
        <f t="shared" si="24"/>
        <v>#REF!</v>
      </c>
    </row>
    <row r="83" spans="1:30" x14ac:dyDescent="0.15">
      <c r="A83" t="e">
        <f>Experiment!#REF!</f>
        <v>#REF!</v>
      </c>
      <c r="B83" t="e">
        <f>((Experiment!#REF!+50)*(Experiment!#REF!-50)+(Experiment!#REF!^2))/((Experiment!#REF!+50)^2+(Experiment!#REF!^2))</f>
        <v>#REF!</v>
      </c>
      <c r="C83" t="e">
        <f>((Experiment!#REF!+50)*Experiment!#REF!-Experiment!#REF!*(Experiment!#REF!-50))/((Experiment!#REF!+50)^2+(Experiment!#REF!^2))</f>
        <v>#REF!</v>
      </c>
      <c r="D83" t="e">
        <f t="shared" si="14"/>
        <v>#REF!</v>
      </c>
      <c r="E83" t="e">
        <f t="shared" si="15"/>
        <v>#REF!</v>
      </c>
      <c r="F83" t="e">
        <f t="shared" si="16"/>
        <v>#REF!</v>
      </c>
      <c r="I83" t="e">
        <f>Experiment!#REF!</f>
        <v>#REF!</v>
      </c>
      <c r="J83" t="e">
        <f>((Experiment!#REF!+50)*(Experiment!#REF!-50)+(Experiment!#REF!^2))/((Experiment!#REF!+50)^2+(Experiment!#REF!^2))</f>
        <v>#REF!</v>
      </c>
      <c r="K83" t="e">
        <f>((Experiment!#REF!+50)*Experiment!#REF!-Experiment!#REF!*(Experiment!#REF!-50))/((Experiment!#REF!+50)^2+(Experiment!#REF!^2))</f>
        <v>#REF!</v>
      </c>
      <c r="L83" t="e">
        <f t="shared" si="17"/>
        <v>#REF!</v>
      </c>
      <c r="M83" t="e">
        <f t="shared" si="18"/>
        <v>#REF!</v>
      </c>
      <c r="N83" t="e">
        <f t="shared" si="19"/>
        <v>#REF!</v>
      </c>
      <c r="Q83">
        <f>Experiment!A83</f>
        <v>25000000</v>
      </c>
      <c r="R83">
        <f>((Experiment!D83+50)*(Experiment!D83-50)+(Experiment!E83^2))/((Experiment!D83+50)^2+(Experiment!E83^2))</f>
        <v>0.89482126278056162</v>
      </c>
      <c r="S83">
        <f>((Experiment!D83+50)*Experiment!E83-Experiment!E83*(Experiment!D83-50))/((Experiment!D83+50)^2+(Experiment!E83^2))</f>
        <v>-7.6778482272192458E-2</v>
      </c>
      <c r="T83" t="str">
        <f t="shared" si="20"/>
        <v>0.894821262780562-0.0767784822721925i</v>
      </c>
      <c r="U83">
        <f t="shared" si="13"/>
        <v>0.89810914017407728</v>
      </c>
      <c r="V83">
        <f t="shared" si="21"/>
        <v>0.9334176743326249</v>
      </c>
      <c r="Y83" t="e">
        <f>Experiment!#REF!</f>
        <v>#REF!</v>
      </c>
      <c r="Z83" t="e">
        <f>((Experiment!#REF!+50)*(Experiment!#REF!-50)+(Experiment!#REF!^2))/((Experiment!#REF!+50)^2+(Experiment!#REF!^2))</f>
        <v>#REF!</v>
      </c>
      <c r="AA83" t="e">
        <f>((Experiment!#REF!+50)*Experiment!#REF!-Experiment!#REF!*(Experiment!#REF!-50))/((Experiment!#REF!+50)^2+(Experiment!#REF!^2))</f>
        <v>#REF!</v>
      </c>
      <c r="AB83" t="e">
        <f t="shared" si="22"/>
        <v>#REF!</v>
      </c>
      <c r="AC83" t="e">
        <f t="shared" si="23"/>
        <v>#REF!</v>
      </c>
      <c r="AD83" t="e">
        <f t="shared" si="24"/>
        <v>#REF!</v>
      </c>
    </row>
    <row r="84" spans="1:30" x14ac:dyDescent="0.15">
      <c r="A84" t="e">
        <f>Experiment!#REF!</f>
        <v>#REF!</v>
      </c>
      <c r="B84" t="e">
        <f>((Experiment!#REF!+50)*(Experiment!#REF!-50)+(Experiment!#REF!^2))/((Experiment!#REF!+50)^2+(Experiment!#REF!^2))</f>
        <v>#REF!</v>
      </c>
      <c r="C84" t="e">
        <f>((Experiment!#REF!+50)*Experiment!#REF!-Experiment!#REF!*(Experiment!#REF!-50))/((Experiment!#REF!+50)^2+(Experiment!#REF!^2))</f>
        <v>#REF!</v>
      </c>
      <c r="D84" t="e">
        <f t="shared" si="14"/>
        <v>#REF!</v>
      </c>
      <c r="E84" t="e">
        <f t="shared" si="15"/>
        <v>#REF!</v>
      </c>
      <c r="F84" t="e">
        <f t="shared" si="16"/>
        <v>#REF!</v>
      </c>
      <c r="I84" t="e">
        <f>Experiment!#REF!</f>
        <v>#REF!</v>
      </c>
      <c r="J84" t="e">
        <f>((Experiment!#REF!+50)*(Experiment!#REF!-50)+(Experiment!#REF!^2))/((Experiment!#REF!+50)^2+(Experiment!#REF!^2))</f>
        <v>#REF!</v>
      </c>
      <c r="K84" t="e">
        <f>((Experiment!#REF!+50)*Experiment!#REF!-Experiment!#REF!*(Experiment!#REF!-50))/((Experiment!#REF!+50)^2+(Experiment!#REF!^2))</f>
        <v>#REF!</v>
      </c>
      <c r="L84" t="e">
        <f t="shared" si="17"/>
        <v>#REF!</v>
      </c>
      <c r="M84" t="e">
        <f t="shared" si="18"/>
        <v>#REF!</v>
      </c>
      <c r="N84" t="e">
        <f t="shared" si="19"/>
        <v>#REF!</v>
      </c>
      <c r="Q84">
        <f>Experiment!A84</f>
        <v>26000000</v>
      </c>
      <c r="R84">
        <f>((Experiment!D84+50)*(Experiment!D84-50)+(Experiment!E84^2))/((Experiment!D84+50)^2+(Experiment!E84^2))</f>
        <v>0.8945612304620455</v>
      </c>
      <c r="S84">
        <f>((Experiment!D84+50)*Experiment!E84-Experiment!E84*(Experiment!D84-50))/((Experiment!D84+50)^2+(Experiment!E84^2))</f>
        <v>-7.9763708734434655E-2</v>
      </c>
      <c r="T84" t="str">
        <f t="shared" si="20"/>
        <v>0.894561230462045-0.0797637087344347i</v>
      </c>
      <c r="U84">
        <f t="shared" si="13"/>
        <v>0.89811026287246087</v>
      </c>
      <c r="V84">
        <f t="shared" si="21"/>
        <v>0.93340681637814527</v>
      </c>
      <c r="Y84" t="e">
        <f>Experiment!#REF!</f>
        <v>#REF!</v>
      </c>
      <c r="Z84" t="e">
        <f>((Experiment!#REF!+50)*(Experiment!#REF!-50)+(Experiment!#REF!^2))/((Experiment!#REF!+50)^2+(Experiment!#REF!^2))</f>
        <v>#REF!</v>
      </c>
      <c r="AA84" t="e">
        <f>((Experiment!#REF!+50)*Experiment!#REF!-Experiment!#REF!*(Experiment!#REF!-50))/((Experiment!#REF!+50)^2+(Experiment!#REF!^2))</f>
        <v>#REF!</v>
      </c>
      <c r="AB84" t="e">
        <f t="shared" si="22"/>
        <v>#REF!</v>
      </c>
      <c r="AC84" t="e">
        <f t="shared" si="23"/>
        <v>#REF!</v>
      </c>
      <c r="AD84" t="e">
        <f t="shared" si="24"/>
        <v>#REF!</v>
      </c>
    </row>
    <row r="85" spans="1:30" x14ac:dyDescent="0.15">
      <c r="A85" t="e">
        <f>Experiment!#REF!</f>
        <v>#REF!</v>
      </c>
      <c r="B85" t="e">
        <f>((Experiment!#REF!+50)*(Experiment!#REF!-50)+(Experiment!#REF!^2))/((Experiment!#REF!+50)^2+(Experiment!#REF!^2))</f>
        <v>#REF!</v>
      </c>
      <c r="C85" t="e">
        <f>((Experiment!#REF!+50)*Experiment!#REF!-Experiment!#REF!*(Experiment!#REF!-50))/((Experiment!#REF!+50)^2+(Experiment!#REF!^2))</f>
        <v>#REF!</v>
      </c>
      <c r="D85" t="e">
        <f t="shared" si="14"/>
        <v>#REF!</v>
      </c>
      <c r="E85" t="e">
        <f t="shared" si="15"/>
        <v>#REF!</v>
      </c>
      <c r="F85" t="e">
        <f t="shared" si="16"/>
        <v>#REF!</v>
      </c>
      <c r="I85" t="e">
        <f>Experiment!#REF!</f>
        <v>#REF!</v>
      </c>
      <c r="J85" t="e">
        <f>((Experiment!#REF!+50)*(Experiment!#REF!-50)+(Experiment!#REF!^2))/((Experiment!#REF!+50)^2+(Experiment!#REF!^2))</f>
        <v>#REF!</v>
      </c>
      <c r="K85" t="e">
        <f>((Experiment!#REF!+50)*Experiment!#REF!-Experiment!#REF!*(Experiment!#REF!-50))/((Experiment!#REF!+50)^2+(Experiment!#REF!^2))</f>
        <v>#REF!</v>
      </c>
      <c r="L85" t="e">
        <f t="shared" si="17"/>
        <v>#REF!</v>
      </c>
      <c r="M85" t="e">
        <f t="shared" si="18"/>
        <v>#REF!</v>
      </c>
      <c r="N85" t="e">
        <f t="shared" si="19"/>
        <v>#REF!</v>
      </c>
      <c r="Q85">
        <f>Experiment!A85</f>
        <v>27100000</v>
      </c>
      <c r="R85">
        <f>((Experiment!D85+50)*(Experiment!D85-50)+(Experiment!E85^2))/((Experiment!D85+50)^2+(Experiment!E85^2))</f>
        <v>0.89422843801818874</v>
      </c>
      <c r="S85">
        <f>((Experiment!D85+50)*Experiment!E85-Experiment!E85*(Experiment!D85-50))/((Experiment!D85+50)^2+(Experiment!E85^2))</f>
        <v>-8.3140009412973281E-2</v>
      </c>
      <c r="T85" t="str">
        <f t="shared" si="20"/>
        <v>0.894228438018189-0.0831400094129733i</v>
      </c>
      <c r="U85">
        <f t="shared" si="13"/>
        <v>0.89808505194421251</v>
      </c>
      <c r="V85">
        <f t="shared" si="21"/>
        <v>0.93365064213433846</v>
      </c>
      <c r="Y85" t="e">
        <f>Experiment!#REF!</f>
        <v>#REF!</v>
      </c>
      <c r="Z85" t="e">
        <f>((Experiment!#REF!+50)*(Experiment!#REF!-50)+(Experiment!#REF!^2))/((Experiment!#REF!+50)^2+(Experiment!#REF!^2))</f>
        <v>#REF!</v>
      </c>
      <c r="AA85" t="e">
        <f>((Experiment!#REF!+50)*Experiment!#REF!-Experiment!#REF!*(Experiment!#REF!-50))/((Experiment!#REF!+50)^2+(Experiment!#REF!^2))</f>
        <v>#REF!</v>
      </c>
      <c r="AB85" t="e">
        <f t="shared" si="22"/>
        <v>#REF!</v>
      </c>
      <c r="AC85" t="e">
        <f t="shared" si="23"/>
        <v>#REF!</v>
      </c>
      <c r="AD85" t="e">
        <f t="shared" si="24"/>
        <v>#REF!</v>
      </c>
    </row>
    <row r="86" spans="1:30" x14ac:dyDescent="0.15">
      <c r="A86" t="e">
        <f>Experiment!#REF!</f>
        <v>#REF!</v>
      </c>
      <c r="B86" t="e">
        <f>((Experiment!#REF!+50)*(Experiment!#REF!-50)+(Experiment!#REF!^2))/((Experiment!#REF!+50)^2+(Experiment!#REF!^2))</f>
        <v>#REF!</v>
      </c>
      <c r="C86" t="e">
        <f>((Experiment!#REF!+50)*Experiment!#REF!-Experiment!#REF!*(Experiment!#REF!-50))/((Experiment!#REF!+50)^2+(Experiment!#REF!^2))</f>
        <v>#REF!</v>
      </c>
      <c r="D86" t="e">
        <f t="shared" si="14"/>
        <v>#REF!</v>
      </c>
      <c r="E86" t="e">
        <f t="shared" si="15"/>
        <v>#REF!</v>
      </c>
      <c r="F86" t="e">
        <f t="shared" si="16"/>
        <v>#REF!</v>
      </c>
      <c r="I86" t="e">
        <f>Experiment!#REF!</f>
        <v>#REF!</v>
      </c>
      <c r="J86" t="e">
        <f>((Experiment!#REF!+50)*(Experiment!#REF!-50)+(Experiment!#REF!^2))/((Experiment!#REF!+50)^2+(Experiment!#REF!^2))</f>
        <v>#REF!</v>
      </c>
      <c r="K86" t="e">
        <f>((Experiment!#REF!+50)*Experiment!#REF!-Experiment!#REF!*(Experiment!#REF!-50))/((Experiment!#REF!+50)^2+(Experiment!#REF!^2))</f>
        <v>#REF!</v>
      </c>
      <c r="L86" t="e">
        <f t="shared" si="17"/>
        <v>#REF!</v>
      </c>
      <c r="M86" t="e">
        <f t="shared" si="18"/>
        <v>#REF!</v>
      </c>
      <c r="N86" t="e">
        <f t="shared" si="19"/>
        <v>#REF!</v>
      </c>
      <c r="Q86">
        <f>Experiment!A86</f>
        <v>28200000</v>
      </c>
      <c r="R86">
        <f>((Experiment!D86+50)*(Experiment!D86-50)+(Experiment!E86^2))/((Experiment!D86+50)^2+(Experiment!E86^2))</f>
        <v>0.89386244340502929</v>
      </c>
      <c r="S86">
        <f>((Experiment!D86+50)*Experiment!E86-Experiment!E86*(Experiment!D86-50))/((Experiment!D86+50)^2+(Experiment!E86^2))</f>
        <v>-8.648555684953585E-2</v>
      </c>
      <c r="T86" t="str">
        <f t="shared" si="20"/>
        <v>0.893862443405029-0.0864855568495358i</v>
      </c>
      <c r="U86">
        <f t="shared" si="13"/>
        <v>0.89803664695466823</v>
      </c>
      <c r="V86">
        <f t="shared" si="21"/>
        <v>0.93411880684441673</v>
      </c>
      <c r="Y86" t="e">
        <f>Experiment!#REF!</f>
        <v>#REF!</v>
      </c>
      <c r="Z86" t="e">
        <f>((Experiment!#REF!+50)*(Experiment!#REF!-50)+(Experiment!#REF!^2))/((Experiment!#REF!+50)^2+(Experiment!#REF!^2))</f>
        <v>#REF!</v>
      </c>
      <c r="AA86" t="e">
        <f>((Experiment!#REF!+50)*Experiment!#REF!-Experiment!#REF!*(Experiment!#REF!-50))/((Experiment!#REF!+50)^2+(Experiment!#REF!^2))</f>
        <v>#REF!</v>
      </c>
      <c r="AB86" t="e">
        <f t="shared" si="22"/>
        <v>#REF!</v>
      </c>
      <c r="AC86" t="e">
        <f t="shared" si="23"/>
        <v>#REF!</v>
      </c>
      <c r="AD86" t="e">
        <f t="shared" si="24"/>
        <v>#REF!</v>
      </c>
    </row>
    <row r="87" spans="1:30" x14ac:dyDescent="0.15">
      <c r="A87" t="e">
        <f>Experiment!#REF!</f>
        <v>#REF!</v>
      </c>
      <c r="B87" t="e">
        <f>((Experiment!#REF!+50)*(Experiment!#REF!-50)+(Experiment!#REF!^2))/((Experiment!#REF!+50)^2+(Experiment!#REF!^2))</f>
        <v>#REF!</v>
      </c>
      <c r="C87" t="e">
        <f>((Experiment!#REF!+50)*Experiment!#REF!-Experiment!#REF!*(Experiment!#REF!-50))/((Experiment!#REF!+50)^2+(Experiment!#REF!^2))</f>
        <v>#REF!</v>
      </c>
      <c r="D87" t="e">
        <f t="shared" si="14"/>
        <v>#REF!</v>
      </c>
      <c r="E87" t="e">
        <f t="shared" si="15"/>
        <v>#REF!</v>
      </c>
      <c r="F87" t="e">
        <f t="shared" si="16"/>
        <v>#REF!</v>
      </c>
      <c r="I87" t="e">
        <f>Experiment!#REF!</f>
        <v>#REF!</v>
      </c>
      <c r="J87" t="e">
        <f>((Experiment!#REF!+50)*(Experiment!#REF!-50)+(Experiment!#REF!^2))/((Experiment!#REF!+50)^2+(Experiment!#REF!^2))</f>
        <v>#REF!</v>
      </c>
      <c r="K87" t="e">
        <f>((Experiment!#REF!+50)*Experiment!#REF!-Experiment!#REF!*(Experiment!#REF!-50))/((Experiment!#REF!+50)^2+(Experiment!#REF!^2))</f>
        <v>#REF!</v>
      </c>
      <c r="L87" t="e">
        <f t="shared" si="17"/>
        <v>#REF!</v>
      </c>
      <c r="M87" t="e">
        <f t="shared" si="18"/>
        <v>#REF!</v>
      </c>
      <c r="N87" t="e">
        <f t="shared" si="19"/>
        <v>#REF!</v>
      </c>
      <c r="Q87">
        <f>Experiment!A87</f>
        <v>29400000</v>
      </c>
      <c r="R87">
        <f>((Experiment!D87+50)*(Experiment!D87-50)+(Experiment!E87^2))/((Experiment!D87+50)^2+(Experiment!E87^2))</f>
        <v>0.89330894103197522</v>
      </c>
      <c r="S87">
        <f>((Experiment!D87+50)*Experiment!E87-Experiment!E87*(Experiment!D87-50))/((Experiment!D87+50)^2+(Experiment!E87^2))</f>
        <v>-9.0116577153577154E-2</v>
      </c>
      <c r="T87" t="str">
        <f t="shared" si="20"/>
        <v>0.893308941031975-0.0901165771535772i</v>
      </c>
      <c r="U87">
        <f t="shared" si="13"/>
        <v>0.89784289360975933</v>
      </c>
      <c r="V87">
        <f t="shared" si="21"/>
        <v>0.93599300847030675</v>
      </c>
      <c r="Y87" t="e">
        <f>Experiment!#REF!</f>
        <v>#REF!</v>
      </c>
      <c r="Z87" t="e">
        <f>((Experiment!#REF!+50)*(Experiment!#REF!-50)+(Experiment!#REF!^2))/((Experiment!#REF!+50)^2+(Experiment!#REF!^2))</f>
        <v>#REF!</v>
      </c>
      <c r="AA87" t="e">
        <f>((Experiment!#REF!+50)*Experiment!#REF!-Experiment!#REF!*(Experiment!#REF!-50))/((Experiment!#REF!+50)^2+(Experiment!#REF!^2))</f>
        <v>#REF!</v>
      </c>
      <c r="AB87" t="e">
        <f t="shared" si="22"/>
        <v>#REF!</v>
      </c>
      <c r="AC87" t="e">
        <f t="shared" si="23"/>
        <v>#REF!</v>
      </c>
      <c r="AD87" t="e">
        <f t="shared" si="24"/>
        <v>#REF!</v>
      </c>
    </row>
    <row r="88" spans="1:30" x14ac:dyDescent="0.15">
      <c r="A88" t="e">
        <f>Experiment!#REF!</f>
        <v>#REF!</v>
      </c>
      <c r="B88" t="e">
        <f>((Experiment!#REF!+50)*(Experiment!#REF!-50)+(Experiment!#REF!^2))/((Experiment!#REF!+50)^2+(Experiment!#REF!^2))</f>
        <v>#REF!</v>
      </c>
      <c r="C88" t="e">
        <f>((Experiment!#REF!+50)*Experiment!#REF!-Experiment!#REF!*(Experiment!#REF!-50))/((Experiment!#REF!+50)^2+(Experiment!#REF!^2))</f>
        <v>#REF!</v>
      </c>
      <c r="D88" t="e">
        <f t="shared" si="14"/>
        <v>#REF!</v>
      </c>
      <c r="E88" t="e">
        <f t="shared" si="15"/>
        <v>#REF!</v>
      </c>
      <c r="F88" t="e">
        <f t="shared" si="16"/>
        <v>#REF!</v>
      </c>
      <c r="I88" t="e">
        <f>Experiment!#REF!</f>
        <v>#REF!</v>
      </c>
      <c r="J88" t="e">
        <f>((Experiment!#REF!+50)*(Experiment!#REF!-50)+(Experiment!#REF!^2))/((Experiment!#REF!+50)^2+(Experiment!#REF!^2))</f>
        <v>#REF!</v>
      </c>
      <c r="K88" t="e">
        <f>((Experiment!#REF!+50)*Experiment!#REF!-Experiment!#REF!*(Experiment!#REF!-50))/((Experiment!#REF!+50)^2+(Experiment!#REF!^2))</f>
        <v>#REF!</v>
      </c>
      <c r="L88" t="e">
        <f t="shared" si="17"/>
        <v>#REF!</v>
      </c>
      <c r="M88" t="e">
        <f t="shared" si="18"/>
        <v>#REF!</v>
      </c>
      <c r="N88" t="e">
        <f t="shared" si="19"/>
        <v>#REF!</v>
      </c>
      <c r="Q88">
        <f>Experiment!A88</f>
        <v>30600000</v>
      </c>
      <c r="R88">
        <f>((Experiment!D88+50)*(Experiment!D88-50)+(Experiment!E88^2))/((Experiment!D88+50)^2+(Experiment!E88^2))</f>
        <v>0.89291309162494503</v>
      </c>
      <c r="S88">
        <f>((Experiment!D88+50)*Experiment!E88-Experiment!E88*(Experiment!D88-50))/((Experiment!D88+50)^2+(Experiment!E88^2))</f>
        <v>-9.382137294790828E-2</v>
      </c>
      <c r="T88" t="str">
        <f t="shared" si="20"/>
        <v>0.892913091624945-0.0938213729479083i</v>
      </c>
      <c r="U88">
        <f t="shared" si="13"/>
        <v>0.89782862463671087</v>
      </c>
      <c r="V88">
        <f t="shared" si="21"/>
        <v>0.93613105011532993</v>
      </c>
      <c r="Y88" t="e">
        <f>Experiment!#REF!</f>
        <v>#REF!</v>
      </c>
      <c r="Z88" t="e">
        <f>((Experiment!#REF!+50)*(Experiment!#REF!-50)+(Experiment!#REF!^2))/((Experiment!#REF!+50)^2+(Experiment!#REF!^2))</f>
        <v>#REF!</v>
      </c>
      <c r="AA88" t="e">
        <f>((Experiment!#REF!+50)*Experiment!#REF!-Experiment!#REF!*(Experiment!#REF!-50))/((Experiment!#REF!+50)^2+(Experiment!#REF!^2))</f>
        <v>#REF!</v>
      </c>
      <c r="AB88" t="e">
        <f t="shared" si="22"/>
        <v>#REF!</v>
      </c>
      <c r="AC88" t="e">
        <f t="shared" si="23"/>
        <v>#REF!</v>
      </c>
      <c r="AD88" t="e">
        <f t="shared" si="24"/>
        <v>#REF!</v>
      </c>
    </row>
    <row r="89" spans="1:30" x14ac:dyDescent="0.15">
      <c r="A89" t="e">
        <f>Experiment!#REF!</f>
        <v>#REF!</v>
      </c>
      <c r="B89" t="e">
        <f>((Experiment!#REF!+50)*(Experiment!#REF!-50)+(Experiment!#REF!^2))/((Experiment!#REF!+50)^2+(Experiment!#REF!^2))</f>
        <v>#REF!</v>
      </c>
      <c r="C89" t="e">
        <f>((Experiment!#REF!+50)*Experiment!#REF!-Experiment!#REF!*(Experiment!#REF!-50))/((Experiment!#REF!+50)^2+(Experiment!#REF!^2))</f>
        <v>#REF!</v>
      </c>
      <c r="D89" t="e">
        <f t="shared" si="14"/>
        <v>#REF!</v>
      </c>
      <c r="E89" t="e">
        <f t="shared" si="15"/>
        <v>#REF!</v>
      </c>
      <c r="F89" t="e">
        <f t="shared" si="16"/>
        <v>#REF!</v>
      </c>
      <c r="I89" t="e">
        <f>Experiment!#REF!</f>
        <v>#REF!</v>
      </c>
      <c r="J89" t="e">
        <f>((Experiment!#REF!+50)*(Experiment!#REF!-50)+(Experiment!#REF!^2))/((Experiment!#REF!+50)^2+(Experiment!#REF!^2))</f>
        <v>#REF!</v>
      </c>
      <c r="K89" t="e">
        <f>((Experiment!#REF!+50)*Experiment!#REF!-Experiment!#REF!*(Experiment!#REF!-50))/((Experiment!#REF!+50)^2+(Experiment!#REF!^2))</f>
        <v>#REF!</v>
      </c>
      <c r="L89" t="e">
        <f t="shared" si="17"/>
        <v>#REF!</v>
      </c>
      <c r="M89" t="e">
        <f t="shared" si="18"/>
        <v>#REF!</v>
      </c>
      <c r="N89" t="e">
        <f t="shared" si="19"/>
        <v>#REF!</v>
      </c>
      <c r="Q89">
        <f>Experiment!A89</f>
        <v>31800000</v>
      </c>
      <c r="R89">
        <f>((Experiment!D89+50)*(Experiment!D89-50)+(Experiment!E89^2))/((Experiment!D89+50)^2+(Experiment!E89^2))</f>
        <v>0.892619267669153</v>
      </c>
      <c r="S89">
        <f>((Experiment!D89+50)*Experiment!E89-Experiment!E89*(Experiment!D89-50))/((Experiment!D89+50)^2+(Experiment!E89^2))</f>
        <v>-9.7513229526422038E-2</v>
      </c>
      <c r="T89" t="str">
        <f t="shared" si="20"/>
        <v>0.892619267669153-0.097513229526422i</v>
      </c>
      <c r="U89">
        <f t="shared" si="13"/>
        <v>0.89792983408888227</v>
      </c>
      <c r="V89">
        <f t="shared" si="21"/>
        <v>0.93515197174479625</v>
      </c>
      <c r="Y89" t="e">
        <f>Experiment!#REF!</f>
        <v>#REF!</v>
      </c>
      <c r="Z89" t="e">
        <f>((Experiment!#REF!+50)*(Experiment!#REF!-50)+(Experiment!#REF!^2))/((Experiment!#REF!+50)^2+(Experiment!#REF!^2))</f>
        <v>#REF!</v>
      </c>
      <c r="AA89" t="e">
        <f>((Experiment!#REF!+50)*Experiment!#REF!-Experiment!#REF!*(Experiment!#REF!-50))/((Experiment!#REF!+50)^2+(Experiment!#REF!^2))</f>
        <v>#REF!</v>
      </c>
      <c r="AB89" t="e">
        <f t="shared" si="22"/>
        <v>#REF!</v>
      </c>
      <c r="AC89" t="e">
        <f t="shared" si="23"/>
        <v>#REF!</v>
      </c>
      <c r="AD89" t="e">
        <f t="shared" si="24"/>
        <v>#REF!</v>
      </c>
    </row>
    <row r="90" spans="1:30" x14ac:dyDescent="0.15">
      <c r="A90" t="e">
        <f>Experiment!#REF!</f>
        <v>#REF!</v>
      </c>
      <c r="B90" t="e">
        <f>((Experiment!#REF!+50)*(Experiment!#REF!-50)+(Experiment!#REF!^2))/((Experiment!#REF!+50)^2+(Experiment!#REF!^2))</f>
        <v>#REF!</v>
      </c>
      <c r="C90" t="e">
        <f>((Experiment!#REF!+50)*Experiment!#REF!-Experiment!#REF!*(Experiment!#REF!-50))/((Experiment!#REF!+50)^2+(Experiment!#REF!^2))</f>
        <v>#REF!</v>
      </c>
      <c r="D90" t="e">
        <f t="shared" si="14"/>
        <v>#REF!</v>
      </c>
      <c r="E90" t="e">
        <f t="shared" si="15"/>
        <v>#REF!</v>
      </c>
      <c r="F90" t="e">
        <f t="shared" si="16"/>
        <v>#REF!</v>
      </c>
      <c r="I90" t="e">
        <f>Experiment!#REF!</f>
        <v>#REF!</v>
      </c>
      <c r="J90" t="e">
        <f>((Experiment!#REF!+50)*(Experiment!#REF!-50)+(Experiment!#REF!^2))/((Experiment!#REF!+50)^2+(Experiment!#REF!^2))</f>
        <v>#REF!</v>
      </c>
      <c r="K90" t="e">
        <f>((Experiment!#REF!+50)*Experiment!#REF!-Experiment!#REF!*(Experiment!#REF!-50))/((Experiment!#REF!+50)^2+(Experiment!#REF!^2))</f>
        <v>#REF!</v>
      </c>
      <c r="L90" t="e">
        <f t="shared" si="17"/>
        <v>#REF!</v>
      </c>
      <c r="M90" t="e">
        <f t="shared" si="18"/>
        <v>#REF!</v>
      </c>
      <c r="N90" t="e">
        <f t="shared" si="19"/>
        <v>#REF!</v>
      </c>
      <c r="Q90">
        <f>Experiment!A90</f>
        <v>33100000</v>
      </c>
      <c r="R90">
        <f>((Experiment!D90+50)*(Experiment!D90-50)+(Experiment!E90^2))/((Experiment!D90+50)^2+(Experiment!E90^2))</f>
        <v>0.89228271479174737</v>
      </c>
      <c r="S90">
        <f>((Experiment!D90+50)*Experiment!E90-Experiment!E90*(Experiment!D90-50))/((Experiment!D90+50)^2+(Experiment!E90^2))</f>
        <v>-0.10140141772220559</v>
      </c>
      <c r="T90" t="str">
        <f t="shared" si="20"/>
        <v>0.892282714791747-0.101401417722206i</v>
      </c>
      <c r="U90">
        <f t="shared" si="13"/>
        <v>0.89802599663495486</v>
      </c>
      <c r="V90">
        <f t="shared" si="21"/>
        <v>0.93422181828666417</v>
      </c>
      <c r="Y90" t="e">
        <f>Experiment!#REF!</f>
        <v>#REF!</v>
      </c>
      <c r="Z90" t="e">
        <f>((Experiment!#REF!+50)*(Experiment!#REF!-50)+(Experiment!#REF!^2))/((Experiment!#REF!+50)^2+(Experiment!#REF!^2))</f>
        <v>#REF!</v>
      </c>
      <c r="AA90" t="e">
        <f>((Experiment!#REF!+50)*Experiment!#REF!-Experiment!#REF!*(Experiment!#REF!-50))/((Experiment!#REF!+50)^2+(Experiment!#REF!^2))</f>
        <v>#REF!</v>
      </c>
      <c r="AB90" t="e">
        <f t="shared" si="22"/>
        <v>#REF!</v>
      </c>
      <c r="AC90" t="e">
        <f t="shared" si="23"/>
        <v>#REF!</v>
      </c>
      <c r="AD90" t="e">
        <f t="shared" si="24"/>
        <v>#REF!</v>
      </c>
    </row>
    <row r="91" spans="1:30" x14ac:dyDescent="0.15">
      <c r="A91" t="e">
        <f>Experiment!#REF!</f>
        <v>#REF!</v>
      </c>
      <c r="B91" t="e">
        <f>((Experiment!#REF!+50)*(Experiment!#REF!-50)+(Experiment!#REF!^2))/((Experiment!#REF!+50)^2+(Experiment!#REF!^2))</f>
        <v>#REF!</v>
      </c>
      <c r="C91" t="e">
        <f>((Experiment!#REF!+50)*Experiment!#REF!-Experiment!#REF!*(Experiment!#REF!-50))/((Experiment!#REF!+50)^2+(Experiment!#REF!^2))</f>
        <v>#REF!</v>
      </c>
      <c r="D91" t="e">
        <f t="shared" si="14"/>
        <v>#REF!</v>
      </c>
      <c r="E91" t="e">
        <f t="shared" si="15"/>
        <v>#REF!</v>
      </c>
      <c r="F91" t="e">
        <f t="shared" si="16"/>
        <v>#REF!</v>
      </c>
      <c r="I91" t="e">
        <f>Experiment!#REF!</f>
        <v>#REF!</v>
      </c>
      <c r="J91" t="e">
        <f>((Experiment!#REF!+50)*(Experiment!#REF!-50)+(Experiment!#REF!^2))/((Experiment!#REF!+50)^2+(Experiment!#REF!^2))</f>
        <v>#REF!</v>
      </c>
      <c r="K91" t="e">
        <f>((Experiment!#REF!+50)*Experiment!#REF!-Experiment!#REF!*(Experiment!#REF!-50))/((Experiment!#REF!+50)^2+(Experiment!#REF!^2))</f>
        <v>#REF!</v>
      </c>
      <c r="L91" t="e">
        <f t="shared" si="17"/>
        <v>#REF!</v>
      </c>
      <c r="M91" t="e">
        <f t="shared" si="18"/>
        <v>#REF!</v>
      </c>
      <c r="N91" t="e">
        <f t="shared" si="19"/>
        <v>#REF!</v>
      </c>
      <c r="Q91">
        <f>Experiment!A91</f>
        <v>34500000</v>
      </c>
      <c r="R91">
        <f>((Experiment!D91+50)*(Experiment!D91-50)+(Experiment!E91^2))/((Experiment!D91+50)^2+(Experiment!E91^2))</f>
        <v>0.89191031392621445</v>
      </c>
      <c r="S91">
        <f>((Experiment!D91+50)*Experiment!E91-Experiment!E91*(Experiment!D91-50))/((Experiment!D91+50)^2+(Experiment!E91^2))</f>
        <v>-0.10566701733528695</v>
      </c>
      <c r="T91" t="str">
        <f t="shared" si="20"/>
        <v>0.891910313926214-0.105667017335287i</v>
      </c>
      <c r="U91">
        <f t="shared" si="13"/>
        <v>0.89814783117284991</v>
      </c>
      <c r="V91">
        <f t="shared" si="21"/>
        <v>0.93304348984706587</v>
      </c>
      <c r="Y91" t="e">
        <f>Experiment!#REF!</f>
        <v>#REF!</v>
      </c>
      <c r="Z91" t="e">
        <f>((Experiment!#REF!+50)*(Experiment!#REF!-50)+(Experiment!#REF!^2))/((Experiment!#REF!+50)^2+(Experiment!#REF!^2))</f>
        <v>#REF!</v>
      </c>
      <c r="AA91" t="e">
        <f>((Experiment!#REF!+50)*Experiment!#REF!-Experiment!#REF!*(Experiment!#REF!-50))/((Experiment!#REF!+50)^2+(Experiment!#REF!^2))</f>
        <v>#REF!</v>
      </c>
      <c r="AB91" t="e">
        <f t="shared" si="22"/>
        <v>#REF!</v>
      </c>
      <c r="AC91" t="e">
        <f t="shared" si="23"/>
        <v>#REF!</v>
      </c>
      <c r="AD91" t="e">
        <f t="shared" si="24"/>
        <v>#REF!</v>
      </c>
    </row>
    <row r="92" spans="1:30" x14ac:dyDescent="0.15">
      <c r="A92" t="e">
        <f>Experiment!#REF!</f>
        <v>#REF!</v>
      </c>
      <c r="B92" t="e">
        <f>((Experiment!#REF!+50)*(Experiment!#REF!-50)+(Experiment!#REF!^2))/((Experiment!#REF!+50)^2+(Experiment!#REF!^2))</f>
        <v>#REF!</v>
      </c>
      <c r="C92" t="e">
        <f>((Experiment!#REF!+50)*Experiment!#REF!-Experiment!#REF!*(Experiment!#REF!-50))/((Experiment!#REF!+50)^2+(Experiment!#REF!^2))</f>
        <v>#REF!</v>
      </c>
      <c r="D92" t="e">
        <f t="shared" si="14"/>
        <v>#REF!</v>
      </c>
      <c r="E92" t="e">
        <f t="shared" si="15"/>
        <v>#REF!</v>
      </c>
      <c r="F92" t="e">
        <f t="shared" si="16"/>
        <v>#REF!</v>
      </c>
      <c r="I92" t="e">
        <f>Experiment!#REF!</f>
        <v>#REF!</v>
      </c>
      <c r="J92" t="e">
        <f>((Experiment!#REF!+50)*(Experiment!#REF!-50)+(Experiment!#REF!^2))/((Experiment!#REF!+50)^2+(Experiment!#REF!^2))</f>
        <v>#REF!</v>
      </c>
      <c r="K92" t="e">
        <f>((Experiment!#REF!+50)*Experiment!#REF!-Experiment!#REF!*(Experiment!#REF!-50))/((Experiment!#REF!+50)^2+(Experiment!#REF!^2))</f>
        <v>#REF!</v>
      </c>
      <c r="L92" t="e">
        <f t="shared" si="17"/>
        <v>#REF!</v>
      </c>
      <c r="M92" t="e">
        <f t="shared" si="18"/>
        <v>#REF!</v>
      </c>
      <c r="N92" t="e">
        <f t="shared" si="19"/>
        <v>#REF!</v>
      </c>
      <c r="Q92">
        <f>Experiment!A92</f>
        <v>35900000</v>
      </c>
      <c r="R92">
        <f>((Experiment!D92+50)*(Experiment!D92-50)+(Experiment!E92^2))/((Experiment!D92+50)^2+(Experiment!E92^2))</f>
        <v>0.89143501610086884</v>
      </c>
      <c r="S92">
        <f>((Experiment!D92+50)*Experiment!E92-Experiment!E92*(Experiment!D92-50))/((Experiment!D92+50)^2+(Experiment!E92^2))</f>
        <v>-0.10990503011678056</v>
      </c>
      <c r="T92" t="str">
        <f t="shared" si="20"/>
        <v>0.891435016100869-0.109905030116781i</v>
      </c>
      <c r="U92">
        <f t="shared" si="13"/>
        <v>0.89818455986268586</v>
      </c>
      <c r="V92">
        <f t="shared" si="21"/>
        <v>0.93268829795930364</v>
      </c>
      <c r="Y92" t="e">
        <f>Experiment!#REF!</f>
        <v>#REF!</v>
      </c>
      <c r="Z92" t="e">
        <f>((Experiment!#REF!+50)*(Experiment!#REF!-50)+(Experiment!#REF!^2))/((Experiment!#REF!+50)^2+(Experiment!#REF!^2))</f>
        <v>#REF!</v>
      </c>
      <c r="AA92" t="e">
        <f>((Experiment!#REF!+50)*Experiment!#REF!-Experiment!#REF!*(Experiment!#REF!-50))/((Experiment!#REF!+50)^2+(Experiment!#REF!^2))</f>
        <v>#REF!</v>
      </c>
      <c r="AB92" t="e">
        <f t="shared" si="22"/>
        <v>#REF!</v>
      </c>
      <c r="AC92" t="e">
        <f t="shared" si="23"/>
        <v>#REF!</v>
      </c>
      <c r="AD92" t="e">
        <f t="shared" si="24"/>
        <v>#REF!</v>
      </c>
    </row>
    <row r="93" spans="1:30" x14ac:dyDescent="0.15">
      <c r="A93" t="e">
        <f>Experiment!#REF!</f>
        <v>#REF!</v>
      </c>
      <c r="B93" t="e">
        <f>((Experiment!#REF!+50)*(Experiment!#REF!-50)+(Experiment!#REF!^2))/((Experiment!#REF!+50)^2+(Experiment!#REF!^2))</f>
        <v>#REF!</v>
      </c>
      <c r="C93" t="e">
        <f>((Experiment!#REF!+50)*Experiment!#REF!-Experiment!#REF!*(Experiment!#REF!-50))/((Experiment!#REF!+50)^2+(Experiment!#REF!^2))</f>
        <v>#REF!</v>
      </c>
      <c r="D93" t="e">
        <f t="shared" si="14"/>
        <v>#REF!</v>
      </c>
      <c r="E93" t="e">
        <f t="shared" si="15"/>
        <v>#REF!</v>
      </c>
      <c r="F93" t="e">
        <f t="shared" si="16"/>
        <v>#REF!</v>
      </c>
      <c r="I93" t="e">
        <f>Experiment!#REF!</f>
        <v>#REF!</v>
      </c>
      <c r="J93" t="e">
        <f>((Experiment!#REF!+50)*(Experiment!#REF!-50)+(Experiment!#REF!^2))/((Experiment!#REF!+50)^2+(Experiment!#REF!^2))</f>
        <v>#REF!</v>
      </c>
      <c r="K93" t="e">
        <f>((Experiment!#REF!+50)*Experiment!#REF!-Experiment!#REF!*(Experiment!#REF!-50))/((Experiment!#REF!+50)^2+(Experiment!#REF!^2))</f>
        <v>#REF!</v>
      </c>
      <c r="L93" t="e">
        <f t="shared" si="17"/>
        <v>#REF!</v>
      </c>
      <c r="M93" t="e">
        <f t="shared" si="18"/>
        <v>#REF!</v>
      </c>
      <c r="N93" t="e">
        <f t="shared" si="19"/>
        <v>#REF!</v>
      </c>
      <c r="Q93">
        <f>Experiment!A93</f>
        <v>37400000</v>
      </c>
      <c r="R93">
        <f>((Experiment!D93+50)*(Experiment!D93-50)+(Experiment!E93^2))/((Experiment!D93+50)^2+(Experiment!E93^2))</f>
        <v>0.89080589912637842</v>
      </c>
      <c r="S93">
        <f>((Experiment!D93+50)*Experiment!E93-Experiment!E93*(Experiment!D93-50))/((Experiment!D93+50)^2+(Experiment!E93^2))</f>
        <v>-0.11450128690367938</v>
      </c>
      <c r="T93" t="str">
        <f t="shared" si="20"/>
        <v>0.890805899126378-0.114501286903679i</v>
      </c>
      <c r="U93">
        <f t="shared" si="13"/>
        <v>0.89813456376032774</v>
      </c>
      <c r="V93">
        <f t="shared" si="21"/>
        <v>0.93317179849305321</v>
      </c>
      <c r="Y93" t="e">
        <f>Experiment!#REF!</f>
        <v>#REF!</v>
      </c>
      <c r="Z93" t="e">
        <f>((Experiment!#REF!+50)*(Experiment!#REF!-50)+(Experiment!#REF!^2))/((Experiment!#REF!+50)^2+(Experiment!#REF!^2))</f>
        <v>#REF!</v>
      </c>
      <c r="AA93" t="e">
        <f>((Experiment!#REF!+50)*Experiment!#REF!-Experiment!#REF!*(Experiment!#REF!-50))/((Experiment!#REF!+50)^2+(Experiment!#REF!^2))</f>
        <v>#REF!</v>
      </c>
      <c r="AB93" t="e">
        <f t="shared" si="22"/>
        <v>#REF!</v>
      </c>
      <c r="AC93" t="e">
        <f t="shared" si="23"/>
        <v>#REF!</v>
      </c>
      <c r="AD93" t="e">
        <f t="shared" si="24"/>
        <v>#REF!</v>
      </c>
    </row>
    <row r="94" spans="1:30" x14ac:dyDescent="0.15">
      <c r="A94" t="e">
        <f>Experiment!#REF!</f>
        <v>#REF!</v>
      </c>
      <c r="B94" t="e">
        <f>((Experiment!#REF!+50)*(Experiment!#REF!-50)+(Experiment!#REF!^2))/((Experiment!#REF!+50)^2+(Experiment!#REF!^2))</f>
        <v>#REF!</v>
      </c>
      <c r="C94" t="e">
        <f>((Experiment!#REF!+50)*Experiment!#REF!-Experiment!#REF!*(Experiment!#REF!-50))/((Experiment!#REF!+50)^2+(Experiment!#REF!^2))</f>
        <v>#REF!</v>
      </c>
      <c r="D94" t="e">
        <f t="shared" si="14"/>
        <v>#REF!</v>
      </c>
      <c r="E94" t="e">
        <f t="shared" si="15"/>
        <v>#REF!</v>
      </c>
      <c r="F94" t="e">
        <f t="shared" si="16"/>
        <v>#REF!</v>
      </c>
      <c r="I94" t="e">
        <f>Experiment!#REF!</f>
        <v>#REF!</v>
      </c>
      <c r="J94" t="e">
        <f>((Experiment!#REF!+50)*(Experiment!#REF!-50)+(Experiment!#REF!^2))/((Experiment!#REF!+50)^2+(Experiment!#REF!^2))</f>
        <v>#REF!</v>
      </c>
      <c r="K94" t="e">
        <f>((Experiment!#REF!+50)*Experiment!#REF!-Experiment!#REF!*(Experiment!#REF!-50))/((Experiment!#REF!+50)^2+(Experiment!#REF!^2))</f>
        <v>#REF!</v>
      </c>
      <c r="L94" t="e">
        <f t="shared" si="17"/>
        <v>#REF!</v>
      </c>
      <c r="M94" t="e">
        <f t="shared" si="18"/>
        <v>#REF!</v>
      </c>
      <c r="N94" t="e">
        <f t="shared" si="19"/>
        <v>#REF!</v>
      </c>
      <c r="Q94">
        <f>Experiment!A94</f>
        <v>38900000</v>
      </c>
      <c r="R94">
        <f>((Experiment!D94+50)*(Experiment!D94-50)+(Experiment!E94^2))/((Experiment!D94+50)^2+(Experiment!E94^2))</f>
        <v>0.89006524037370882</v>
      </c>
      <c r="S94">
        <f>((Experiment!D94+50)*Experiment!E94-Experiment!E94*(Experiment!D94-50))/((Experiment!D94+50)^2+(Experiment!E94^2))</f>
        <v>-0.1189706514511041</v>
      </c>
      <c r="T94" t="str">
        <f t="shared" si="20"/>
        <v>0.890065240373709-0.118970651451104i</v>
      </c>
      <c r="U94">
        <f t="shared" si="13"/>
        <v>0.89798115126555311</v>
      </c>
      <c r="V94">
        <f t="shared" si="21"/>
        <v>0.93465558262879178</v>
      </c>
      <c r="Y94" t="e">
        <f>Experiment!#REF!</f>
        <v>#REF!</v>
      </c>
      <c r="Z94" t="e">
        <f>((Experiment!#REF!+50)*(Experiment!#REF!-50)+(Experiment!#REF!^2))/((Experiment!#REF!+50)^2+(Experiment!#REF!^2))</f>
        <v>#REF!</v>
      </c>
      <c r="AA94" t="e">
        <f>((Experiment!#REF!+50)*Experiment!#REF!-Experiment!#REF!*(Experiment!#REF!-50))/((Experiment!#REF!+50)^2+(Experiment!#REF!^2))</f>
        <v>#REF!</v>
      </c>
      <c r="AB94" t="e">
        <f t="shared" si="22"/>
        <v>#REF!</v>
      </c>
      <c r="AC94" t="e">
        <f t="shared" si="23"/>
        <v>#REF!</v>
      </c>
      <c r="AD94" t="e">
        <f t="shared" si="24"/>
        <v>#REF!</v>
      </c>
    </row>
    <row r="95" spans="1:30" x14ac:dyDescent="0.15">
      <c r="A95" t="e">
        <f>Experiment!#REF!</f>
        <v>#REF!</v>
      </c>
      <c r="B95" t="e">
        <f>((Experiment!#REF!+50)*(Experiment!#REF!-50)+(Experiment!#REF!^2))/((Experiment!#REF!+50)^2+(Experiment!#REF!^2))</f>
        <v>#REF!</v>
      </c>
      <c r="C95" t="e">
        <f>((Experiment!#REF!+50)*Experiment!#REF!-Experiment!#REF!*(Experiment!#REF!-50))/((Experiment!#REF!+50)^2+(Experiment!#REF!^2))</f>
        <v>#REF!</v>
      </c>
      <c r="D95" t="e">
        <f t="shared" si="14"/>
        <v>#REF!</v>
      </c>
      <c r="E95" t="e">
        <f t="shared" si="15"/>
        <v>#REF!</v>
      </c>
      <c r="F95" t="e">
        <f t="shared" si="16"/>
        <v>#REF!</v>
      </c>
      <c r="I95" t="e">
        <f>Experiment!#REF!</f>
        <v>#REF!</v>
      </c>
      <c r="J95" t="e">
        <f>((Experiment!#REF!+50)*(Experiment!#REF!-50)+(Experiment!#REF!^2))/((Experiment!#REF!+50)^2+(Experiment!#REF!^2))</f>
        <v>#REF!</v>
      </c>
      <c r="K95" t="e">
        <f>((Experiment!#REF!+50)*Experiment!#REF!-Experiment!#REF!*(Experiment!#REF!-50))/((Experiment!#REF!+50)^2+(Experiment!#REF!^2))</f>
        <v>#REF!</v>
      </c>
      <c r="L95" t="e">
        <f t="shared" si="17"/>
        <v>#REF!</v>
      </c>
      <c r="M95" t="e">
        <f t="shared" si="18"/>
        <v>#REF!</v>
      </c>
      <c r="N95" t="e">
        <f t="shared" si="19"/>
        <v>#REF!</v>
      </c>
      <c r="Q95">
        <f>Experiment!A95</f>
        <v>40500000</v>
      </c>
      <c r="R95">
        <f>((Experiment!D95+50)*(Experiment!D95-50)+(Experiment!E95^2))/((Experiment!D95+50)^2+(Experiment!E95^2))</f>
        <v>0.88928277915291298</v>
      </c>
      <c r="S95">
        <f>((Experiment!D95+50)*Experiment!E95-Experiment!E95*(Experiment!D95-50))/((Experiment!D95+50)^2+(Experiment!E95^2))</f>
        <v>-0.12380450365514338</v>
      </c>
      <c r="T95" t="str">
        <f t="shared" si="20"/>
        <v>0.889282779152913-0.123804503655143i</v>
      </c>
      <c r="U95">
        <f t="shared" si="13"/>
        <v>0.89785935225024249</v>
      </c>
      <c r="V95">
        <f t="shared" si="21"/>
        <v>0.935833786154733</v>
      </c>
      <c r="Y95" t="e">
        <f>Experiment!#REF!</f>
        <v>#REF!</v>
      </c>
      <c r="Z95" t="e">
        <f>((Experiment!#REF!+50)*(Experiment!#REF!-50)+(Experiment!#REF!^2))/((Experiment!#REF!+50)^2+(Experiment!#REF!^2))</f>
        <v>#REF!</v>
      </c>
      <c r="AA95" t="e">
        <f>((Experiment!#REF!+50)*Experiment!#REF!-Experiment!#REF!*(Experiment!#REF!-50))/((Experiment!#REF!+50)^2+(Experiment!#REF!^2))</f>
        <v>#REF!</v>
      </c>
      <c r="AB95" t="e">
        <f t="shared" si="22"/>
        <v>#REF!</v>
      </c>
      <c r="AC95" t="e">
        <f t="shared" si="23"/>
        <v>#REF!</v>
      </c>
      <c r="AD95" t="e">
        <f t="shared" si="24"/>
        <v>#REF!</v>
      </c>
    </row>
    <row r="96" spans="1:30" x14ac:dyDescent="0.15">
      <c r="A96" t="e">
        <f>Experiment!#REF!</f>
        <v>#REF!</v>
      </c>
      <c r="B96" t="e">
        <f>((Experiment!#REF!+50)*(Experiment!#REF!-50)+(Experiment!#REF!^2))/((Experiment!#REF!+50)^2+(Experiment!#REF!^2))</f>
        <v>#REF!</v>
      </c>
      <c r="C96" t="e">
        <f>((Experiment!#REF!+50)*Experiment!#REF!-Experiment!#REF!*(Experiment!#REF!-50))/((Experiment!#REF!+50)^2+(Experiment!#REF!^2))</f>
        <v>#REF!</v>
      </c>
      <c r="D96" t="e">
        <f t="shared" si="14"/>
        <v>#REF!</v>
      </c>
      <c r="E96" t="e">
        <f t="shared" si="15"/>
        <v>#REF!</v>
      </c>
      <c r="F96" t="e">
        <f t="shared" si="16"/>
        <v>#REF!</v>
      </c>
      <c r="I96" t="e">
        <f>Experiment!#REF!</f>
        <v>#REF!</v>
      </c>
      <c r="J96" t="e">
        <f>((Experiment!#REF!+50)*(Experiment!#REF!-50)+(Experiment!#REF!^2))/((Experiment!#REF!+50)^2+(Experiment!#REF!^2))</f>
        <v>#REF!</v>
      </c>
      <c r="K96" t="e">
        <f>((Experiment!#REF!+50)*Experiment!#REF!-Experiment!#REF!*(Experiment!#REF!-50))/((Experiment!#REF!+50)^2+(Experiment!#REF!^2))</f>
        <v>#REF!</v>
      </c>
      <c r="L96" t="e">
        <f t="shared" si="17"/>
        <v>#REF!</v>
      </c>
      <c r="M96" t="e">
        <f t="shared" si="18"/>
        <v>#REF!</v>
      </c>
      <c r="N96" t="e">
        <f t="shared" si="19"/>
        <v>#REF!</v>
      </c>
      <c r="Q96">
        <f>Experiment!A96</f>
        <v>42200000</v>
      </c>
      <c r="R96">
        <f>((Experiment!D96+50)*(Experiment!D96-50)+(Experiment!E96^2))/((Experiment!D96+50)^2+(Experiment!E96^2))</f>
        <v>0.88872325070458891</v>
      </c>
      <c r="S96">
        <f>((Experiment!D96+50)*Experiment!E96-Experiment!E96*(Experiment!D96-50))/((Experiment!D96+50)^2+(Experiment!E96^2))</f>
        <v>-0.12898651672802727</v>
      </c>
      <c r="T96" t="str">
        <f t="shared" si="20"/>
        <v>0.888723250704589-0.128986516728027i</v>
      </c>
      <c r="U96">
        <f t="shared" si="13"/>
        <v>0.89803481994884882</v>
      </c>
      <c r="V96">
        <f t="shared" si="21"/>
        <v>0.93413647782378251</v>
      </c>
      <c r="Y96" t="e">
        <f>Experiment!#REF!</f>
        <v>#REF!</v>
      </c>
      <c r="Z96" t="e">
        <f>((Experiment!#REF!+50)*(Experiment!#REF!-50)+(Experiment!#REF!^2))/((Experiment!#REF!+50)^2+(Experiment!#REF!^2))</f>
        <v>#REF!</v>
      </c>
      <c r="AA96" t="e">
        <f>((Experiment!#REF!+50)*Experiment!#REF!-Experiment!#REF!*(Experiment!#REF!-50))/((Experiment!#REF!+50)^2+(Experiment!#REF!^2))</f>
        <v>#REF!</v>
      </c>
      <c r="AB96" t="e">
        <f t="shared" si="22"/>
        <v>#REF!</v>
      </c>
      <c r="AC96" t="e">
        <f t="shared" si="23"/>
        <v>#REF!</v>
      </c>
      <c r="AD96" t="e">
        <f t="shared" si="24"/>
        <v>#REF!</v>
      </c>
    </row>
    <row r="97" spans="1:30" x14ac:dyDescent="0.15">
      <c r="A97" t="e">
        <f>Experiment!#REF!</f>
        <v>#REF!</v>
      </c>
      <c r="B97" t="e">
        <f>((Experiment!#REF!+50)*(Experiment!#REF!-50)+(Experiment!#REF!^2))/((Experiment!#REF!+50)^2+(Experiment!#REF!^2))</f>
        <v>#REF!</v>
      </c>
      <c r="C97" t="e">
        <f>((Experiment!#REF!+50)*Experiment!#REF!-Experiment!#REF!*(Experiment!#REF!-50))/((Experiment!#REF!+50)^2+(Experiment!#REF!^2))</f>
        <v>#REF!</v>
      </c>
      <c r="D97" t="e">
        <f t="shared" si="14"/>
        <v>#REF!</v>
      </c>
      <c r="E97" t="e">
        <f t="shared" si="15"/>
        <v>#REF!</v>
      </c>
      <c r="F97" t="e">
        <f t="shared" si="16"/>
        <v>#REF!</v>
      </c>
      <c r="I97" t="e">
        <f>Experiment!#REF!</f>
        <v>#REF!</v>
      </c>
      <c r="J97" t="e">
        <f>((Experiment!#REF!+50)*(Experiment!#REF!-50)+(Experiment!#REF!^2))/((Experiment!#REF!+50)^2+(Experiment!#REF!^2))</f>
        <v>#REF!</v>
      </c>
      <c r="K97" t="e">
        <f>((Experiment!#REF!+50)*Experiment!#REF!-Experiment!#REF!*(Experiment!#REF!-50))/((Experiment!#REF!+50)^2+(Experiment!#REF!^2))</f>
        <v>#REF!</v>
      </c>
      <c r="L97" t="e">
        <f t="shared" si="17"/>
        <v>#REF!</v>
      </c>
      <c r="M97" t="e">
        <f t="shared" si="18"/>
        <v>#REF!</v>
      </c>
      <c r="N97" t="e">
        <f t="shared" si="19"/>
        <v>#REF!</v>
      </c>
      <c r="Q97">
        <f>Experiment!A97</f>
        <v>43900000</v>
      </c>
      <c r="R97">
        <f>((Experiment!D97+50)*(Experiment!D97-50)+(Experiment!E97^2))/((Experiment!D97+50)^2+(Experiment!E97^2))</f>
        <v>0.88801389733167768</v>
      </c>
      <c r="S97">
        <f>((Experiment!D97+50)*Experiment!E97-Experiment!E97*(Experiment!D97-50))/((Experiment!D97+50)^2+(Experiment!E97^2))</f>
        <v>-0.13411504548774847</v>
      </c>
      <c r="T97" t="str">
        <f t="shared" si="20"/>
        <v>0.888013897331678-0.134115045487748i</v>
      </c>
      <c r="U97">
        <f t="shared" si="13"/>
        <v>0.89808436534680647</v>
      </c>
      <c r="V97">
        <f t="shared" si="21"/>
        <v>0.93365728260960457</v>
      </c>
      <c r="Y97" t="e">
        <f>Experiment!#REF!</f>
        <v>#REF!</v>
      </c>
      <c r="Z97" t="e">
        <f>((Experiment!#REF!+50)*(Experiment!#REF!-50)+(Experiment!#REF!^2))/((Experiment!#REF!+50)^2+(Experiment!#REF!^2))</f>
        <v>#REF!</v>
      </c>
      <c r="AA97" t="e">
        <f>((Experiment!#REF!+50)*Experiment!#REF!-Experiment!#REF!*(Experiment!#REF!-50))/((Experiment!#REF!+50)^2+(Experiment!#REF!^2))</f>
        <v>#REF!</v>
      </c>
      <c r="AB97" t="e">
        <f t="shared" si="22"/>
        <v>#REF!</v>
      </c>
      <c r="AC97" t="e">
        <f t="shared" si="23"/>
        <v>#REF!</v>
      </c>
      <c r="AD97" t="e">
        <f t="shared" si="24"/>
        <v>#REF!</v>
      </c>
    </row>
    <row r="98" spans="1:30" x14ac:dyDescent="0.15">
      <c r="A98" t="e">
        <f>Experiment!#REF!</f>
        <v>#REF!</v>
      </c>
      <c r="B98" t="e">
        <f>((Experiment!#REF!+50)*(Experiment!#REF!-50)+(Experiment!#REF!^2))/((Experiment!#REF!+50)^2+(Experiment!#REF!^2))</f>
        <v>#REF!</v>
      </c>
      <c r="C98" t="e">
        <f>((Experiment!#REF!+50)*Experiment!#REF!-Experiment!#REF!*(Experiment!#REF!-50))/((Experiment!#REF!+50)^2+(Experiment!#REF!^2))</f>
        <v>#REF!</v>
      </c>
      <c r="D98" t="e">
        <f t="shared" si="14"/>
        <v>#REF!</v>
      </c>
      <c r="E98" t="e">
        <f t="shared" si="15"/>
        <v>#REF!</v>
      </c>
      <c r="F98" t="e">
        <f t="shared" si="16"/>
        <v>#REF!</v>
      </c>
      <c r="I98" t="e">
        <f>Experiment!#REF!</f>
        <v>#REF!</v>
      </c>
      <c r="J98" t="e">
        <f>((Experiment!#REF!+50)*(Experiment!#REF!-50)+(Experiment!#REF!^2))/((Experiment!#REF!+50)^2+(Experiment!#REF!^2))</f>
        <v>#REF!</v>
      </c>
      <c r="K98" t="e">
        <f>((Experiment!#REF!+50)*Experiment!#REF!-Experiment!#REF!*(Experiment!#REF!-50))/((Experiment!#REF!+50)^2+(Experiment!#REF!^2))</f>
        <v>#REF!</v>
      </c>
      <c r="L98" t="e">
        <f t="shared" si="17"/>
        <v>#REF!</v>
      </c>
      <c r="M98" t="e">
        <f t="shared" si="18"/>
        <v>#REF!</v>
      </c>
      <c r="N98" t="e">
        <f t="shared" si="19"/>
        <v>#REF!</v>
      </c>
      <c r="Q98">
        <f>Experiment!A98</f>
        <v>45700000</v>
      </c>
      <c r="R98">
        <f>((Experiment!D98+50)*(Experiment!D98-50)+(Experiment!E98^2))/((Experiment!D98+50)^2+(Experiment!E98^2))</f>
        <v>0.88718186353078143</v>
      </c>
      <c r="S98">
        <f>((Experiment!D98+50)*Experiment!E98-Experiment!E98*(Experiment!D98-50))/((Experiment!D98+50)^2+(Experiment!E98^2))</f>
        <v>-0.13943666418541095</v>
      </c>
      <c r="T98" t="str">
        <f t="shared" si="20"/>
        <v>0.887181863530781-0.139436664185411i</v>
      </c>
      <c r="U98">
        <f t="shared" si="13"/>
        <v>0.89807251505493979</v>
      </c>
      <c r="V98">
        <f t="shared" si="21"/>
        <v>0.93377189434364349</v>
      </c>
      <c r="Y98" t="e">
        <f>Experiment!#REF!</f>
        <v>#REF!</v>
      </c>
      <c r="Z98" t="e">
        <f>((Experiment!#REF!+50)*(Experiment!#REF!-50)+(Experiment!#REF!^2))/((Experiment!#REF!+50)^2+(Experiment!#REF!^2))</f>
        <v>#REF!</v>
      </c>
      <c r="AA98" t="e">
        <f>((Experiment!#REF!+50)*Experiment!#REF!-Experiment!#REF!*(Experiment!#REF!-50))/((Experiment!#REF!+50)^2+(Experiment!#REF!^2))</f>
        <v>#REF!</v>
      </c>
      <c r="AB98" t="e">
        <f t="shared" si="22"/>
        <v>#REF!</v>
      </c>
      <c r="AC98" t="e">
        <f t="shared" si="23"/>
        <v>#REF!</v>
      </c>
      <c r="AD98" t="e">
        <f t="shared" si="24"/>
        <v>#REF!</v>
      </c>
    </row>
    <row r="99" spans="1:30" x14ac:dyDescent="0.15">
      <c r="A99" t="e">
        <f>Experiment!#REF!</f>
        <v>#REF!</v>
      </c>
      <c r="B99" t="e">
        <f>((Experiment!#REF!+50)*(Experiment!#REF!-50)+(Experiment!#REF!^2))/((Experiment!#REF!+50)^2+(Experiment!#REF!^2))</f>
        <v>#REF!</v>
      </c>
      <c r="C99" t="e">
        <f>((Experiment!#REF!+50)*Experiment!#REF!-Experiment!#REF!*(Experiment!#REF!-50))/((Experiment!#REF!+50)^2+(Experiment!#REF!^2))</f>
        <v>#REF!</v>
      </c>
      <c r="D99" t="e">
        <f t="shared" si="14"/>
        <v>#REF!</v>
      </c>
      <c r="E99" t="e">
        <f t="shared" si="15"/>
        <v>#REF!</v>
      </c>
      <c r="F99" t="e">
        <f t="shared" si="16"/>
        <v>#REF!</v>
      </c>
      <c r="I99" t="e">
        <f>Experiment!#REF!</f>
        <v>#REF!</v>
      </c>
      <c r="J99" t="e">
        <f>((Experiment!#REF!+50)*(Experiment!#REF!-50)+(Experiment!#REF!^2))/((Experiment!#REF!+50)^2+(Experiment!#REF!^2))</f>
        <v>#REF!</v>
      </c>
      <c r="K99" t="e">
        <f>((Experiment!#REF!+50)*Experiment!#REF!-Experiment!#REF!*(Experiment!#REF!-50))/((Experiment!#REF!+50)^2+(Experiment!#REF!^2))</f>
        <v>#REF!</v>
      </c>
      <c r="L99" t="e">
        <f t="shared" si="17"/>
        <v>#REF!</v>
      </c>
      <c r="M99" t="e">
        <f t="shared" si="18"/>
        <v>#REF!</v>
      </c>
      <c r="N99" t="e">
        <f t="shared" si="19"/>
        <v>#REF!</v>
      </c>
      <c r="Q99">
        <f>Experiment!A99</f>
        <v>47600000</v>
      </c>
      <c r="R99">
        <f>((Experiment!D99+50)*(Experiment!D99-50)+(Experiment!E99^2))/((Experiment!D99+50)^2+(Experiment!E99^2))</f>
        <v>0.88621140546379362</v>
      </c>
      <c r="S99">
        <f>((Experiment!D99+50)*Experiment!E99-Experiment!E99*(Experiment!D99-50))/((Experiment!D99+50)^2+(Experiment!E99^2))</f>
        <v>-0.14505067644912267</v>
      </c>
      <c r="T99" t="str">
        <f t="shared" si="20"/>
        <v>0.886211405463794-0.145050676449123i</v>
      </c>
      <c r="U99">
        <f t="shared" ref="U99:U130" si="25">SQRT(R99^2+S99^2)</f>
        <v>0.89800353780620512</v>
      </c>
      <c r="V99">
        <f t="shared" si="21"/>
        <v>0.93443904735132022</v>
      </c>
      <c r="Y99" t="e">
        <f>Experiment!#REF!</f>
        <v>#REF!</v>
      </c>
      <c r="Z99" t="e">
        <f>((Experiment!#REF!+50)*(Experiment!#REF!-50)+(Experiment!#REF!^2))/((Experiment!#REF!+50)^2+(Experiment!#REF!^2))</f>
        <v>#REF!</v>
      </c>
      <c r="AA99" t="e">
        <f>((Experiment!#REF!+50)*Experiment!#REF!-Experiment!#REF!*(Experiment!#REF!-50))/((Experiment!#REF!+50)^2+(Experiment!#REF!^2))</f>
        <v>#REF!</v>
      </c>
      <c r="AB99" t="e">
        <f t="shared" si="22"/>
        <v>#REF!</v>
      </c>
      <c r="AC99" t="e">
        <f t="shared" si="23"/>
        <v>#REF!</v>
      </c>
      <c r="AD99" t="e">
        <f t="shared" si="24"/>
        <v>#REF!</v>
      </c>
    </row>
    <row r="100" spans="1:30" x14ac:dyDescent="0.15">
      <c r="A100" t="e">
        <f>Experiment!#REF!</f>
        <v>#REF!</v>
      </c>
      <c r="B100" t="e">
        <f>((Experiment!#REF!+50)*(Experiment!#REF!-50)+(Experiment!#REF!^2))/((Experiment!#REF!+50)^2+(Experiment!#REF!^2))</f>
        <v>#REF!</v>
      </c>
      <c r="C100" t="e">
        <f>((Experiment!#REF!+50)*Experiment!#REF!-Experiment!#REF!*(Experiment!#REF!-50))/((Experiment!#REF!+50)^2+(Experiment!#REF!^2))</f>
        <v>#REF!</v>
      </c>
      <c r="D100" t="e">
        <f t="shared" si="14"/>
        <v>#REF!</v>
      </c>
      <c r="E100" t="e">
        <f t="shared" si="15"/>
        <v>#REF!</v>
      </c>
      <c r="F100" t="e">
        <f t="shared" si="16"/>
        <v>#REF!</v>
      </c>
      <c r="I100" t="e">
        <f>Experiment!#REF!</f>
        <v>#REF!</v>
      </c>
      <c r="J100" t="e">
        <f>((Experiment!#REF!+50)*(Experiment!#REF!-50)+(Experiment!#REF!^2))/((Experiment!#REF!+50)^2+(Experiment!#REF!^2))</f>
        <v>#REF!</v>
      </c>
      <c r="K100" t="e">
        <f>((Experiment!#REF!+50)*Experiment!#REF!-Experiment!#REF!*(Experiment!#REF!-50))/((Experiment!#REF!+50)^2+(Experiment!#REF!^2))</f>
        <v>#REF!</v>
      </c>
      <c r="L100" t="e">
        <f t="shared" si="17"/>
        <v>#REF!</v>
      </c>
      <c r="M100" t="e">
        <f t="shared" si="18"/>
        <v>#REF!</v>
      </c>
      <c r="N100" t="e">
        <f t="shared" si="19"/>
        <v>#REF!</v>
      </c>
      <c r="Q100">
        <f>Experiment!A100</f>
        <v>49500000</v>
      </c>
      <c r="R100">
        <f>((Experiment!D100+50)*(Experiment!D100-50)+(Experiment!E100^2))/((Experiment!D100+50)^2+(Experiment!E100^2))</f>
        <v>0.88524652807668758</v>
      </c>
      <c r="S100">
        <f>((Experiment!D100+50)*Experiment!E100-Experiment!E100*(Experiment!D100-50))/((Experiment!D100+50)^2+(Experiment!E100^2))</f>
        <v>-0.15070892827750626</v>
      </c>
      <c r="T100" t="str">
        <f t="shared" si="20"/>
        <v>0.885246528076688-0.150708928277506i</v>
      </c>
      <c r="U100">
        <f t="shared" si="25"/>
        <v>0.8979836282106618</v>
      </c>
      <c r="V100">
        <f t="shared" si="21"/>
        <v>0.93463162394975818</v>
      </c>
      <c r="Y100" t="e">
        <f>Experiment!#REF!</f>
        <v>#REF!</v>
      </c>
      <c r="Z100" t="e">
        <f>((Experiment!#REF!+50)*(Experiment!#REF!-50)+(Experiment!#REF!^2))/((Experiment!#REF!+50)^2+(Experiment!#REF!^2))</f>
        <v>#REF!</v>
      </c>
      <c r="AA100" t="e">
        <f>((Experiment!#REF!+50)*Experiment!#REF!-Experiment!#REF!*(Experiment!#REF!-50))/((Experiment!#REF!+50)^2+(Experiment!#REF!^2))</f>
        <v>#REF!</v>
      </c>
      <c r="AB100" t="e">
        <f t="shared" si="22"/>
        <v>#REF!</v>
      </c>
      <c r="AC100" t="e">
        <f t="shared" si="23"/>
        <v>#REF!</v>
      </c>
      <c r="AD100" t="e">
        <f t="shared" si="24"/>
        <v>#REF!</v>
      </c>
    </row>
    <row r="101" spans="1:30" x14ac:dyDescent="0.15">
      <c r="A101" t="e">
        <f>Experiment!#REF!</f>
        <v>#REF!</v>
      </c>
      <c r="B101" t="e">
        <f>((Experiment!#REF!+50)*(Experiment!#REF!-50)+(Experiment!#REF!^2))/((Experiment!#REF!+50)^2+(Experiment!#REF!^2))</f>
        <v>#REF!</v>
      </c>
      <c r="C101" t="e">
        <f>((Experiment!#REF!+50)*Experiment!#REF!-Experiment!#REF!*(Experiment!#REF!-50))/((Experiment!#REF!+50)^2+(Experiment!#REF!^2))</f>
        <v>#REF!</v>
      </c>
      <c r="D101" t="e">
        <f t="shared" si="14"/>
        <v>#REF!</v>
      </c>
      <c r="E101" t="e">
        <f t="shared" si="15"/>
        <v>#REF!</v>
      </c>
      <c r="F101" t="e">
        <f t="shared" si="16"/>
        <v>#REF!</v>
      </c>
      <c r="I101" t="e">
        <f>Experiment!#REF!</f>
        <v>#REF!</v>
      </c>
      <c r="J101" t="e">
        <f>((Experiment!#REF!+50)*(Experiment!#REF!-50)+(Experiment!#REF!^2))/((Experiment!#REF!+50)^2+(Experiment!#REF!^2))</f>
        <v>#REF!</v>
      </c>
      <c r="K101" t="e">
        <f>((Experiment!#REF!+50)*Experiment!#REF!-Experiment!#REF!*(Experiment!#REF!-50))/((Experiment!#REF!+50)^2+(Experiment!#REF!^2))</f>
        <v>#REF!</v>
      </c>
      <c r="L101" t="e">
        <f t="shared" si="17"/>
        <v>#REF!</v>
      </c>
      <c r="M101" t="e">
        <f t="shared" si="18"/>
        <v>#REF!</v>
      </c>
      <c r="N101" t="e">
        <f t="shared" si="19"/>
        <v>#REF!</v>
      </c>
      <c r="Q101">
        <f>Experiment!A101</f>
        <v>51600000</v>
      </c>
      <c r="R101">
        <f>((Experiment!D101+50)*(Experiment!D101-50)+(Experiment!E101^2))/((Experiment!D101+50)^2+(Experiment!E101^2))</f>
        <v>0.88461396813665583</v>
      </c>
      <c r="S101">
        <f>((Experiment!D101+50)*Experiment!E101-Experiment!E101*(Experiment!D101-50))/((Experiment!D101+50)^2+(Experiment!E101^2))</f>
        <v>-0.15738855987802808</v>
      </c>
      <c r="T101" t="str">
        <f t="shared" si="20"/>
        <v>0.884613968136656-0.157388559878028i</v>
      </c>
      <c r="U101">
        <f t="shared" si="25"/>
        <v>0.89850599964772626</v>
      </c>
      <c r="V101">
        <f t="shared" si="21"/>
        <v>0.92958037209733069</v>
      </c>
      <c r="Y101" t="e">
        <f>Experiment!#REF!</f>
        <v>#REF!</v>
      </c>
      <c r="Z101" t="e">
        <f>((Experiment!#REF!+50)*(Experiment!#REF!-50)+(Experiment!#REF!^2))/((Experiment!#REF!+50)^2+(Experiment!#REF!^2))</f>
        <v>#REF!</v>
      </c>
      <c r="AA101" t="e">
        <f>((Experiment!#REF!+50)*Experiment!#REF!-Experiment!#REF!*(Experiment!#REF!-50))/((Experiment!#REF!+50)^2+(Experiment!#REF!^2))</f>
        <v>#REF!</v>
      </c>
      <c r="AB101" t="e">
        <f t="shared" si="22"/>
        <v>#REF!</v>
      </c>
      <c r="AC101" t="e">
        <f t="shared" si="23"/>
        <v>#REF!</v>
      </c>
      <c r="AD101" t="e">
        <f t="shared" si="24"/>
        <v>#REF!</v>
      </c>
    </row>
    <row r="102" spans="1:30" x14ac:dyDescent="0.15">
      <c r="A102" t="e">
        <f>Experiment!#REF!</f>
        <v>#REF!</v>
      </c>
      <c r="B102" t="e">
        <f>((Experiment!#REF!+50)*(Experiment!#REF!-50)+(Experiment!#REF!^2))/((Experiment!#REF!+50)^2+(Experiment!#REF!^2))</f>
        <v>#REF!</v>
      </c>
      <c r="C102" t="e">
        <f>((Experiment!#REF!+50)*Experiment!#REF!-Experiment!#REF!*(Experiment!#REF!-50))/((Experiment!#REF!+50)^2+(Experiment!#REF!^2))</f>
        <v>#REF!</v>
      </c>
      <c r="D102" t="e">
        <f t="shared" si="14"/>
        <v>#REF!</v>
      </c>
      <c r="E102" t="e">
        <f t="shared" si="15"/>
        <v>#REF!</v>
      </c>
      <c r="F102" t="e">
        <f t="shared" si="16"/>
        <v>#REF!</v>
      </c>
      <c r="I102" t="e">
        <f>Experiment!#REF!</f>
        <v>#REF!</v>
      </c>
      <c r="J102" t="e">
        <f>((Experiment!#REF!+50)*(Experiment!#REF!-50)+(Experiment!#REF!^2))/((Experiment!#REF!+50)^2+(Experiment!#REF!^2))</f>
        <v>#REF!</v>
      </c>
      <c r="K102" t="e">
        <f>((Experiment!#REF!+50)*Experiment!#REF!-Experiment!#REF!*(Experiment!#REF!-50))/((Experiment!#REF!+50)^2+(Experiment!#REF!^2))</f>
        <v>#REF!</v>
      </c>
      <c r="L102" t="e">
        <f t="shared" si="17"/>
        <v>#REF!</v>
      </c>
      <c r="M102" t="e">
        <f t="shared" si="18"/>
        <v>#REF!</v>
      </c>
      <c r="N102" t="e">
        <f t="shared" si="19"/>
        <v>#REF!</v>
      </c>
      <c r="Q102">
        <f>Experiment!A102</f>
        <v>53700000</v>
      </c>
      <c r="R102">
        <f>((Experiment!D102+50)*(Experiment!D102-50)+(Experiment!E102^2))/((Experiment!D102+50)^2+(Experiment!E102^2))</f>
        <v>0.88380033244064904</v>
      </c>
      <c r="S102">
        <f>((Experiment!D102+50)*Experiment!E102-Experiment!E102*(Experiment!D102-50))/((Experiment!D102+50)^2+(Experiment!E102^2))</f>
        <v>-0.16407436230887079</v>
      </c>
      <c r="T102" t="str">
        <f t="shared" si="20"/>
        <v>0.883800332440649-0.164074362308871i</v>
      </c>
      <c r="U102">
        <f t="shared" si="25"/>
        <v>0.89890123149835788</v>
      </c>
      <c r="V102">
        <f t="shared" si="21"/>
        <v>0.92576049173646791</v>
      </c>
      <c r="Y102" t="e">
        <f>Experiment!#REF!</f>
        <v>#REF!</v>
      </c>
      <c r="Z102" t="e">
        <f>((Experiment!#REF!+50)*(Experiment!#REF!-50)+(Experiment!#REF!^2))/((Experiment!#REF!+50)^2+(Experiment!#REF!^2))</f>
        <v>#REF!</v>
      </c>
      <c r="AA102" t="e">
        <f>((Experiment!#REF!+50)*Experiment!#REF!-Experiment!#REF!*(Experiment!#REF!-50))/((Experiment!#REF!+50)^2+(Experiment!#REF!^2))</f>
        <v>#REF!</v>
      </c>
      <c r="AB102" t="e">
        <f t="shared" si="22"/>
        <v>#REF!</v>
      </c>
      <c r="AC102" t="e">
        <f t="shared" si="23"/>
        <v>#REF!</v>
      </c>
      <c r="AD102" t="e">
        <f t="shared" si="24"/>
        <v>#REF!</v>
      </c>
    </row>
    <row r="103" spans="1:30" x14ac:dyDescent="0.15">
      <c r="A103" t="e">
        <f>Experiment!#REF!</f>
        <v>#REF!</v>
      </c>
      <c r="B103" t="e">
        <f>((Experiment!#REF!+50)*(Experiment!#REF!-50)+(Experiment!#REF!^2))/((Experiment!#REF!+50)^2+(Experiment!#REF!^2))</f>
        <v>#REF!</v>
      </c>
      <c r="C103" t="e">
        <f>((Experiment!#REF!+50)*Experiment!#REF!-Experiment!#REF!*(Experiment!#REF!-50))/((Experiment!#REF!+50)^2+(Experiment!#REF!^2))</f>
        <v>#REF!</v>
      </c>
      <c r="D103" t="e">
        <f t="shared" si="14"/>
        <v>#REF!</v>
      </c>
      <c r="E103" t="e">
        <f t="shared" si="15"/>
        <v>#REF!</v>
      </c>
      <c r="F103" t="e">
        <f t="shared" si="16"/>
        <v>#REF!</v>
      </c>
      <c r="I103" t="e">
        <f>Experiment!#REF!</f>
        <v>#REF!</v>
      </c>
      <c r="J103" t="e">
        <f>((Experiment!#REF!+50)*(Experiment!#REF!-50)+(Experiment!#REF!^2))/((Experiment!#REF!+50)^2+(Experiment!#REF!^2))</f>
        <v>#REF!</v>
      </c>
      <c r="K103" t="e">
        <f>((Experiment!#REF!+50)*Experiment!#REF!-Experiment!#REF!*(Experiment!#REF!-50))/((Experiment!#REF!+50)^2+(Experiment!#REF!^2))</f>
        <v>#REF!</v>
      </c>
      <c r="L103" t="e">
        <f t="shared" si="17"/>
        <v>#REF!</v>
      </c>
      <c r="M103" t="e">
        <f t="shared" si="18"/>
        <v>#REF!</v>
      </c>
      <c r="N103" t="e">
        <f t="shared" si="19"/>
        <v>#REF!</v>
      </c>
      <c r="Q103">
        <f>Experiment!A103</f>
        <v>55900000</v>
      </c>
      <c r="R103">
        <f>((Experiment!D103+50)*(Experiment!D103-50)+(Experiment!E103^2))/((Experiment!D103+50)^2+(Experiment!E103^2))</f>
        <v>0.88255589289212522</v>
      </c>
      <c r="S103">
        <f>((Experiment!D103+50)*Experiment!E103-Experiment!E103*(Experiment!D103-50))/((Experiment!D103+50)^2+(Experiment!E103^2))</f>
        <v>-0.17078182543820103</v>
      </c>
      <c r="T103" t="str">
        <f t="shared" si="20"/>
        <v>0.882555892892125-0.170781825438201i</v>
      </c>
      <c r="U103">
        <f t="shared" si="25"/>
        <v>0.89892788141130675</v>
      </c>
      <c r="V103">
        <f t="shared" si="21"/>
        <v>0.9255029831656113</v>
      </c>
      <c r="Y103" t="e">
        <f>Experiment!#REF!</f>
        <v>#REF!</v>
      </c>
      <c r="Z103" t="e">
        <f>((Experiment!#REF!+50)*(Experiment!#REF!-50)+(Experiment!#REF!^2))/((Experiment!#REF!+50)^2+(Experiment!#REF!^2))</f>
        <v>#REF!</v>
      </c>
      <c r="AA103" t="e">
        <f>((Experiment!#REF!+50)*Experiment!#REF!-Experiment!#REF!*(Experiment!#REF!-50))/((Experiment!#REF!+50)^2+(Experiment!#REF!^2))</f>
        <v>#REF!</v>
      </c>
      <c r="AB103" t="e">
        <f t="shared" si="22"/>
        <v>#REF!</v>
      </c>
      <c r="AC103" t="e">
        <f t="shared" si="23"/>
        <v>#REF!</v>
      </c>
      <c r="AD103" t="e">
        <f t="shared" si="24"/>
        <v>#REF!</v>
      </c>
    </row>
    <row r="104" spans="1:30" x14ac:dyDescent="0.15">
      <c r="A104" t="e">
        <f>Experiment!#REF!</f>
        <v>#REF!</v>
      </c>
      <c r="B104" t="e">
        <f>((Experiment!#REF!+50)*(Experiment!#REF!-50)+(Experiment!#REF!^2))/((Experiment!#REF!+50)^2+(Experiment!#REF!^2))</f>
        <v>#REF!</v>
      </c>
      <c r="C104" t="e">
        <f>((Experiment!#REF!+50)*Experiment!#REF!-Experiment!#REF!*(Experiment!#REF!-50))/((Experiment!#REF!+50)^2+(Experiment!#REF!^2))</f>
        <v>#REF!</v>
      </c>
      <c r="D104" t="e">
        <f t="shared" si="14"/>
        <v>#REF!</v>
      </c>
      <c r="E104" t="e">
        <f t="shared" si="15"/>
        <v>#REF!</v>
      </c>
      <c r="F104" t="e">
        <f t="shared" si="16"/>
        <v>#REF!</v>
      </c>
      <c r="I104" t="e">
        <f>Experiment!#REF!</f>
        <v>#REF!</v>
      </c>
      <c r="J104" t="e">
        <f>((Experiment!#REF!+50)*(Experiment!#REF!-50)+(Experiment!#REF!^2))/((Experiment!#REF!+50)^2+(Experiment!#REF!^2))</f>
        <v>#REF!</v>
      </c>
      <c r="K104" t="e">
        <f>((Experiment!#REF!+50)*Experiment!#REF!-Experiment!#REF!*(Experiment!#REF!-50))/((Experiment!#REF!+50)^2+(Experiment!#REF!^2))</f>
        <v>#REF!</v>
      </c>
      <c r="L104" t="e">
        <f t="shared" si="17"/>
        <v>#REF!</v>
      </c>
      <c r="M104" t="e">
        <f t="shared" si="18"/>
        <v>#REF!</v>
      </c>
      <c r="N104" t="e">
        <f t="shared" si="19"/>
        <v>#REF!</v>
      </c>
      <c r="Q104">
        <f>Experiment!A104</f>
        <v>58200000</v>
      </c>
      <c r="R104">
        <f>((Experiment!D104+50)*(Experiment!D104-50)+(Experiment!E104^2))/((Experiment!D104+50)^2+(Experiment!E104^2))</f>
        <v>0.88112839066414717</v>
      </c>
      <c r="S104">
        <f>((Experiment!D104+50)*Experiment!E104-Experiment!E104*(Experiment!D104-50))/((Experiment!D104+50)^2+(Experiment!E104^2))</f>
        <v>-0.17748354865407309</v>
      </c>
      <c r="T104" t="str">
        <f t="shared" si="20"/>
        <v>0.881128390664147-0.177483548654073i</v>
      </c>
      <c r="U104">
        <f t="shared" si="25"/>
        <v>0.89882570661793637</v>
      </c>
      <c r="V104">
        <f t="shared" si="21"/>
        <v>0.92649030310297342</v>
      </c>
      <c r="Y104" t="e">
        <f>Experiment!#REF!</f>
        <v>#REF!</v>
      </c>
      <c r="Z104" t="e">
        <f>((Experiment!#REF!+50)*(Experiment!#REF!-50)+(Experiment!#REF!^2))/((Experiment!#REF!+50)^2+(Experiment!#REF!^2))</f>
        <v>#REF!</v>
      </c>
      <c r="AA104" t="e">
        <f>((Experiment!#REF!+50)*Experiment!#REF!-Experiment!#REF!*(Experiment!#REF!-50))/((Experiment!#REF!+50)^2+(Experiment!#REF!^2))</f>
        <v>#REF!</v>
      </c>
      <c r="AB104" t="e">
        <f t="shared" si="22"/>
        <v>#REF!</v>
      </c>
      <c r="AC104" t="e">
        <f t="shared" si="23"/>
        <v>#REF!</v>
      </c>
      <c r="AD104" t="e">
        <f t="shared" si="24"/>
        <v>#REF!</v>
      </c>
    </row>
    <row r="105" spans="1:30" x14ac:dyDescent="0.15">
      <c r="A105" t="e">
        <f>Experiment!#REF!</f>
        <v>#REF!</v>
      </c>
      <c r="B105" t="e">
        <f>((Experiment!#REF!+50)*(Experiment!#REF!-50)+(Experiment!#REF!^2))/((Experiment!#REF!+50)^2+(Experiment!#REF!^2))</f>
        <v>#REF!</v>
      </c>
      <c r="C105" t="e">
        <f>((Experiment!#REF!+50)*Experiment!#REF!-Experiment!#REF!*(Experiment!#REF!-50))/((Experiment!#REF!+50)^2+(Experiment!#REF!^2))</f>
        <v>#REF!</v>
      </c>
      <c r="D105" t="e">
        <f t="shared" si="14"/>
        <v>#REF!</v>
      </c>
      <c r="E105" t="e">
        <f t="shared" si="15"/>
        <v>#REF!</v>
      </c>
      <c r="F105" t="e">
        <f t="shared" si="16"/>
        <v>#REF!</v>
      </c>
      <c r="I105" t="e">
        <f>Experiment!#REF!</f>
        <v>#REF!</v>
      </c>
      <c r="J105" t="e">
        <f>((Experiment!#REF!+50)*(Experiment!#REF!-50)+(Experiment!#REF!^2))/((Experiment!#REF!+50)^2+(Experiment!#REF!^2))</f>
        <v>#REF!</v>
      </c>
      <c r="K105" t="e">
        <f>((Experiment!#REF!+50)*Experiment!#REF!-Experiment!#REF!*(Experiment!#REF!-50))/((Experiment!#REF!+50)^2+(Experiment!#REF!^2))</f>
        <v>#REF!</v>
      </c>
      <c r="L105" t="e">
        <f t="shared" si="17"/>
        <v>#REF!</v>
      </c>
      <c r="M105" t="e">
        <f t="shared" si="18"/>
        <v>#REF!</v>
      </c>
      <c r="N105" t="e">
        <f t="shared" si="19"/>
        <v>#REF!</v>
      </c>
      <c r="Q105">
        <f>Experiment!A105</f>
        <v>60600000</v>
      </c>
      <c r="R105">
        <f>((Experiment!D105+50)*(Experiment!D105-50)+(Experiment!E105^2))/((Experiment!D105+50)^2+(Experiment!E105^2))</f>
        <v>0.87944913411461478</v>
      </c>
      <c r="S105">
        <f>((Experiment!D105+50)*Experiment!E105-Experiment!E105*(Experiment!D105-50))/((Experiment!D105+50)^2+(Experiment!E105^2))</f>
        <v>-0.18417388418672492</v>
      </c>
      <c r="T105" t="str">
        <f t="shared" si="20"/>
        <v>0.879449134114615-0.184173884186725i</v>
      </c>
      <c r="U105">
        <f t="shared" si="25"/>
        <v>0.89852701635029919</v>
      </c>
      <c r="V105">
        <f t="shared" si="21"/>
        <v>0.92937720525789291</v>
      </c>
      <c r="Y105" t="e">
        <f>Experiment!#REF!</f>
        <v>#REF!</v>
      </c>
      <c r="Z105" t="e">
        <f>((Experiment!#REF!+50)*(Experiment!#REF!-50)+(Experiment!#REF!^2))/((Experiment!#REF!+50)^2+(Experiment!#REF!^2))</f>
        <v>#REF!</v>
      </c>
      <c r="AA105" t="e">
        <f>((Experiment!#REF!+50)*Experiment!#REF!-Experiment!#REF!*(Experiment!#REF!-50))/((Experiment!#REF!+50)^2+(Experiment!#REF!^2))</f>
        <v>#REF!</v>
      </c>
      <c r="AB105" t="e">
        <f t="shared" si="22"/>
        <v>#REF!</v>
      </c>
      <c r="AC105" t="e">
        <f t="shared" si="23"/>
        <v>#REF!</v>
      </c>
      <c r="AD105" t="e">
        <f t="shared" si="24"/>
        <v>#REF!</v>
      </c>
    </row>
    <row r="106" spans="1:30" x14ac:dyDescent="0.15">
      <c r="A106" t="e">
        <f>Experiment!#REF!</f>
        <v>#REF!</v>
      </c>
      <c r="B106" t="e">
        <f>((Experiment!#REF!+50)*(Experiment!#REF!-50)+(Experiment!#REF!^2))/((Experiment!#REF!+50)^2+(Experiment!#REF!^2))</f>
        <v>#REF!</v>
      </c>
      <c r="C106" t="e">
        <f>((Experiment!#REF!+50)*Experiment!#REF!-Experiment!#REF!*(Experiment!#REF!-50))/((Experiment!#REF!+50)^2+(Experiment!#REF!^2))</f>
        <v>#REF!</v>
      </c>
      <c r="D106" t="e">
        <f t="shared" si="14"/>
        <v>#REF!</v>
      </c>
      <c r="E106" t="e">
        <f t="shared" si="15"/>
        <v>#REF!</v>
      </c>
      <c r="F106" t="e">
        <f t="shared" si="16"/>
        <v>#REF!</v>
      </c>
      <c r="I106" t="e">
        <f>Experiment!#REF!</f>
        <v>#REF!</v>
      </c>
      <c r="J106" t="e">
        <f>((Experiment!#REF!+50)*(Experiment!#REF!-50)+(Experiment!#REF!^2))/((Experiment!#REF!+50)^2+(Experiment!#REF!^2))</f>
        <v>#REF!</v>
      </c>
      <c r="K106" t="e">
        <f>((Experiment!#REF!+50)*Experiment!#REF!-Experiment!#REF!*(Experiment!#REF!-50))/((Experiment!#REF!+50)^2+(Experiment!#REF!^2))</f>
        <v>#REF!</v>
      </c>
      <c r="L106" t="e">
        <f t="shared" si="17"/>
        <v>#REF!</v>
      </c>
      <c r="M106" t="e">
        <f t="shared" si="18"/>
        <v>#REF!</v>
      </c>
      <c r="N106" t="e">
        <f t="shared" si="19"/>
        <v>#REF!</v>
      </c>
      <c r="Q106">
        <f>Experiment!A106</f>
        <v>63100000</v>
      </c>
      <c r="R106">
        <f>((Experiment!D106+50)*(Experiment!D106-50)+(Experiment!E106^2))/((Experiment!D106+50)^2+(Experiment!E106^2))</f>
        <v>0.87769594033757925</v>
      </c>
      <c r="S106">
        <f>((Experiment!D106+50)*Experiment!E106-Experiment!E106*(Experiment!D106-50))/((Experiment!D106+50)^2+(Experiment!E106^2))</f>
        <v>-0.19118872504510687</v>
      </c>
      <c r="T106" t="str">
        <f t="shared" si="20"/>
        <v>0.877695940337579-0.191188725045107i</v>
      </c>
      <c r="U106">
        <f t="shared" si="25"/>
        <v>0.89827795935859456</v>
      </c>
      <c r="V106">
        <f t="shared" si="21"/>
        <v>0.93178512552373682</v>
      </c>
      <c r="Y106" t="e">
        <f>Experiment!#REF!</f>
        <v>#REF!</v>
      </c>
      <c r="Z106" t="e">
        <f>((Experiment!#REF!+50)*(Experiment!#REF!-50)+(Experiment!#REF!^2))/((Experiment!#REF!+50)^2+(Experiment!#REF!^2))</f>
        <v>#REF!</v>
      </c>
      <c r="AA106" t="e">
        <f>((Experiment!#REF!+50)*Experiment!#REF!-Experiment!#REF!*(Experiment!#REF!-50))/((Experiment!#REF!+50)^2+(Experiment!#REF!^2))</f>
        <v>#REF!</v>
      </c>
      <c r="AB106" t="e">
        <f t="shared" si="22"/>
        <v>#REF!</v>
      </c>
      <c r="AC106" t="e">
        <f t="shared" si="23"/>
        <v>#REF!</v>
      </c>
      <c r="AD106" t="e">
        <f t="shared" si="24"/>
        <v>#REF!</v>
      </c>
    </row>
    <row r="107" spans="1:30" x14ac:dyDescent="0.15">
      <c r="A107" t="e">
        <f>Experiment!#REF!</f>
        <v>#REF!</v>
      </c>
      <c r="B107" t="e">
        <f>((Experiment!#REF!+50)*(Experiment!#REF!-50)+(Experiment!#REF!^2))/((Experiment!#REF!+50)^2+(Experiment!#REF!^2))</f>
        <v>#REF!</v>
      </c>
      <c r="C107" t="e">
        <f>((Experiment!#REF!+50)*Experiment!#REF!-Experiment!#REF!*(Experiment!#REF!-50))/((Experiment!#REF!+50)^2+(Experiment!#REF!^2))</f>
        <v>#REF!</v>
      </c>
      <c r="D107" t="e">
        <f t="shared" si="14"/>
        <v>#REF!</v>
      </c>
      <c r="E107" t="e">
        <f t="shared" si="15"/>
        <v>#REF!</v>
      </c>
      <c r="F107" t="e">
        <f t="shared" si="16"/>
        <v>#REF!</v>
      </c>
      <c r="I107" t="e">
        <f>Experiment!#REF!</f>
        <v>#REF!</v>
      </c>
      <c r="J107" t="e">
        <f>((Experiment!#REF!+50)*(Experiment!#REF!-50)+(Experiment!#REF!^2))/((Experiment!#REF!+50)^2+(Experiment!#REF!^2))</f>
        <v>#REF!</v>
      </c>
      <c r="K107" t="e">
        <f>((Experiment!#REF!+50)*Experiment!#REF!-Experiment!#REF!*(Experiment!#REF!-50))/((Experiment!#REF!+50)^2+(Experiment!#REF!^2))</f>
        <v>#REF!</v>
      </c>
      <c r="L107" t="e">
        <f t="shared" si="17"/>
        <v>#REF!</v>
      </c>
      <c r="M107" t="e">
        <f t="shared" si="18"/>
        <v>#REF!</v>
      </c>
      <c r="N107" t="e">
        <f t="shared" si="19"/>
        <v>#REF!</v>
      </c>
      <c r="Q107">
        <f>Experiment!A107</f>
        <v>65599999.999999993</v>
      </c>
      <c r="R107">
        <f>((Experiment!D107+50)*(Experiment!D107-50)+(Experiment!E107^2))/((Experiment!D107+50)^2+(Experiment!E107^2))</f>
        <v>0.876238928346041</v>
      </c>
      <c r="S107">
        <f>((Experiment!D107+50)*Experiment!E107-Experiment!E107*(Experiment!D107-50))/((Experiment!D107+50)^2+(Experiment!E107^2))</f>
        <v>-0.19874127127040761</v>
      </c>
      <c r="T107" t="str">
        <f t="shared" si="20"/>
        <v>0.876238928346041-0.198741271270408i</v>
      </c>
      <c r="U107">
        <f t="shared" si="25"/>
        <v>0.89849471476197129</v>
      </c>
      <c r="V107">
        <f t="shared" si="21"/>
        <v>0.92968946417666165</v>
      </c>
      <c r="Y107" t="e">
        <f>Experiment!#REF!</f>
        <v>#REF!</v>
      </c>
      <c r="Z107" t="e">
        <f>((Experiment!#REF!+50)*(Experiment!#REF!-50)+(Experiment!#REF!^2))/((Experiment!#REF!+50)^2+(Experiment!#REF!^2))</f>
        <v>#REF!</v>
      </c>
      <c r="AA107" t="e">
        <f>((Experiment!#REF!+50)*Experiment!#REF!-Experiment!#REF!*(Experiment!#REF!-50))/((Experiment!#REF!+50)^2+(Experiment!#REF!^2))</f>
        <v>#REF!</v>
      </c>
      <c r="AB107" t="e">
        <f t="shared" si="22"/>
        <v>#REF!</v>
      </c>
      <c r="AC107" t="e">
        <f t="shared" si="23"/>
        <v>#REF!</v>
      </c>
      <c r="AD107" t="e">
        <f t="shared" si="24"/>
        <v>#REF!</v>
      </c>
    </row>
    <row r="108" spans="1:30" x14ac:dyDescent="0.15">
      <c r="A108" t="e">
        <f>Experiment!#REF!</f>
        <v>#REF!</v>
      </c>
      <c r="B108" t="e">
        <f>((Experiment!#REF!+50)*(Experiment!#REF!-50)+(Experiment!#REF!^2))/((Experiment!#REF!+50)^2+(Experiment!#REF!^2))</f>
        <v>#REF!</v>
      </c>
      <c r="C108" t="e">
        <f>((Experiment!#REF!+50)*Experiment!#REF!-Experiment!#REF!*(Experiment!#REF!-50))/((Experiment!#REF!+50)^2+(Experiment!#REF!^2))</f>
        <v>#REF!</v>
      </c>
      <c r="D108" t="e">
        <f t="shared" si="14"/>
        <v>#REF!</v>
      </c>
      <c r="E108" t="e">
        <f t="shared" si="15"/>
        <v>#REF!</v>
      </c>
      <c r="F108" t="e">
        <f t="shared" si="16"/>
        <v>#REF!</v>
      </c>
      <c r="I108" t="e">
        <f>Experiment!#REF!</f>
        <v>#REF!</v>
      </c>
      <c r="J108" t="e">
        <f>((Experiment!#REF!+50)*(Experiment!#REF!-50)+(Experiment!#REF!^2))/((Experiment!#REF!+50)^2+(Experiment!#REF!^2))</f>
        <v>#REF!</v>
      </c>
      <c r="K108" t="e">
        <f>((Experiment!#REF!+50)*Experiment!#REF!-Experiment!#REF!*(Experiment!#REF!-50))/((Experiment!#REF!+50)^2+(Experiment!#REF!^2))</f>
        <v>#REF!</v>
      </c>
      <c r="L108" t="e">
        <f t="shared" si="17"/>
        <v>#REF!</v>
      </c>
      <c r="M108" t="e">
        <f t="shared" si="18"/>
        <v>#REF!</v>
      </c>
      <c r="N108" t="e">
        <f t="shared" si="19"/>
        <v>#REF!</v>
      </c>
      <c r="Q108">
        <f>Experiment!A108</f>
        <v>68300000</v>
      </c>
      <c r="R108">
        <f>((Experiment!D108+50)*(Experiment!D108-50)+(Experiment!E108^2))/((Experiment!D108+50)^2+(Experiment!E108^2))</f>
        <v>0.87460598736308515</v>
      </c>
      <c r="S108">
        <f>((Experiment!D108+50)*Experiment!E108-Experiment!E108*(Experiment!D108-50))/((Experiment!D108+50)^2+(Experiment!E108^2))</f>
        <v>-0.20668907944425574</v>
      </c>
      <c r="T108" t="str">
        <f t="shared" si="20"/>
        <v>0.874605987363085-0.206689079444256i</v>
      </c>
      <c r="U108">
        <f t="shared" si="25"/>
        <v>0.89869683914703458</v>
      </c>
      <c r="V108">
        <f t="shared" si="21"/>
        <v>0.92773571572352098</v>
      </c>
      <c r="Y108" t="e">
        <f>Experiment!#REF!</f>
        <v>#REF!</v>
      </c>
      <c r="Z108" t="e">
        <f>((Experiment!#REF!+50)*(Experiment!#REF!-50)+(Experiment!#REF!^2))/((Experiment!#REF!+50)^2+(Experiment!#REF!^2))</f>
        <v>#REF!</v>
      </c>
      <c r="AA108" t="e">
        <f>((Experiment!#REF!+50)*Experiment!#REF!-Experiment!#REF!*(Experiment!#REF!-50))/((Experiment!#REF!+50)^2+(Experiment!#REF!^2))</f>
        <v>#REF!</v>
      </c>
      <c r="AB108" t="e">
        <f t="shared" si="22"/>
        <v>#REF!</v>
      </c>
      <c r="AC108" t="e">
        <f t="shared" si="23"/>
        <v>#REF!</v>
      </c>
      <c r="AD108" t="e">
        <f t="shared" si="24"/>
        <v>#REF!</v>
      </c>
    </row>
    <row r="109" spans="1:30" x14ac:dyDescent="0.15">
      <c r="A109" t="e">
        <f>Experiment!#REF!</f>
        <v>#REF!</v>
      </c>
      <c r="B109" t="e">
        <f>((Experiment!#REF!+50)*(Experiment!#REF!-50)+(Experiment!#REF!^2))/((Experiment!#REF!+50)^2+(Experiment!#REF!^2))</f>
        <v>#REF!</v>
      </c>
      <c r="C109" t="e">
        <f>((Experiment!#REF!+50)*Experiment!#REF!-Experiment!#REF!*(Experiment!#REF!-50))/((Experiment!#REF!+50)^2+(Experiment!#REF!^2))</f>
        <v>#REF!</v>
      </c>
      <c r="D109" t="e">
        <f t="shared" si="14"/>
        <v>#REF!</v>
      </c>
      <c r="E109" t="e">
        <f t="shared" si="15"/>
        <v>#REF!</v>
      </c>
      <c r="F109" t="e">
        <f t="shared" si="16"/>
        <v>#REF!</v>
      </c>
      <c r="I109" t="e">
        <f>Experiment!#REF!</f>
        <v>#REF!</v>
      </c>
      <c r="J109" t="e">
        <f>((Experiment!#REF!+50)*(Experiment!#REF!-50)+(Experiment!#REF!^2))/((Experiment!#REF!+50)^2+(Experiment!#REF!^2))</f>
        <v>#REF!</v>
      </c>
      <c r="K109" t="e">
        <f>((Experiment!#REF!+50)*Experiment!#REF!-Experiment!#REF!*(Experiment!#REF!-50))/((Experiment!#REF!+50)^2+(Experiment!#REF!^2))</f>
        <v>#REF!</v>
      </c>
      <c r="L109" t="e">
        <f t="shared" si="17"/>
        <v>#REF!</v>
      </c>
      <c r="M109" t="e">
        <f t="shared" si="18"/>
        <v>#REF!</v>
      </c>
      <c r="N109" t="e">
        <f t="shared" si="19"/>
        <v>#REF!</v>
      </c>
      <c r="Q109">
        <f>Experiment!A109</f>
        <v>71100000</v>
      </c>
      <c r="R109">
        <f>((Experiment!D109+50)*(Experiment!D109-50)+(Experiment!E109^2))/((Experiment!D109+50)^2+(Experiment!E109^2))</f>
        <v>0.87267406099657274</v>
      </c>
      <c r="S109">
        <f>((Experiment!D109+50)*Experiment!E109-Experiment!E109*(Experiment!D109-50))/((Experiment!D109+50)^2+(Experiment!E109^2))</f>
        <v>-0.2148657969765698</v>
      </c>
      <c r="T109" t="str">
        <f t="shared" si="20"/>
        <v>0.872674060996573-0.21486579697657i</v>
      </c>
      <c r="U109">
        <f t="shared" si="25"/>
        <v>0.89873651725443227</v>
      </c>
      <c r="V109">
        <f t="shared" si="21"/>
        <v>0.92735223595696137</v>
      </c>
      <c r="Y109" t="e">
        <f>Experiment!#REF!</f>
        <v>#REF!</v>
      </c>
      <c r="Z109" t="e">
        <f>((Experiment!#REF!+50)*(Experiment!#REF!-50)+(Experiment!#REF!^2))/((Experiment!#REF!+50)^2+(Experiment!#REF!^2))</f>
        <v>#REF!</v>
      </c>
      <c r="AA109" t="e">
        <f>((Experiment!#REF!+50)*Experiment!#REF!-Experiment!#REF!*(Experiment!#REF!-50))/((Experiment!#REF!+50)^2+(Experiment!#REF!^2))</f>
        <v>#REF!</v>
      </c>
      <c r="AB109" t="e">
        <f t="shared" si="22"/>
        <v>#REF!</v>
      </c>
      <c r="AC109" t="e">
        <f t="shared" si="23"/>
        <v>#REF!</v>
      </c>
      <c r="AD109" t="e">
        <f t="shared" si="24"/>
        <v>#REF!</v>
      </c>
    </row>
    <row r="110" spans="1:30" x14ac:dyDescent="0.15">
      <c r="A110" t="e">
        <f>Experiment!#REF!</f>
        <v>#REF!</v>
      </c>
      <c r="B110" t="e">
        <f>((Experiment!#REF!+50)*(Experiment!#REF!-50)+(Experiment!#REF!^2))/((Experiment!#REF!+50)^2+(Experiment!#REF!^2))</f>
        <v>#REF!</v>
      </c>
      <c r="C110" t="e">
        <f>((Experiment!#REF!+50)*Experiment!#REF!-Experiment!#REF!*(Experiment!#REF!-50))/((Experiment!#REF!+50)^2+(Experiment!#REF!^2))</f>
        <v>#REF!</v>
      </c>
      <c r="D110" t="e">
        <f t="shared" si="14"/>
        <v>#REF!</v>
      </c>
      <c r="E110" t="e">
        <f t="shared" si="15"/>
        <v>#REF!</v>
      </c>
      <c r="F110" t="e">
        <f t="shared" si="16"/>
        <v>#REF!</v>
      </c>
      <c r="I110" t="e">
        <f>Experiment!#REF!</f>
        <v>#REF!</v>
      </c>
      <c r="J110" t="e">
        <f>((Experiment!#REF!+50)*(Experiment!#REF!-50)+(Experiment!#REF!^2))/((Experiment!#REF!+50)^2+(Experiment!#REF!^2))</f>
        <v>#REF!</v>
      </c>
      <c r="K110" t="e">
        <f>((Experiment!#REF!+50)*Experiment!#REF!-Experiment!#REF!*(Experiment!#REF!-50))/((Experiment!#REF!+50)^2+(Experiment!#REF!^2))</f>
        <v>#REF!</v>
      </c>
      <c r="L110" t="e">
        <f t="shared" si="17"/>
        <v>#REF!</v>
      </c>
      <c r="M110" t="e">
        <f t="shared" si="18"/>
        <v>#REF!</v>
      </c>
      <c r="N110" t="e">
        <f t="shared" si="19"/>
        <v>#REF!</v>
      </c>
      <c r="Q110">
        <f>Experiment!A110</f>
        <v>74100000</v>
      </c>
      <c r="R110">
        <f>((Experiment!D110+50)*(Experiment!D110-50)+(Experiment!E110^2))/((Experiment!D110+50)^2+(Experiment!E110^2))</f>
        <v>0.87035235316729931</v>
      </c>
      <c r="S110">
        <f>((Experiment!D110+50)*Experiment!E110-Experiment!E110*(Experiment!D110-50))/((Experiment!D110+50)^2+(Experiment!E110^2))</f>
        <v>-0.22334196841631707</v>
      </c>
      <c r="T110" t="str">
        <f t="shared" si="20"/>
        <v>0.870352353167299-0.223341968416317i</v>
      </c>
      <c r="U110">
        <f t="shared" si="25"/>
        <v>0.89855153080940808</v>
      </c>
      <c r="V110">
        <f t="shared" si="21"/>
        <v>0.92914023188051176</v>
      </c>
      <c r="Y110" t="e">
        <f>Experiment!#REF!</f>
        <v>#REF!</v>
      </c>
      <c r="Z110" t="e">
        <f>((Experiment!#REF!+50)*(Experiment!#REF!-50)+(Experiment!#REF!^2))/((Experiment!#REF!+50)^2+(Experiment!#REF!^2))</f>
        <v>#REF!</v>
      </c>
      <c r="AA110" t="e">
        <f>((Experiment!#REF!+50)*Experiment!#REF!-Experiment!#REF!*(Experiment!#REF!-50))/((Experiment!#REF!+50)^2+(Experiment!#REF!^2))</f>
        <v>#REF!</v>
      </c>
      <c r="AB110" t="e">
        <f t="shared" si="22"/>
        <v>#REF!</v>
      </c>
      <c r="AC110" t="e">
        <f t="shared" si="23"/>
        <v>#REF!</v>
      </c>
      <c r="AD110" t="e">
        <f t="shared" si="24"/>
        <v>#REF!</v>
      </c>
    </row>
    <row r="111" spans="1:30" x14ac:dyDescent="0.15">
      <c r="A111" t="e">
        <f>Experiment!#REF!</f>
        <v>#REF!</v>
      </c>
      <c r="B111" t="e">
        <f>((Experiment!#REF!+50)*(Experiment!#REF!-50)+(Experiment!#REF!^2))/((Experiment!#REF!+50)^2+(Experiment!#REF!^2))</f>
        <v>#REF!</v>
      </c>
      <c r="C111" t="e">
        <f>((Experiment!#REF!+50)*Experiment!#REF!-Experiment!#REF!*(Experiment!#REF!-50))/((Experiment!#REF!+50)^2+(Experiment!#REF!^2))</f>
        <v>#REF!</v>
      </c>
      <c r="D111" t="e">
        <f t="shared" si="14"/>
        <v>#REF!</v>
      </c>
      <c r="E111" t="e">
        <f t="shared" si="15"/>
        <v>#REF!</v>
      </c>
      <c r="F111" t="e">
        <f t="shared" si="16"/>
        <v>#REF!</v>
      </c>
      <c r="I111" t="e">
        <f>Experiment!#REF!</f>
        <v>#REF!</v>
      </c>
      <c r="J111" t="e">
        <f>((Experiment!#REF!+50)*(Experiment!#REF!-50)+(Experiment!#REF!^2))/((Experiment!#REF!+50)^2+(Experiment!#REF!^2))</f>
        <v>#REF!</v>
      </c>
      <c r="K111" t="e">
        <f>((Experiment!#REF!+50)*Experiment!#REF!-Experiment!#REF!*(Experiment!#REF!-50))/((Experiment!#REF!+50)^2+(Experiment!#REF!^2))</f>
        <v>#REF!</v>
      </c>
      <c r="L111" t="e">
        <f t="shared" si="17"/>
        <v>#REF!</v>
      </c>
      <c r="M111" t="e">
        <f t="shared" si="18"/>
        <v>#REF!</v>
      </c>
      <c r="N111" t="e">
        <f t="shared" si="19"/>
        <v>#REF!</v>
      </c>
      <c r="Q111">
        <f>Experiment!A111</f>
        <v>77100000</v>
      </c>
      <c r="R111">
        <f>((Experiment!D111+50)*(Experiment!D111-50)+(Experiment!E111^2))/((Experiment!D111+50)^2+(Experiment!E111^2))</f>
        <v>0.8682345418914843</v>
      </c>
      <c r="S111">
        <f>((Experiment!D111+50)*Experiment!E111-Experiment!E111*(Experiment!D111-50))/((Experiment!D111+50)^2+(Experiment!E111^2))</f>
        <v>-0.23220730504222739</v>
      </c>
      <c r="T111" t="str">
        <f t="shared" si="20"/>
        <v>0.868234541891484-0.232207305042227i</v>
      </c>
      <c r="U111">
        <f t="shared" si="25"/>
        <v>0.89874993866396991</v>
      </c>
      <c r="V111">
        <f t="shared" si="21"/>
        <v>0.92722252495786095</v>
      </c>
      <c r="Y111" t="e">
        <f>Experiment!#REF!</f>
        <v>#REF!</v>
      </c>
      <c r="Z111" t="e">
        <f>((Experiment!#REF!+50)*(Experiment!#REF!-50)+(Experiment!#REF!^2))/((Experiment!#REF!+50)^2+(Experiment!#REF!^2))</f>
        <v>#REF!</v>
      </c>
      <c r="AA111" t="e">
        <f>((Experiment!#REF!+50)*Experiment!#REF!-Experiment!#REF!*(Experiment!#REF!-50))/((Experiment!#REF!+50)^2+(Experiment!#REF!^2))</f>
        <v>#REF!</v>
      </c>
      <c r="AB111" t="e">
        <f t="shared" si="22"/>
        <v>#REF!</v>
      </c>
      <c r="AC111" t="e">
        <f t="shared" si="23"/>
        <v>#REF!</v>
      </c>
      <c r="AD111" t="e">
        <f t="shared" si="24"/>
        <v>#REF!</v>
      </c>
    </row>
    <row r="112" spans="1:30" x14ac:dyDescent="0.15">
      <c r="A112" t="e">
        <f>Experiment!#REF!</f>
        <v>#REF!</v>
      </c>
      <c r="B112" t="e">
        <f>((Experiment!#REF!+50)*(Experiment!#REF!-50)+(Experiment!#REF!^2))/((Experiment!#REF!+50)^2+(Experiment!#REF!^2))</f>
        <v>#REF!</v>
      </c>
      <c r="C112" t="e">
        <f>((Experiment!#REF!+50)*Experiment!#REF!-Experiment!#REF!*(Experiment!#REF!-50))/((Experiment!#REF!+50)^2+(Experiment!#REF!^2))</f>
        <v>#REF!</v>
      </c>
      <c r="D112" t="e">
        <f t="shared" si="14"/>
        <v>#REF!</v>
      </c>
      <c r="E112" t="e">
        <f t="shared" si="15"/>
        <v>#REF!</v>
      </c>
      <c r="F112" t="e">
        <f t="shared" si="16"/>
        <v>#REF!</v>
      </c>
      <c r="I112" t="e">
        <f>Experiment!#REF!</f>
        <v>#REF!</v>
      </c>
      <c r="J112" t="e">
        <f>((Experiment!#REF!+50)*(Experiment!#REF!-50)+(Experiment!#REF!^2))/((Experiment!#REF!+50)^2+(Experiment!#REF!^2))</f>
        <v>#REF!</v>
      </c>
      <c r="K112" t="e">
        <f>((Experiment!#REF!+50)*Experiment!#REF!-Experiment!#REF!*(Experiment!#REF!-50))/((Experiment!#REF!+50)^2+(Experiment!#REF!^2))</f>
        <v>#REF!</v>
      </c>
      <c r="L112" t="e">
        <f t="shared" si="17"/>
        <v>#REF!</v>
      </c>
      <c r="M112" t="e">
        <f t="shared" si="18"/>
        <v>#REF!</v>
      </c>
      <c r="N112" t="e">
        <f t="shared" si="19"/>
        <v>#REF!</v>
      </c>
      <c r="Q112">
        <f>Experiment!A112</f>
        <v>80300000</v>
      </c>
      <c r="R112">
        <f>((Experiment!D112+50)*(Experiment!D112-50)+(Experiment!E112^2))/((Experiment!D112+50)^2+(Experiment!E112^2))</f>
        <v>0.86572555954135089</v>
      </c>
      <c r="S112">
        <f>((Experiment!D112+50)*Experiment!E112-Experiment!E112*(Experiment!D112-50))/((Experiment!D112+50)^2+(Experiment!E112^2))</f>
        <v>-0.24165440391085005</v>
      </c>
      <c r="T112" t="str">
        <f t="shared" si="20"/>
        <v>0.865725559541351-0.24165440391085i</v>
      </c>
      <c r="U112">
        <f t="shared" si="25"/>
        <v>0.89882011291063879</v>
      </c>
      <c r="V112">
        <f t="shared" si="21"/>
        <v>0.92654435860570561</v>
      </c>
      <c r="Y112" t="e">
        <f>Experiment!#REF!</f>
        <v>#REF!</v>
      </c>
      <c r="Z112" t="e">
        <f>((Experiment!#REF!+50)*(Experiment!#REF!-50)+(Experiment!#REF!^2))/((Experiment!#REF!+50)^2+(Experiment!#REF!^2))</f>
        <v>#REF!</v>
      </c>
      <c r="AA112" t="e">
        <f>((Experiment!#REF!+50)*Experiment!#REF!-Experiment!#REF!*(Experiment!#REF!-50))/((Experiment!#REF!+50)^2+(Experiment!#REF!^2))</f>
        <v>#REF!</v>
      </c>
      <c r="AB112" t="e">
        <f t="shared" si="22"/>
        <v>#REF!</v>
      </c>
      <c r="AC112" t="e">
        <f t="shared" si="23"/>
        <v>#REF!</v>
      </c>
      <c r="AD112" t="e">
        <f t="shared" si="24"/>
        <v>#REF!</v>
      </c>
    </row>
    <row r="113" spans="1:30" x14ac:dyDescent="0.15">
      <c r="A113" t="e">
        <f>Experiment!#REF!</f>
        <v>#REF!</v>
      </c>
      <c r="B113" t="e">
        <f>((Experiment!#REF!+50)*(Experiment!#REF!-50)+(Experiment!#REF!^2))/((Experiment!#REF!+50)^2+(Experiment!#REF!^2))</f>
        <v>#REF!</v>
      </c>
      <c r="C113" t="e">
        <f>((Experiment!#REF!+50)*Experiment!#REF!-Experiment!#REF!*(Experiment!#REF!-50))/((Experiment!#REF!+50)^2+(Experiment!#REF!^2))</f>
        <v>#REF!</v>
      </c>
      <c r="D113" t="e">
        <f t="shared" si="14"/>
        <v>#REF!</v>
      </c>
      <c r="E113" t="e">
        <f t="shared" si="15"/>
        <v>#REF!</v>
      </c>
      <c r="F113" t="e">
        <f t="shared" si="16"/>
        <v>#REF!</v>
      </c>
      <c r="I113" t="e">
        <f>Experiment!#REF!</f>
        <v>#REF!</v>
      </c>
      <c r="J113" t="e">
        <f>((Experiment!#REF!+50)*(Experiment!#REF!-50)+(Experiment!#REF!^2))/((Experiment!#REF!+50)^2+(Experiment!#REF!^2))</f>
        <v>#REF!</v>
      </c>
      <c r="K113" t="e">
        <f>((Experiment!#REF!+50)*Experiment!#REF!-Experiment!#REF!*(Experiment!#REF!-50))/((Experiment!#REF!+50)^2+(Experiment!#REF!^2))</f>
        <v>#REF!</v>
      </c>
      <c r="L113" t="e">
        <f t="shared" si="17"/>
        <v>#REF!</v>
      </c>
      <c r="M113" t="e">
        <f t="shared" si="18"/>
        <v>#REF!</v>
      </c>
      <c r="N113" t="e">
        <f t="shared" si="19"/>
        <v>#REF!</v>
      </c>
      <c r="Q113">
        <f>Experiment!A113</f>
        <v>83600000</v>
      </c>
      <c r="R113">
        <f>((Experiment!D113+50)*(Experiment!D113-50)+(Experiment!E113^2))/((Experiment!D113+50)^2+(Experiment!E113^2))</f>
        <v>0.86343563589312078</v>
      </c>
      <c r="S113">
        <f>((Experiment!D113+50)*Experiment!E113-Experiment!E113*(Experiment!D113-50))/((Experiment!D113+50)^2+(Experiment!E113^2))</f>
        <v>-0.25073782667771793</v>
      </c>
      <c r="T113" t="str">
        <f t="shared" si="20"/>
        <v>0.863435635893121-0.250737826677718i</v>
      </c>
      <c r="U113">
        <f t="shared" si="25"/>
        <v>0.89910541932368704</v>
      </c>
      <c r="V113">
        <f t="shared" si="21"/>
        <v>0.92378769266694394</v>
      </c>
      <c r="Y113" t="e">
        <f>Experiment!#REF!</f>
        <v>#REF!</v>
      </c>
      <c r="Z113" t="e">
        <f>((Experiment!#REF!+50)*(Experiment!#REF!-50)+(Experiment!#REF!^2))/((Experiment!#REF!+50)^2+(Experiment!#REF!^2))</f>
        <v>#REF!</v>
      </c>
      <c r="AA113" t="e">
        <f>((Experiment!#REF!+50)*Experiment!#REF!-Experiment!#REF!*(Experiment!#REF!-50))/((Experiment!#REF!+50)^2+(Experiment!#REF!^2))</f>
        <v>#REF!</v>
      </c>
      <c r="AB113" t="e">
        <f t="shared" si="22"/>
        <v>#REF!</v>
      </c>
      <c r="AC113" t="e">
        <f t="shared" si="23"/>
        <v>#REF!</v>
      </c>
      <c r="AD113" t="e">
        <f t="shared" si="24"/>
        <v>#REF!</v>
      </c>
    </row>
    <row r="114" spans="1:30" x14ac:dyDescent="0.15">
      <c r="A114" t="e">
        <f>Experiment!#REF!</f>
        <v>#REF!</v>
      </c>
      <c r="B114" t="e">
        <f>((Experiment!#REF!+50)*(Experiment!#REF!-50)+(Experiment!#REF!^2))/((Experiment!#REF!+50)^2+(Experiment!#REF!^2))</f>
        <v>#REF!</v>
      </c>
      <c r="C114" t="e">
        <f>((Experiment!#REF!+50)*Experiment!#REF!-Experiment!#REF!*(Experiment!#REF!-50))/((Experiment!#REF!+50)^2+(Experiment!#REF!^2))</f>
        <v>#REF!</v>
      </c>
      <c r="D114" t="e">
        <f t="shared" si="14"/>
        <v>#REF!</v>
      </c>
      <c r="E114" t="e">
        <f t="shared" si="15"/>
        <v>#REF!</v>
      </c>
      <c r="F114" t="e">
        <f t="shared" si="16"/>
        <v>#REF!</v>
      </c>
      <c r="I114" t="e">
        <f>Experiment!#REF!</f>
        <v>#REF!</v>
      </c>
      <c r="J114" t="e">
        <f>((Experiment!#REF!+50)*(Experiment!#REF!-50)+(Experiment!#REF!^2))/((Experiment!#REF!+50)^2+(Experiment!#REF!^2))</f>
        <v>#REF!</v>
      </c>
      <c r="K114" t="e">
        <f>((Experiment!#REF!+50)*Experiment!#REF!-Experiment!#REF!*(Experiment!#REF!-50))/((Experiment!#REF!+50)^2+(Experiment!#REF!^2))</f>
        <v>#REF!</v>
      </c>
      <c r="L114" t="e">
        <f t="shared" si="17"/>
        <v>#REF!</v>
      </c>
      <c r="M114" t="e">
        <f t="shared" si="18"/>
        <v>#REF!</v>
      </c>
      <c r="N114" t="e">
        <f t="shared" si="19"/>
        <v>#REF!</v>
      </c>
      <c r="Q114">
        <f>Experiment!A114</f>
        <v>87000000</v>
      </c>
      <c r="R114">
        <f>((Experiment!D114+50)*(Experiment!D114-50)+(Experiment!E114^2))/((Experiment!D114+50)^2+(Experiment!E114^2))</f>
        <v>0.86039763236992928</v>
      </c>
      <c r="S114">
        <f>((Experiment!D114+50)*Experiment!E114-Experiment!E114*(Experiment!D114-50))/((Experiment!D114+50)^2+(Experiment!E114^2))</f>
        <v>-0.26024245898200177</v>
      </c>
      <c r="T114" t="str">
        <f t="shared" si="20"/>
        <v>0.860397632369929-0.260242458982002i</v>
      </c>
      <c r="U114">
        <f t="shared" si="25"/>
        <v>0.89889388875705389</v>
      </c>
      <c r="V114">
        <f t="shared" si="21"/>
        <v>0.92583144335925183</v>
      </c>
      <c r="Y114" t="e">
        <f>Experiment!#REF!</f>
        <v>#REF!</v>
      </c>
      <c r="Z114" t="e">
        <f>((Experiment!#REF!+50)*(Experiment!#REF!-50)+(Experiment!#REF!^2))/((Experiment!#REF!+50)^2+(Experiment!#REF!^2))</f>
        <v>#REF!</v>
      </c>
      <c r="AA114" t="e">
        <f>((Experiment!#REF!+50)*Experiment!#REF!-Experiment!#REF!*(Experiment!#REF!-50))/((Experiment!#REF!+50)^2+(Experiment!#REF!^2))</f>
        <v>#REF!</v>
      </c>
      <c r="AB114" t="e">
        <f t="shared" si="22"/>
        <v>#REF!</v>
      </c>
      <c r="AC114" t="e">
        <f t="shared" si="23"/>
        <v>#REF!</v>
      </c>
      <c r="AD114" t="e">
        <f t="shared" si="24"/>
        <v>#REF!</v>
      </c>
    </row>
    <row r="115" spans="1:30" x14ac:dyDescent="0.15">
      <c r="A115" t="e">
        <f>Experiment!#REF!</f>
        <v>#REF!</v>
      </c>
      <c r="B115" t="e">
        <f>((Experiment!#REF!+50)*(Experiment!#REF!-50)+(Experiment!#REF!^2))/((Experiment!#REF!+50)^2+(Experiment!#REF!^2))</f>
        <v>#REF!</v>
      </c>
      <c r="C115" t="e">
        <f>((Experiment!#REF!+50)*Experiment!#REF!-Experiment!#REF!*(Experiment!#REF!-50))/((Experiment!#REF!+50)^2+(Experiment!#REF!^2))</f>
        <v>#REF!</v>
      </c>
      <c r="D115" t="e">
        <f t="shared" si="14"/>
        <v>#REF!</v>
      </c>
      <c r="E115" t="e">
        <f t="shared" si="15"/>
        <v>#REF!</v>
      </c>
      <c r="F115" t="e">
        <f t="shared" si="16"/>
        <v>#REF!</v>
      </c>
      <c r="I115" t="e">
        <f>Experiment!#REF!</f>
        <v>#REF!</v>
      </c>
      <c r="J115" t="e">
        <f>((Experiment!#REF!+50)*(Experiment!#REF!-50)+(Experiment!#REF!^2))/((Experiment!#REF!+50)^2+(Experiment!#REF!^2))</f>
        <v>#REF!</v>
      </c>
      <c r="K115" t="e">
        <f>((Experiment!#REF!+50)*Experiment!#REF!-Experiment!#REF!*(Experiment!#REF!-50))/((Experiment!#REF!+50)^2+(Experiment!#REF!^2))</f>
        <v>#REF!</v>
      </c>
      <c r="L115" t="e">
        <f t="shared" si="17"/>
        <v>#REF!</v>
      </c>
      <c r="M115" t="e">
        <f t="shared" si="18"/>
        <v>#REF!</v>
      </c>
      <c r="N115" t="e">
        <f t="shared" si="19"/>
        <v>#REF!</v>
      </c>
      <c r="Q115">
        <f>Experiment!A115</f>
        <v>90600000</v>
      </c>
      <c r="R115">
        <f>((Experiment!D115+50)*(Experiment!D115-50)+(Experiment!E115^2))/((Experiment!D115+50)^2+(Experiment!E115^2))</f>
        <v>0.85761739167648465</v>
      </c>
      <c r="S115">
        <f>((Experiment!D115+50)*Experiment!E115-Experiment!E115*(Experiment!D115-50))/((Experiment!D115+50)^2+(Experiment!E115^2))</f>
        <v>-0.27079240920367548</v>
      </c>
      <c r="T115" t="str">
        <f t="shared" si="20"/>
        <v>0.857617391676485-0.270792409203675i</v>
      </c>
      <c r="U115">
        <f t="shared" si="25"/>
        <v>0.8993531672198124</v>
      </c>
      <c r="V115">
        <f t="shared" si="21"/>
        <v>0.92139463128257737</v>
      </c>
      <c r="Y115" t="e">
        <f>Experiment!#REF!</f>
        <v>#REF!</v>
      </c>
      <c r="Z115" t="e">
        <f>((Experiment!#REF!+50)*(Experiment!#REF!-50)+(Experiment!#REF!^2))/((Experiment!#REF!+50)^2+(Experiment!#REF!^2))</f>
        <v>#REF!</v>
      </c>
      <c r="AA115" t="e">
        <f>((Experiment!#REF!+50)*Experiment!#REF!-Experiment!#REF!*(Experiment!#REF!-50))/((Experiment!#REF!+50)^2+(Experiment!#REF!^2))</f>
        <v>#REF!</v>
      </c>
      <c r="AB115" t="e">
        <f t="shared" si="22"/>
        <v>#REF!</v>
      </c>
      <c r="AC115" t="e">
        <f t="shared" si="23"/>
        <v>#REF!</v>
      </c>
      <c r="AD115" t="e">
        <f t="shared" si="24"/>
        <v>#REF!</v>
      </c>
    </row>
    <row r="116" spans="1:30" x14ac:dyDescent="0.15">
      <c r="A116" t="e">
        <f>Experiment!#REF!</f>
        <v>#REF!</v>
      </c>
      <c r="B116" t="e">
        <f>((Experiment!#REF!+50)*(Experiment!#REF!-50)+(Experiment!#REF!^2))/((Experiment!#REF!+50)^2+(Experiment!#REF!^2))</f>
        <v>#REF!</v>
      </c>
      <c r="C116" t="e">
        <f>((Experiment!#REF!+50)*Experiment!#REF!-Experiment!#REF!*(Experiment!#REF!-50))/((Experiment!#REF!+50)^2+(Experiment!#REF!^2))</f>
        <v>#REF!</v>
      </c>
      <c r="D116" t="e">
        <f t="shared" si="14"/>
        <v>#REF!</v>
      </c>
      <c r="E116" t="e">
        <f t="shared" si="15"/>
        <v>#REF!</v>
      </c>
      <c r="F116" t="e">
        <f t="shared" si="16"/>
        <v>#REF!</v>
      </c>
      <c r="I116" t="e">
        <f>Experiment!#REF!</f>
        <v>#REF!</v>
      </c>
      <c r="J116" t="e">
        <f>((Experiment!#REF!+50)*(Experiment!#REF!-50)+(Experiment!#REF!^2))/((Experiment!#REF!+50)^2+(Experiment!#REF!^2))</f>
        <v>#REF!</v>
      </c>
      <c r="K116" t="e">
        <f>((Experiment!#REF!+50)*Experiment!#REF!-Experiment!#REF!*(Experiment!#REF!-50))/((Experiment!#REF!+50)^2+(Experiment!#REF!^2))</f>
        <v>#REF!</v>
      </c>
      <c r="L116" t="e">
        <f t="shared" si="17"/>
        <v>#REF!</v>
      </c>
      <c r="M116" t="e">
        <f t="shared" si="18"/>
        <v>#REF!</v>
      </c>
      <c r="N116" t="e">
        <f t="shared" si="19"/>
        <v>#REF!</v>
      </c>
      <c r="Q116">
        <f>Experiment!A116</f>
        <v>94300000</v>
      </c>
      <c r="R116">
        <f>((Experiment!D116+50)*(Experiment!D116-50)+(Experiment!E116^2))/((Experiment!D116+50)^2+(Experiment!E116^2))</f>
        <v>0.85446654818136747</v>
      </c>
      <c r="S116">
        <f>((Experiment!D116+50)*Experiment!E116-Experiment!E116*(Experiment!D116-50))/((Experiment!D116+50)^2+(Experiment!E116^2))</f>
        <v>-0.28132182935213912</v>
      </c>
      <c r="T116" t="str">
        <f t="shared" si="20"/>
        <v>0.854466548181367-0.281321829352139i</v>
      </c>
      <c r="U116">
        <f t="shared" si="25"/>
        <v>0.89958604570714373</v>
      </c>
      <c r="V116">
        <f t="shared" si="21"/>
        <v>0.91914579837393506</v>
      </c>
      <c r="Y116" t="e">
        <f>Experiment!#REF!</f>
        <v>#REF!</v>
      </c>
      <c r="Z116" t="e">
        <f>((Experiment!#REF!+50)*(Experiment!#REF!-50)+(Experiment!#REF!^2))/((Experiment!#REF!+50)^2+(Experiment!#REF!^2))</f>
        <v>#REF!</v>
      </c>
      <c r="AA116" t="e">
        <f>((Experiment!#REF!+50)*Experiment!#REF!-Experiment!#REF!*(Experiment!#REF!-50))/((Experiment!#REF!+50)^2+(Experiment!#REF!^2))</f>
        <v>#REF!</v>
      </c>
      <c r="AB116" t="e">
        <f t="shared" si="22"/>
        <v>#REF!</v>
      </c>
      <c r="AC116" t="e">
        <f t="shared" si="23"/>
        <v>#REF!</v>
      </c>
      <c r="AD116" t="e">
        <f t="shared" si="24"/>
        <v>#REF!</v>
      </c>
    </row>
    <row r="117" spans="1:30" x14ac:dyDescent="0.15">
      <c r="A117" t="e">
        <f>Experiment!#REF!</f>
        <v>#REF!</v>
      </c>
      <c r="B117" t="e">
        <f>((Experiment!#REF!+50)*(Experiment!#REF!-50)+(Experiment!#REF!^2))/((Experiment!#REF!+50)^2+(Experiment!#REF!^2))</f>
        <v>#REF!</v>
      </c>
      <c r="C117" t="e">
        <f>((Experiment!#REF!+50)*Experiment!#REF!-Experiment!#REF!*(Experiment!#REF!-50))/((Experiment!#REF!+50)^2+(Experiment!#REF!^2))</f>
        <v>#REF!</v>
      </c>
      <c r="D117" t="e">
        <f t="shared" si="14"/>
        <v>#REF!</v>
      </c>
      <c r="E117" t="e">
        <f t="shared" si="15"/>
        <v>#REF!</v>
      </c>
      <c r="F117" t="e">
        <f t="shared" si="16"/>
        <v>#REF!</v>
      </c>
      <c r="I117" t="e">
        <f>Experiment!#REF!</f>
        <v>#REF!</v>
      </c>
      <c r="J117" t="e">
        <f>((Experiment!#REF!+50)*(Experiment!#REF!-50)+(Experiment!#REF!^2))/((Experiment!#REF!+50)^2+(Experiment!#REF!^2))</f>
        <v>#REF!</v>
      </c>
      <c r="K117" t="e">
        <f>((Experiment!#REF!+50)*Experiment!#REF!-Experiment!#REF!*(Experiment!#REF!-50))/((Experiment!#REF!+50)^2+(Experiment!#REF!^2))</f>
        <v>#REF!</v>
      </c>
      <c r="L117" t="e">
        <f t="shared" si="17"/>
        <v>#REF!</v>
      </c>
      <c r="M117" t="e">
        <f t="shared" si="18"/>
        <v>#REF!</v>
      </c>
      <c r="N117" t="e">
        <f t="shared" si="19"/>
        <v>#REF!</v>
      </c>
      <c r="Q117">
        <f>Experiment!A117</f>
        <v>98200000</v>
      </c>
      <c r="R117">
        <f>((Experiment!D117+50)*(Experiment!D117-50)+(Experiment!E117^2))/((Experiment!D117+50)^2+(Experiment!E117^2))</f>
        <v>0.85062943005009661</v>
      </c>
      <c r="S117">
        <f>((Experiment!D117+50)*Experiment!E117-Experiment!E117*(Experiment!D117-50))/((Experiment!D117+50)^2+(Experiment!E117^2))</f>
        <v>-0.2919450377166804</v>
      </c>
      <c r="T117" t="str">
        <f t="shared" si="20"/>
        <v>0.850629430050097-0.29194503771668i</v>
      </c>
      <c r="U117">
        <f t="shared" si="25"/>
        <v>0.89933438292703238</v>
      </c>
      <c r="V117">
        <f t="shared" si="21"/>
        <v>0.92157605055576797</v>
      </c>
      <c r="Y117" t="e">
        <f>Experiment!#REF!</f>
        <v>#REF!</v>
      </c>
      <c r="Z117" t="e">
        <f>((Experiment!#REF!+50)*(Experiment!#REF!-50)+(Experiment!#REF!^2))/((Experiment!#REF!+50)^2+(Experiment!#REF!^2))</f>
        <v>#REF!</v>
      </c>
      <c r="AA117" t="e">
        <f>((Experiment!#REF!+50)*Experiment!#REF!-Experiment!#REF!*(Experiment!#REF!-50))/((Experiment!#REF!+50)^2+(Experiment!#REF!^2))</f>
        <v>#REF!</v>
      </c>
      <c r="AB117" t="e">
        <f t="shared" si="22"/>
        <v>#REF!</v>
      </c>
      <c r="AC117" t="e">
        <f t="shared" si="23"/>
        <v>#REF!</v>
      </c>
      <c r="AD117" t="e">
        <f t="shared" si="24"/>
        <v>#REF!</v>
      </c>
    </row>
    <row r="118" spans="1:30" x14ac:dyDescent="0.15">
      <c r="A118" t="e">
        <f>Experiment!#REF!</f>
        <v>#REF!</v>
      </c>
      <c r="B118" t="e">
        <f>((Experiment!#REF!+50)*(Experiment!#REF!-50)+(Experiment!#REF!^2))/((Experiment!#REF!+50)^2+(Experiment!#REF!^2))</f>
        <v>#REF!</v>
      </c>
      <c r="C118" t="e">
        <f>((Experiment!#REF!+50)*Experiment!#REF!-Experiment!#REF!*(Experiment!#REF!-50))/((Experiment!#REF!+50)^2+(Experiment!#REF!^2))</f>
        <v>#REF!</v>
      </c>
      <c r="D118" t="e">
        <f t="shared" si="14"/>
        <v>#REF!</v>
      </c>
      <c r="E118" t="e">
        <f t="shared" si="15"/>
        <v>#REF!</v>
      </c>
      <c r="F118" t="e">
        <f t="shared" si="16"/>
        <v>#REF!</v>
      </c>
      <c r="I118" t="e">
        <f>Experiment!#REF!</f>
        <v>#REF!</v>
      </c>
      <c r="J118" t="e">
        <f>((Experiment!#REF!+50)*(Experiment!#REF!-50)+(Experiment!#REF!^2))/((Experiment!#REF!+50)^2+(Experiment!#REF!^2))</f>
        <v>#REF!</v>
      </c>
      <c r="K118" t="e">
        <f>((Experiment!#REF!+50)*Experiment!#REF!-Experiment!#REF!*(Experiment!#REF!-50))/((Experiment!#REF!+50)^2+(Experiment!#REF!^2))</f>
        <v>#REF!</v>
      </c>
      <c r="L118" t="e">
        <f t="shared" si="17"/>
        <v>#REF!</v>
      </c>
      <c r="M118" t="e">
        <f t="shared" si="18"/>
        <v>#REF!</v>
      </c>
      <c r="N118" t="e">
        <f t="shared" si="19"/>
        <v>#REF!</v>
      </c>
      <c r="Q118">
        <f>Experiment!A118</f>
        <v>102200000</v>
      </c>
      <c r="R118">
        <f>((Experiment!D118+50)*(Experiment!D118-50)+(Experiment!E118^2))/((Experiment!D118+50)^2+(Experiment!E118^2))</f>
        <v>0.84695963562200849</v>
      </c>
      <c r="S118">
        <f>((Experiment!D118+50)*Experiment!E118-Experiment!E118*(Experiment!D118-50))/((Experiment!D118+50)^2+(Experiment!E118^2))</f>
        <v>-0.30310203949041925</v>
      </c>
      <c r="T118" t="str">
        <f t="shared" si="20"/>
        <v>0.846959635622008-0.303102039490419i</v>
      </c>
      <c r="U118">
        <f t="shared" si="25"/>
        <v>0.89956182150879271</v>
      </c>
      <c r="V118">
        <f t="shared" si="21"/>
        <v>0.91937969656239904</v>
      </c>
      <c r="Y118" t="e">
        <f>Experiment!#REF!</f>
        <v>#REF!</v>
      </c>
      <c r="Z118" t="e">
        <f>((Experiment!#REF!+50)*(Experiment!#REF!-50)+(Experiment!#REF!^2))/((Experiment!#REF!+50)^2+(Experiment!#REF!^2))</f>
        <v>#REF!</v>
      </c>
      <c r="AA118" t="e">
        <f>((Experiment!#REF!+50)*Experiment!#REF!-Experiment!#REF!*(Experiment!#REF!-50))/((Experiment!#REF!+50)^2+(Experiment!#REF!^2))</f>
        <v>#REF!</v>
      </c>
      <c r="AB118" t="e">
        <f t="shared" si="22"/>
        <v>#REF!</v>
      </c>
      <c r="AC118" t="e">
        <f t="shared" si="23"/>
        <v>#REF!</v>
      </c>
      <c r="AD118" t="e">
        <f t="shared" si="24"/>
        <v>#REF!</v>
      </c>
    </row>
    <row r="119" spans="1:30" x14ac:dyDescent="0.15">
      <c r="A119" t="e">
        <f>Experiment!#REF!</f>
        <v>#REF!</v>
      </c>
      <c r="B119" t="e">
        <f>((Experiment!#REF!+50)*(Experiment!#REF!-50)+(Experiment!#REF!^2))/((Experiment!#REF!+50)^2+(Experiment!#REF!^2))</f>
        <v>#REF!</v>
      </c>
      <c r="C119" t="e">
        <f>((Experiment!#REF!+50)*Experiment!#REF!-Experiment!#REF!*(Experiment!#REF!-50))/((Experiment!#REF!+50)^2+(Experiment!#REF!^2))</f>
        <v>#REF!</v>
      </c>
      <c r="D119" t="e">
        <f t="shared" si="14"/>
        <v>#REF!</v>
      </c>
      <c r="E119" t="e">
        <f t="shared" si="15"/>
        <v>#REF!</v>
      </c>
      <c r="F119" t="e">
        <f t="shared" si="16"/>
        <v>#REF!</v>
      </c>
      <c r="I119" t="e">
        <f>Experiment!#REF!</f>
        <v>#REF!</v>
      </c>
      <c r="J119" t="e">
        <f>((Experiment!#REF!+50)*(Experiment!#REF!-50)+(Experiment!#REF!^2))/((Experiment!#REF!+50)^2+(Experiment!#REF!^2))</f>
        <v>#REF!</v>
      </c>
      <c r="K119" t="e">
        <f>((Experiment!#REF!+50)*Experiment!#REF!-Experiment!#REF!*(Experiment!#REF!-50))/((Experiment!#REF!+50)^2+(Experiment!#REF!^2))</f>
        <v>#REF!</v>
      </c>
      <c r="L119" t="e">
        <f t="shared" si="17"/>
        <v>#REF!</v>
      </c>
      <c r="M119" t="e">
        <f t="shared" si="18"/>
        <v>#REF!</v>
      </c>
      <c r="N119" t="e">
        <f t="shared" si="19"/>
        <v>#REF!</v>
      </c>
      <c r="Q119">
        <f>Experiment!A119</f>
        <v>106400000</v>
      </c>
      <c r="R119">
        <f>((Experiment!D119+50)*(Experiment!D119-50)+(Experiment!E119^2))/((Experiment!D119+50)^2+(Experiment!E119^2))</f>
        <v>0.84306650437636099</v>
      </c>
      <c r="S119">
        <f>((Experiment!D119+50)*Experiment!E119-Experiment!E119*(Experiment!D119-50))/((Experiment!D119+50)^2+(Experiment!E119^2))</f>
        <v>-0.31487152642411215</v>
      </c>
      <c r="T119" t="str">
        <f t="shared" si="20"/>
        <v>0.843066504376361-0.314871526424112i</v>
      </c>
      <c r="U119">
        <f t="shared" si="25"/>
        <v>0.89994733676700611</v>
      </c>
      <c r="V119">
        <f t="shared" si="21"/>
        <v>0.91565807833949608</v>
      </c>
      <c r="Y119" t="e">
        <f>Experiment!#REF!</f>
        <v>#REF!</v>
      </c>
      <c r="Z119" t="e">
        <f>((Experiment!#REF!+50)*(Experiment!#REF!-50)+(Experiment!#REF!^2))/((Experiment!#REF!+50)^2+(Experiment!#REF!^2))</f>
        <v>#REF!</v>
      </c>
      <c r="AA119" t="e">
        <f>((Experiment!#REF!+50)*Experiment!#REF!-Experiment!#REF!*(Experiment!#REF!-50))/((Experiment!#REF!+50)^2+(Experiment!#REF!^2))</f>
        <v>#REF!</v>
      </c>
      <c r="AB119" t="e">
        <f t="shared" si="22"/>
        <v>#REF!</v>
      </c>
      <c r="AC119" t="e">
        <f t="shared" si="23"/>
        <v>#REF!</v>
      </c>
      <c r="AD119" t="e">
        <f t="shared" si="24"/>
        <v>#REF!</v>
      </c>
    </row>
    <row r="120" spans="1:30" x14ac:dyDescent="0.15">
      <c r="A120" t="e">
        <f>Experiment!#REF!</f>
        <v>#REF!</v>
      </c>
      <c r="B120" t="e">
        <f>((Experiment!#REF!+50)*(Experiment!#REF!-50)+(Experiment!#REF!^2))/((Experiment!#REF!+50)^2+(Experiment!#REF!^2))</f>
        <v>#REF!</v>
      </c>
      <c r="C120" t="e">
        <f>((Experiment!#REF!+50)*Experiment!#REF!-Experiment!#REF!*(Experiment!#REF!-50))/((Experiment!#REF!+50)^2+(Experiment!#REF!^2))</f>
        <v>#REF!</v>
      </c>
      <c r="D120" t="e">
        <f t="shared" si="14"/>
        <v>#REF!</v>
      </c>
      <c r="E120" t="e">
        <f t="shared" si="15"/>
        <v>#REF!</v>
      </c>
      <c r="F120" t="e">
        <f t="shared" si="16"/>
        <v>#REF!</v>
      </c>
      <c r="I120" t="e">
        <f>Experiment!#REF!</f>
        <v>#REF!</v>
      </c>
      <c r="J120" t="e">
        <f>((Experiment!#REF!+50)*(Experiment!#REF!-50)+(Experiment!#REF!^2))/((Experiment!#REF!+50)^2+(Experiment!#REF!^2))</f>
        <v>#REF!</v>
      </c>
      <c r="K120" t="e">
        <f>((Experiment!#REF!+50)*Experiment!#REF!-Experiment!#REF!*(Experiment!#REF!-50))/((Experiment!#REF!+50)^2+(Experiment!#REF!^2))</f>
        <v>#REF!</v>
      </c>
      <c r="L120" t="e">
        <f t="shared" si="17"/>
        <v>#REF!</v>
      </c>
      <c r="M120" t="e">
        <f t="shared" si="18"/>
        <v>#REF!</v>
      </c>
      <c r="N120" t="e">
        <f t="shared" si="19"/>
        <v>#REF!</v>
      </c>
      <c r="Q120">
        <f>Experiment!A120</f>
        <v>110700000</v>
      </c>
      <c r="R120">
        <f>((Experiment!D120+50)*(Experiment!D120-50)+(Experiment!E120^2))/((Experiment!D120+50)^2+(Experiment!E120^2))</f>
        <v>0.83866318187491296</v>
      </c>
      <c r="S120">
        <f>((Experiment!D120+50)*Experiment!E120-Experiment!E120*(Experiment!D120-50))/((Experiment!D120+50)^2+(Experiment!E120^2))</f>
        <v>-0.32630613552914273</v>
      </c>
      <c r="T120" t="str">
        <f t="shared" si="20"/>
        <v>0.838663181874913-0.326306135529143i</v>
      </c>
      <c r="U120">
        <f t="shared" si="25"/>
        <v>0.89990645442541228</v>
      </c>
      <c r="V120">
        <f t="shared" si="21"/>
        <v>0.9160526653987654</v>
      </c>
      <c r="Y120" t="e">
        <f>Experiment!#REF!</f>
        <v>#REF!</v>
      </c>
      <c r="Z120" t="e">
        <f>((Experiment!#REF!+50)*(Experiment!#REF!-50)+(Experiment!#REF!^2))/((Experiment!#REF!+50)^2+(Experiment!#REF!^2))</f>
        <v>#REF!</v>
      </c>
      <c r="AA120" t="e">
        <f>((Experiment!#REF!+50)*Experiment!#REF!-Experiment!#REF!*(Experiment!#REF!-50))/((Experiment!#REF!+50)^2+(Experiment!#REF!^2))</f>
        <v>#REF!</v>
      </c>
      <c r="AB120" t="e">
        <f t="shared" si="22"/>
        <v>#REF!</v>
      </c>
      <c r="AC120" t="e">
        <f t="shared" si="23"/>
        <v>#REF!</v>
      </c>
      <c r="AD120" t="e">
        <f t="shared" si="24"/>
        <v>#REF!</v>
      </c>
    </row>
    <row r="121" spans="1:30" x14ac:dyDescent="0.15">
      <c r="A121" t="e">
        <f>Experiment!#REF!</f>
        <v>#REF!</v>
      </c>
      <c r="B121" t="e">
        <f>((Experiment!#REF!+50)*(Experiment!#REF!-50)+(Experiment!#REF!^2))/((Experiment!#REF!+50)^2+(Experiment!#REF!^2))</f>
        <v>#REF!</v>
      </c>
      <c r="C121" t="e">
        <f>((Experiment!#REF!+50)*Experiment!#REF!-Experiment!#REF!*(Experiment!#REF!-50))/((Experiment!#REF!+50)^2+(Experiment!#REF!^2))</f>
        <v>#REF!</v>
      </c>
      <c r="D121" t="e">
        <f t="shared" si="14"/>
        <v>#REF!</v>
      </c>
      <c r="E121" t="e">
        <f t="shared" si="15"/>
        <v>#REF!</v>
      </c>
      <c r="F121" t="e">
        <f t="shared" si="16"/>
        <v>#REF!</v>
      </c>
      <c r="I121" t="e">
        <f>Experiment!#REF!</f>
        <v>#REF!</v>
      </c>
      <c r="J121" t="e">
        <f>((Experiment!#REF!+50)*(Experiment!#REF!-50)+(Experiment!#REF!^2))/((Experiment!#REF!+50)^2+(Experiment!#REF!^2))</f>
        <v>#REF!</v>
      </c>
      <c r="K121" t="e">
        <f>((Experiment!#REF!+50)*Experiment!#REF!-Experiment!#REF!*(Experiment!#REF!-50))/((Experiment!#REF!+50)^2+(Experiment!#REF!^2))</f>
        <v>#REF!</v>
      </c>
      <c r="L121" t="e">
        <f t="shared" si="17"/>
        <v>#REF!</v>
      </c>
      <c r="M121" t="e">
        <f t="shared" si="18"/>
        <v>#REF!</v>
      </c>
      <c r="N121" t="e">
        <f t="shared" si="19"/>
        <v>#REF!</v>
      </c>
      <c r="Q121">
        <f>Experiment!A121</f>
        <v>115300000</v>
      </c>
      <c r="R121">
        <f>((Experiment!D121+50)*(Experiment!D121-50)+(Experiment!E121^2))/((Experiment!D121+50)^2+(Experiment!E121^2))</f>
        <v>0.8339147516233627</v>
      </c>
      <c r="S121">
        <f>((Experiment!D121+50)*Experiment!E121-Experiment!E121*(Experiment!D121-50))/((Experiment!D121+50)^2+(Experiment!E121^2))</f>
        <v>-0.33884626021775843</v>
      </c>
      <c r="T121" t="str">
        <f t="shared" si="20"/>
        <v>0.833914751623363-0.338846260217758i</v>
      </c>
      <c r="U121">
        <f t="shared" si="25"/>
        <v>0.90012810257130371</v>
      </c>
      <c r="V121">
        <f t="shared" si="21"/>
        <v>0.9139135827506667</v>
      </c>
      <c r="Y121" t="e">
        <f>Experiment!#REF!</f>
        <v>#REF!</v>
      </c>
      <c r="Z121" t="e">
        <f>((Experiment!#REF!+50)*(Experiment!#REF!-50)+(Experiment!#REF!^2))/((Experiment!#REF!+50)^2+(Experiment!#REF!^2))</f>
        <v>#REF!</v>
      </c>
      <c r="AA121" t="e">
        <f>((Experiment!#REF!+50)*Experiment!#REF!-Experiment!#REF!*(Experiment!#REF!-50))/((Experiment!#REF!+50)^2+(Experiment!#REF!^2))</f>
        <v>#REF!</v>
      </c>
      <c r="AB121" t="e">
        <f t="shared" si="22"/>
        <v>#REF!</v>
      </c>
      <c r="AC121" t="e">
        <f t="shared" si="23"/>
        <v>#REF!</v>
      </c>
      <c r="AD121" t="e">
        <f t="shared" si="24"/>
        <v>#REF!</v>
      </c>
    </row>
    <row r="122" spans="1:30" x14ac:dyDescent="0.15">
      <c r="A122" t="e">
        <f>Experiment!#REF!</f>
        <v>#REF!</v>
      </c>
      <c r="B122" t="e">
        <f>((Experiment!#REF!+50)*(Experiment!#REF!-50)+(Experiment!#REF!^2))/((Experiment!#REF!+50)^2+(Experiment!#REF!^2))</f>
        <v>#REF!</v>
      </c>
      <c r="C122" t="e">
        <f>((Experiment!#REF!+50)*Experiment!#REF!-Experiment!#REF!*(Experiment!#REF!-50))/((Experiment!#REF!+50)^2+(Experiment!#REF!^2))</f>
        <v>#REF!</v>
      </c>
      <c r="D122" t="e">
        <f t="shared" si="14"/>
        <v>#REF!</v>
      </c>
      <c r="E122" t="e">
        <f t="shared" si="15"/>
        <v>#REF!</v>
      </c>
      <c r="F122" t="e">
        <f t="shared" si="16"/>
        <v>#REF!</v>
      </c>
      <c r="I122" t="e">
        <f>Experiment!#REF!</f>
        <v>#REF!</v>
      </c>
      <c r="J122" t="e">
        <f>((Experiment!#REF!+50)*(Experiment!#REF!-50)+(Experiment!#REF!^2))/((Experiment!#REF!+50)^2+(Experiment!#REF!^2))</f>
        <v>#REF!</v>
      </c>
      <c r="K122" t="e">
        <f>((Experiment!#REF!+50)*Experiment!#REF!-Experiment!#REF!*(Experiment!#REF!-50))/((Experiment!#REF!+50)^2+(Experiment!#REF!^2))</f>
        <v>#REF!</v>
      </c>
      <c r="L122" t="e">
        <f t="shared" si="17"/>
        <v>#REF!</v>
      </c>
      <c r="M122" t="e">
        <f t="shared" si="18"/>
        <v>#REF!</v>
      </c>
      <c r="N122" t="e">
        <f t="shared" si="19"/>
        <v>#REF!</v>
      </c>
      <c r="Q122">
        <f>Experiment!A122</f>
        <v>120000000</v>
      </c>
      <c r="R122">
        <f>((Experiment!D122+50)*(Experiment!D122-50)+(Experiment!E122^2))/((Experiment!D122+50)^2+(Experiment!E122^2))</f>
        <v>0.82897184673302315</v>
      </c>
      <c r="S122">
        <f>((Experiment!D122+50)*Experiment!E122-Experiment!E122*(Experiment!D122-50))/((Experiment!D122+50)^2+(Experiment!E122^2))</f>
        <v>-0.35154935415487731</v>
      </c>
      <c r="T122" t="str">
        <f t="shared" si="20"/>
        <v>0.828971846733023-0.351549354154877i</v>
      </c>
      <c r="U122">
        <f t="shared" si="25"/>
        <v>0.90043393487955026</v>
      </c>
      <c r="V122">
        <f t="shared" si="21"/>
        <v>0.91096291996040679</v>
      </c>
      <c r="Y122" t="e">
        <f>Experiment!#REF!</f>
        <v>#REF!</v>
      </c>
      <c r="Z122" t="e">
        <f>((Experiment!#REF!+50)*(Experiment!#REF!-50)+(Experiment!#REF!^2))/((Experiment!#REF!+50)^2+(Experiment!#REF!^2))</f>
        <v>#REF!</v>
      </c>
      <c r="AA122" t="e">
        <f>((Experiment!#REF!+50)*Experiment!#REF!-Experiment!#REF!*(Experiment!#REF!-50))/((Experiment!#REF!+50)^2+(Experiment!#REF!^2))</f>
        <v>#REF!</v>
      </c>
      <c r="AB122" t="e">
        <f t="shared" si="22"/>
        <v>#REF!</v>
      </c>
      <c r="AC122" t="e">
        <f t="shared" si="23"/>
        <v>#REF!</v>
      </c>
      <c r="AD122" t="e">
        <f t="shared" si="24"/>
        <v>#REF!</v>
      </c>
    </row>
    <row r="123" spans="1:30" x14ac:dyDescent="0.15">
      <c r="A123" t="e">
        <f>Experiment!#REF!</f>
        <v>#REF!</v>
      </c>
      <c r="B123" t="e">
        <f>((Experiment!#REF!+50)*(Experiment!#REF!-50)+(Experiment!#REF!^2))/((Experiment!#REF!+50)^2+(Experiment!#REF!^2))</f>
        <v>#REF!</v>
      </c>
      <c r="C123" t="e">
        <f>((Experiment!#REF!+50)*Experiment!#REF!-Experiment!#REF!*(Experiment!#REF!-50))/((Experiment!#REF!+50)^2+(Experiment!#REF!^2))</f>
        <v>#REF!</v>
      </c>
      <c r="D123" t="e">
        <f t="shared" si="14"/>
        <v>#REF!</v>
      </c>
      <c r="E123" t="e">
        <f t="shared" si="15"/>
        <v>#REF!</v>
      </c>
      <c r="F123" t="e">
        <f t="shared" si="16"/>
        <v>#REF!</v>
      </c>
      <c r="I123" t="e">
        <f>Experiment!#REF!</f>
        <v>#REF!</v>
      </c>
      <c r="J123" t="e">
        <f>((Experiment!#REF!+50)*(Experiment!#REF!-50)+(Experiment!#REF!^2))/((Experiment!#REF!+50)^2+(Experiment!#REF!^2))</f>
        <v>#REF!</v>
      </c>
      <c r="K123" t="e">
        <f>((Experiment!#REF!+50)*Experiment!#REF!-Experiment!#REF!*(Experiment!#REF!-50))/((Experiment!#REF!+50)^2+(Experiment!#REF!^2))</f>
        <v>#REF!</v>
      </c>
      <c r="L123" t="e">
        <f t="shared" si="17"/>
        <v>#REF!</v>
      </c>
      <c r="M123" t="e">
        <f t="shared" si="18"/>
        <v>#REF!</v>
      </c>
      <c r="N123" t="e">
        <f t="shared" si="19"/>
        <v>#REF!</v>
      </c>
      <c r="Q123">
        <f>Experiment!A123</f>
        <v>125000000</v>
      </c>
      <c r="R123">
        <f>((Experiment!D123+50)*(Experiment!D123-50)+(Experiment!E123^2))/((Experiment!D123+50)^2+(Experiment!E123^2))</f>
        <v>0.82333687506419717</v>
      </c>
      <c r="S123">
        <f>((Experiment!D123+50)*Experiment!E123-Experiment!E123*(Experiment!D123-50))/((Experiment!D123+50)^2+(Experiment!E123^2))</f>
        <v>-0.36423556901872389</v>
      </c>
      <c r="T123" t="str">
        <f t="shared" si="20"/>
        <v>0.823336875064197-0.364235569018724i</v>
      </c>
      <c r="U123">
        <f t="shared" si="25"/>
        <v>0.90030614769581074</v>
      </c>
      <c r="V123">
        <f t="shared" si="21"/>
        <v>0.91219568574123655</v>
      </c>
      <c r="Y123" t="e">
        <f>Experiment!#REF!</f>
        <v>#REF!</v>
      </c>
      <c r="Z123" t="e">
        <f>((Experiment!#REF!+50)*(Experiment!#REF!-50)+(Experiment!#REF!^2))/((Experiment!#REF!+50)^2+(Experiment!#REF!^2))</f>
        <v>#REF!</v>
      </c>
      <c r="AA123" t="e">
        <f>((Experiment!#REF!+50)*Experiment!#REF!-Experiment!#REF!*(Experiment!#REF!-50))/((Experiment!#REF!+50)^2+(Experiment!#REF!^2))</f>
        <v>#REF!</v>
      </c>
      <c r="AB123" t="e">
        <f t="shared" si="22"/>
        <v>#REF!</v>
      </c>
      <c r="AC123" t="e">
        <f t="shared" si="23"/>
        <v>#REF!</v>
      </c>
      <c r="AD123" t="e">
        <f t="shared" si="24"/>
        <v>#REF!</v>
      </c>
    </row>
    <row r="124" spans="1:30" x14ac:dyDescent="0.15">
      <c r="A124" t="e">
        <f>Experiment!#REF!</f>
        <v>#REF!</v>
      </c>
      <c r="B124" t="e">
        <f>((Experiment!#REF!+50)*(Experiment!#REF!-50)+(Experiment!#REF!^2))/((Experiment!#REF!+50)^2+(Experiment!#REF!^2))</f>
        <v>#REF!</v>
      </c>
      <c r="C124" t="e">
        <f>((Experiment!#REF!+50)*Experiment!#REF!-Experiment!#REF!*(Experiment!#REF!-50))/((Experiment!#REF!+50)^2+(Experiment!#REF!^2))</f>
        <v>#REF!</v>
      </c>
      <c r="D124" t="e">
        <f t="shared" si="14"/>
        <v>#REF!</v>
      </c>
      <c r="E124" t="e">
        <f t="shared" si="15"/>
        <v>#REF!</v>
      </c>
      <c r="F124" t="e">
        <f t="shared" si="16"/>
        <v>#REF!</v>
      </c>
      <c r="I124" t="e">
        <f>Experiment!#REF!</f>
        <v>#REF!</v>
      </c>
      <c r="J124" t="e">
        <f>((Experiment!#REF!+50)*(Experiment!#REF!-50)+(Experiment!#REF!^2))/((Experiment!#REF!+50)^2+(Experiment!#REF!^2))</f>
        <v>#REF!</v>
      </c>
      <c r="K124" t="e">
        <f>((Experiment!#REF!+50)*Experiment!#REF!-Experiment!#REF!*(Experiment!#REF!-50))/((Experiment!#REF!+50)^2+(Experiment!#REF!^2))</f>
        <v>#REF!</v>
      </c>
      <c r="L124" t="e">
        <f t="shared" si="17"/>
        <v>#REF!</v>
      </c>
      <c r="M124" t="e">
        <f t="shared" si="18"/>
        <v>#REF!</v>
      </c>
      <c r="N124" t="e">
        <f t="shared" si="19"/>
        <v>#REF!</v>
      </c>
      <c r="Q124">
        <f>Experiment!A124</f>
        <v>130100000</v>
      </c>
      <c r="R124">
        <f>((Experiment!D124+50)*(Experiment!D124-50)+(Experiment!E124^2))/((Experiment!D124+50)^2+(Experiment!E124^2))</f>
        <v>0.81760761481071087</v>
      </c>
      <c r="S124">
        <f>((Experiment!D124+50)*Experiment!E124-Experiment!E124*(Experiment!D124-50))/((Experiment!D124+50)^2+(Experiment!E124^2))</f>
        <v>-0.3780216316857794</v>
      </c>
      <c r="T124" t="str">
        <f t="shared" si="20"/>
        <v>0.817607614810711-0.378021631685779i</v>
      </c>
      <c r="U124">
        <f t="shared" si="25"/>
        <v>0.90076776464238484</v>
      </c>
      <c r="V124">
        <f t="shared" si="21"/>
        <v>0.90774328219096356</v>
      </c>
      <c r="Y124" t="e">
        <f>Experiment!#REF!</f>
        <v>#REF!</v>
      </c>
      <c r="Z124" t="e">
        <f>((Experiment!#REF!+50)*(Experiment!#REF!-50)+(Experiment!#REF!^2))/((Experiment!#REF!+50)^2+(Experiment!#REF!^2))</f>
        <v>#REF!</v>
      </c>
      <c r="AA124" t="e">
        <f>((Experiment!#REF!+50)*Experiment!#REF!-Experiment!#REF!*(Experiment!#REF!-50))/((Experiment!#REF!+50)^2+(Experiment!#REF!^2))</f>
        <v>#REF!</v>
      </c>
      <c r="AB124" t="e">
        <f t="shared" si="22"/>
        <v>#REF!</v>
      </c>
      <c r="AC124" t="e">
        <f t="shared" si="23"/>
        <v>#REF!</v>
      </c>
      <c r="AD124" t="e">
        <f t="shared" si="24"/>
        <v>#REF!</v>
      </c>
    </row>
    <row r="125" spans="1:30" x14ac:dyDescent="0.15">
      <c r="A125" t="e">
        <f>Experiment!#REF!</f>
        <v>#REF!</v>
      </c>
      <c r="B125" t="e">
        <f>((Experiment!#REF!+50)*(Experiment!#REF!-50)+(Experiment!#REF!^2))/((Experiment!#REF!+50)^2+(Experiment!#REF!^2))</f>
        <v>#REF!</v>
      </c>
      <c r="C125" t="e">
        <f>((Experiment!#REF!+50)*Experiment!#REF!-Experiment!#REF!*(Experiment!#REF!-50))/((Experiment!#REF!+50)^2+(Experiment!#REF!^2))</f>
        <v>#REF!</v>
      </c>
      <c r="D125" t="e">
        <f t="shared" si="14"/>
        <v>#REF!</v>
      </c>
      <c r="E125" t="e">
        <f t="shared" si="15"/>
        <v>#REF!</v>
      </c>
      <c r="F125" t="e">
        <f t="shared" si="16"/>
        <v>#REF!</v>
      </c>
      <c r="I125" t="e">
        <f>Experiment!#REF!</f>
        <v>#REF!</v>
      </c>
      <c r="J125" t="e">
        <f>((Experiment!#REF!+50)*(Experiment!#REF!-50)+(Experiment!#REF!^2))/((Experiment!#REF!+50)^2+(Experiment!#REF!^2))</f>
        <v>#REF!</v>
      </c>
      <c r="K125" t="e">
        <f>((Experiment!#REF!+50)*Experiment!#REF!-Experiment!#REF!*(Experiment!#REF!-50))/((Experiment!#REF!+50)^2+(Experiment!#REF!^2))</f>
        <v>#REF!</v>
      </c>
      <c r="L125" t="e">
        <f t="shared" si="17"/>
        <v>#REF!</v>
      </c>
      <c r="M125" t="e">
        <f t="shared" si="18"/>
        <v>#REF!</v>
      </c>
      <c r="N125" t="e">
        <f t="shared" si="19"/>
        <v>#REF!</v>
      </c>
      <c r="Q125">
        <f>Experiment!A125</f>
        <v>135400000</v>
      </c>
      <c r="R125">
        <f>((Experiment!D125+50)*(Experiment!D125-50)+(Experiment!E125^2))/((Experiment!D125+50)^2+(Experiment!E125^2))</f>
        <v>0.81145411786546351</v>
      </c>
      <c r="S125">
        <f>((Experiment!D125+50)*Experiment!E125-Experiment!E125*(Experiment!D125-50))/((Experiment!D125+50)^2+(Experiment!E125^2))</f>
        <v>-0.39149196800688318</v>
      </c>
      <c r="T125" t="str">
        <f t="shared" si="20"/>
        <v>0.811454117865464-0.391491968006883i</v>
      </c>
      <c r="U125">
        <f t="shared" si="25"/>
        <v>0.90095712795599769</v>
      </c>
      <c r="V125">
        <f t="shared" si="21"/>
        <v>0.90591748863463006</v>
      </c>
      <c r="Y125" t="e">
        <f>Experiment!#REF!</f>
        <v>#REF!</v>
      </c>
      <c r="Z125" t="e">
        <f>((Experiment!#REF!+50)*(Experiment!#REF!-50)+(Experiment!#REF!^2))/((Experiment!#REF!+50)^2+(Experiment!#REF!^2))</f>
        <v>#REF!</v>
      </c>
      <c r="AA125" t="e">
        <f>((Experiment!#REF!+50)*Experiment!#REF!-Experiment!#REF!*(Experiment!#REF!-50))/((Experiment!#REF!+50)^2+(Experiment!#REF!^2))</f>
        <v>#REF!</v>
      </c>
      <c r="AB125" t="e">
        <f t="shared" si="22"/>
        <v>#REF!</v>
      </c>
      <c r="AC125" t="e">
        <f t="shared" si="23"/>
        <v>#REF!</v>
      </c>
      <c r="AD125" t="e">
        <f t="shared" si="24"/>
        <v>#REF!</v>
      </c>
    </row>
    <row r="126" spans="1:30" x14ac:dyDescent="0.15">
      <c r="A126" t="e">
        <f>Experiment!#REF!</f>
        <v>#REF!</v>
      </c>
      <c r="B126" t="e">
        <f>((Experiment!#REF!+50)*(Experiment!#REF!-50)+(Experiment!#REF!^2))/((Experiment!#REF!+50)^2+(Experiment!#REF!^2))</f>
        <v>#REF!</v>
      </c>
      <c r="C126" t="e">
        <f>((Experiment!#REF!+50)*Experiment!#REF!-Experiment!#REF!*(Experiment!#REF!-50))/((Experiment!#REF!+50)^2+(Experiment!#REF!^2))</f>
        <v>#REF!</v>
      </c>
      <c r="D126" t="e">
        <f t="shared" si="14"/>
        <v>#REF!</v>
      </c>
      <c r="E126" t="e">
        <f t="shared" si="15"/>
        <v>#REF!</v>
      </c>
      <c r="F126" t="e">
        <f t="shared" si="16"/>
        <v>#REF!</v>
      </c>
      <c r="I126" t="e">
        <f>Experiment!#REF!</f>
        <v>#REF!</v>
      </c>
      <c r="J126" t="e">
        <f>((Experiment!#REF!+50)*(Experiment!#REF!-50)+(Experiment!#REF!^2))/((Experiment!#REF!+50)^2+(Experiment!#REF!^2))</f>
        <v>#REF!</v>
      </c>
      <c r="K126" t="e">
        <f>((Experiment!#REF!+50)*Experiment!#REF!-Experiment!#REF!*(Experiment!#REF!-50))/((Experiment!#REF!+50)^2+(Experiment!#REF!^2))</f>
        <v>#REF!</v>
      </c>
      <c r="L126" t="e">
        <f t="shared" si="17"/>
        <v>#REF!</v>
      </c>
      <c r="M126" t="e">
        <f t="shared" si="18"/>
        <v>#REF!</v>
      </c>
      <c r="N126" t="e">
        <f t="shared" si="19"/>
        <v>#REF!</v>
      </c>
      <c r="Q126">
        <f>Experiment!A126</f>
        <v>141000000</v>
      </c>
      <c r="R126">
        <f>((Experiment!D126+50)*(Experiment!D126-50)+(Experiment!E126^2))/((Experiment!D126+50)^2+(Experiment!E126^2))</f>
        <v>0.80480329029819175</v>
      </c>
      <c r="S126">
        <f>((Experiment!D126+50)*Experiment!E126-Experiment!E126*(Experiment!D126-50))/((Experiment!D126+50)^2+(Experiment!E126^2))</f>
        <v>-0.4057964235021092</v>
      </c>
      <c r="T126" t="str">
        <f t="shared" si="20"/>
        <v>0.804803290298192-0.405796423502109i</v>
      </c>
      <c r="U126">
        <f t="shared" si="25"/>
        <v>0.90132073836226501</v>
      </c>
      <c r="V126">
        <f t="shared" si="21"/>
        <v>0.90241272395659256</v>
      </c>
      <c r="Y126" t="e">
        <f>Experiment!#REF!</f>
        <v>#REF!</v>
      </c>
      <c r="Z126" t="e">
        <f>((Experiment!#REF!+50)*(Experiment!#REF!-50)+(Experiment!#REF!^2))/((Experiment!#REF!+50)^2+(Experiment!#REF!^2))</f>
        <v>#REF!</v>
      </c>
      <c r="AA126" t="e">
        <f>((Experiment!#REF!+50)*Experiment!#REF!-Experiment!#REF!*(Experiment!#REF!-50))/((Experiment!#REF!+50)^2+(Experiment!#REF!^2))</f>
        <v>#REF!</v>
      </c>
      <c r="AB126" t="e">
        <f t="shared" si="22"/>
        <v>#REF!</v>
      </c>
      <c r="AC126" t="e">
        <f t="shared" si="23"/>
        <v>#REF!</v>
      </c>
      <c r="AD126" t="e">
        <f t="shared" si="24"/>
        <v>#REF!</v>
      </c>
    </row>
    <row r="127" spans="1:30" x14ac:dyDescent="0.15">
      <c r="A127" t="e">
        <f>Experiment!#REF!</f>
        <v>#REF!</v>
      </c>
      <c r="B127" t="e">
        <f>((Experiment!#REF!+50)*(Experiment!#REF!-50)+(Experiment!#REF!^2))/((Experiment!#REF!+50)^2+(Experiment!#REF!^2))</f>
        <v>#REF!</v>
      </c>
      <c r="C127" t="e">
        <f>((Experiment!#REF!+50)*Experiment!#REF!-Experiment!#REF!*(Experiment!#REF!-50))/((Experiment!#REF!+50)^2+(Experiment!#REF!^2))</f>
        <v>#REF!</v>
      </c>
      <c r="D127" t="e">
        <f t="shared" si="14"/>
        <v>#REF!</v>
      </c>
      <c r="E127" t="e">
        <f t="shared" si="15"/>
        <v>#REF!</v>
      </c>
      <c r="F127" t="e">
        <f t="shared" si="16"/>
        <v>#REF!</v>
      </c>
      <c r="I127" t="e">
        <f>Experiment!#REF!</f>
        <v>#REF!</v>
      </c>
      <c r="J127" t="e">
        <f>((Experiment!#REF!+50)*(Experiment!#REF!-50)+(Experiment!#REF!^2))/((Experiment!#REF!+50)^2+(Experiment!#REF!^2))</f>
        <v>#REF!</v>
      </c>
      <c r="K127" t="e">
        <f>((Experiment!#REF!+50)*Experiment!#REF!-Experiment!#REF!*(Experiment!#REF!-50))/((Experiment!#REF!+50)^2+(Experiment!#REF!^2))</f>
        <v>#REF!</v>
      </c>
      <c r="L127" t="e">
        <f t="shared" si="17"/>
        <v>#REF!</v>
      </c>
      <c r="M127" t="e">
        <f t="shared" si="18"/>
        <v>#REF!</v>
      </c>
      <c r="N127" t="e">
        <f t="shared" si="19"/>
        <v>#REF!</v>
      </c>
      <c r="Q127">
        <f>Experiment!A127</f>
        <v>146800000</v>
      </c>
      <c r="R127">
        <f>((Experiment!D127+50)*(Experiment!D127-50)+(Experiment!E127^2))/((Experiment!D127+50)^2+(Experiment!E127^2))</f>
        <v>0.79765365518806242</v>
      </c>
      <c r="S127">
        <f>((Experiment!D127+50)*Experiment!E127-Experiment!E127*(Experiment!D127-50))/((Experiment!D127+50)^2+(Experiment!E127^2))</f>
        <v>-0.42029304269711698</v>
      </c>
      <c r="T127" t="str">
        <f t="shared" si="20"/>
        <v>0.797653655188062-0.420293042697117i</v>
      </c>
      <c r="U127">
        <f t="shared" si="25"/>
        <v>0.90160833812386465</v>
      </c>
      <c r="V127">
        <f t="shared" si="21"/>
        <v>0.89964161127894293</v>
      </c>
      <c r="Y127" t="e">
        <f>Experiment!#REF!</f>
        <v>#REF!</v>
      </c>
      <c r="Z127" t="e">
        <f>((Experiment!#REF!+50)*(Experiment!#REF!-50)+(Experiment!#REF!^2))/((Experiment!#REF!+50)^2+(Experiment!#REF!^2))</f>
        <v>#REF!</v>
      </c>
      <c r="AA127" t="e">
        <f>((Experiment!#REF!+50)*Experiment!#REF!-Experiment!#REF!*(Experiment!#REF!-50))/((Experiment!#REF!+50)^2+(Experiment!#REF!^2))</f>
        <v>#REF!</v>
      </c>
      <c r="AB127" t="e">
        <f t="shared" si="22"/>
        <v>#REF!</v>
      </c>
      <c r="AC127" t="e">
        <f t="shared" si="23"/>
        <v>#REF!</v>
      </c>
      <c r="AD127" t="e">
        <f t="shared" si="24"/>
        <v>#REF!</v>
      </c>
    </row>
    <row r="128" spans="1:30" x14ac:dyDescent="0.15">
      <c r="A128" t="e">
        <f>Experiment!#REF!</f>
        <v>#REF!</v>
      </c>
      <c r="B128" t="e">
        <f>((Experiment!#REF!+50)*(Experiment!#REF!-50)+(Experiment!#REF!^2))/((Experiment!#REF!+50)^2+(Experiment!#REF!^2))</f>
        <v>#REF!</v>
      </c>
      <c r="C128" t="e">
        <f>((Experiment!#REF!+50)*Experiment!#REF!-Experiment!#REF!*(Experiment!#REF!-50))/((Experiment!#REF!+50)^2+(Experiment!#REF!^2))</f>
        <v>#REF!</v>
      </c>
      <c r="D128" t="e">
        <f t="shared" si="14"/>
        <v>#REF!</v>
      </c>
      <c r="E128" t="e">
        <f t="shared" si="15"/>
        <v>#REF!</v>
      </c>
      <c r="F128" t="e">
        <f t="shared" si="16"/>
        <v>#REF!</v>
      </c>
      <c r="I128" t="e">
        <f>Experiment!#REF!</f>
        <v>#REF!</v>
      </c>
      <c r="J128" t="e">
        <f>((Experiment!#REF!+50)*(Experiment!#REF!-50)+(Experiment!#REF!^2))/((Experiment!#REF!+50)^2+(Experiment!#REF!^2))</f>
        <v>#REF!</v>
      </c>
      <c r="K128" t="e">
        <f>((Experiment!#REF!+50)*Experiment!#REF!-Experiment!#REF!*(Experiment!#REF!-50))/((Experiment!#REF!+50)^2+(Experiment!#REF!^2))</f>
        <v>#REF!</v>
      </c>
      <c r="L128" t="e">
        <f t="shared" si="17"/>
        <v>#REF!</v>
      </c>
      <c r="M128" t="e">
        <f t="shared" si="18"/>
        <v>#REF!</v>
      </c>
      <c r="N128" t="e">
        <f t="shared" si="19"/>
        <v>#REF!</v>
      </c>
      <c r="Q128">
        <f>Experiment!A128</f>
        <v>152800000</v>
      </c>
      <c r="R128">
        <f>((Experiment!D128+50)*(Experiment!D128-50)+(Experiment!E128^2))/((Experiment!D128+50)^2+(Experiment!E128^2))</f>
        <v>0.79000953930271145</v>
      </c>
      <c r="S128">
        <f>((Experiment!D128+50)*Experiment!E128-Experiment!E128*(Experiment!D128-50))/((Experiment!D128+50)^2+(Experiment!E128^2))</f>
        <v>-0.43503537770627881</v>
      </c>
      <c r="T128" t="str">
        <f t="shared" si="20"/>
        <v>0.790009539302711-0.435035377706279i</v>
      </c>
      <c r="U128">
        <f t="shared" si="25"/>
        <v>0.90187075129717287</v>
      </c>
      <c r="V128">
        <f t="shared" si="21"/>
        <v>0.8971139502792842</v>
      </c>
      <c r="Y128" t="e">
        <f>Experiment!#REF!</f>
        <v>#REF!</v>
      </c>
      <c r="Z128" t="e">
        <f>((Experiment!#REF!+50)*(Experiment!#REF!-50)+(Experiment!#REF!^2))/((Experiment!#REF!+50)^2+(Experiment!#REF!^2))</f>
        <v>#REF!</v>
      </c>
      <c r="AA128" t="e">
        <f>((Experiment!#REF!+50)*Experiment!#REF!-Experiment!#REF!*(Experiment!#REF!-50))/((Experiment!#REF!+50)^2+(Experiment!#REF!^2))</f>
        <v>#REF!</v>
      </c>
      <c r="AB128" t="e">
        <f t="shared" si="22"/>
        <v>#REF!</v>
      </c>
      <c r="AC128" t="e">
        <f t="shared" si="23"/>
        <v>#REF!</v>
      </c>
      <c r="AD128" t="e">
        <f t="shared" si="24"/>
        <v>#REF!</v>
      </c>
    </row>
    <row r="129" spans="1:30" x14ac:dyDescent="0.15">
      <c r="A129" t="e">
        <f>Experiment!#REF!</f>
        <v>#REF!</v>
      </c>
      <c r="B129" t="e">
        <f>((Experiment!#REF!+50)*(Experiment!#REF!-50)+(Experiment!#REF!^2))/((Experiment!#REF!+50)^2+(Experiment!#REF!^2))</f>
        <v>#REF!</v>
      </c>
      <c r="C129" t="e">
        <f>((Experiment!#REF!+50)*Experiment!#REF!-Experiment!#REF!*(Experiment!#REF!-50))/((Experiment!#REF!+50)^2+(Experiment!#REF!^2))</f>
        <v>#REF!</v>
      </c>
      <c r="D129" t="e">
        <f t="shared" si="14"/>
        <v>#REF!</v>
      </c>
      <c r="E129" t="e">
        <f t="shared" si="15"/>
        <v>#REF!</v>
      </c>
      <c r="F129" t="e">
        <f t="shared" si="16"/>
        <v>#REF!</v>
      </c>
      <c r="I129" t="e">
        <f>Experiment!#REF!</f>
        <v>#REF!</v>
      </c>
      <c r="J129" t="e">
        <f>((Experiment!#REF!+50)*(Experiment!#REF!-50)+(Experiment!#REF!^2))/((Experiment!#REF!+50)^2+(Experiment!#REF!^2))</f>
        <v>#REF!</v>
      </c>
      <c r="K129" t="e">
        <f>((Experiment!#REF!+50)*Experiment!#REF!-Experiment!#REF!*(Experiment!#REF!-50))/((Experiment!#REF!+50)^2+(Experiment!#REF!^2))</f>
        <v>#REF!</v>
      </c>
      <c r="L129" t="e">
        <f t="shared" si="17"/>
        <v>#REF!</v>
      </c>
      <c r="M129" t="e">
        <f t="shared" si="18"/>
        <v>#REF!</v>
      </c>
      <c r="N129" t="e">
        <f t="shared" si="19"/>
        <v>#REF!</v>
      </c>
      <c r="Q129">
        <f>Experiment!A129</f>
        <v>159100000</v>
      </c>
      <c r="R129">
        <f>((Experiment!D129+50)*(Experiment!D129-50)+(Experiment!E129^2))/((Experiment!D129+50)^2+(Experiment!E129^2))</f>
        <v>0.78182640081164057</v>
      </c>
      <c r="S129">
        <f>((Experiment!D129+50)*Experiment!E129-Experiment!E129*(Experiment!D129-50))/((Experiment!D129+50)^2+(Experiment!E129^2))</f>
        <v>-0.45032405020862437</v>
      </c>
      <c r="T129" t="str">
        <f t="shared" si="20"/>
        <v>0.781826400811641-0.450324050208624i</v>
      </c>
      <c r="U129">
        <f t="shared" si="25"/>
        <v>0.90224401976537572</v>
      </c>
      <c r="V129">
        <f t="shared" si="21"/>
        <v>0.89351975680728846</v>
      </c>
      <c r="Y129" t="e">
        <f>Experiment!#REF!</f>
        <v>#REF!</v>
      </c>
      <c r="Z129" t="e">
        <f>((Experiment!#REF!+50)*(Experiment!#REF!-50)+(Experiment!#REF!^2))/((Experiment!#REF!+50)^2+(Experiment!#REF!^2))</f>
        <v>#REF!</v>
      </c>
      <c r="AA129" t="e">
        <f>((Experiment!#REF!+50)*Experiment!#REF!-Experiment!#REF!*(Experiment!#REF!-50))/((Experiment!#REF!+50)^2+(Experiment!#REF!^2))</f>
        <v>#REF!</v>
      </c>
      <c r="AB129" t="e">
        <f t="shared" si="22"/>
        <v>#REF!</v>
      </c>
      <c r="AC129" t="e">
        <f t="shared" si="23"/>
        <v>#REF!</v>
      </c>
      <c r="AD129" t="e">
        <f t="shared" si="24"/>
        <v>#REF!</v>
      </c>
    </row>
    <row r="130" spans="1:30" x14ac:dyDescent="0.15">
      <c r="A130" t="e">
        <f>Experiment!#REF!</f>
        <v>#REF!</v>
      </c>
      <c r="B130" t="e">
        <f>((Experiment!#REF!+50)*(Experiment!#REF!-50)+(Experiment!#REF!^2))/((Experiment!#REF!+50)^2+(Experiment!#REF!^2))</f>
        <v>#REF!</v>
      </c>
      <c r="C130" t="e">
        <f>((Experiment!#REF!+50)*Experiment!#REF!-Experiment!#REF!*(Experiment!#REF!-50))/((Experiment!#REF!+50)^2+(Experiment!#REF!^2))</f>
        <v>#REF!</v>
      </c>
      <c r="D130" t="e">
        <f t="shared" si="14"/>
        <v>#REF!</v>
      </c>
      <c r="E130" t="e">
        <f t="shared" si="15"/>
        <v>#REF!</v>
      </c>
      <c r="F130" t="e">
        <f t="shared" si="16"/>
        <v>#REF!</v>
      </c>
      <c r="I130" t="e">
        <f>Experiment!#REF!</f>
        <v>#REF!</v>
      </c>
      <c r="J130" t="e">
        <f>((Experiment!#REF!+50)*(Experiment!#REF!-50)+(Experiment!#REF!^2))/((Experiment!#REF!+50)^2+(Experiment!#REF!^2))</f>
        <v>#REF!</v>
      </c>
      <c r="K130" t="e">
        <f>((Experiment!#REF!+50)*Experiment!#REF!-Experiment!#REF!*(Experiment!#REF!-50))/((Experiment!#REF!+50)^2+(Experiment!#REF!^2))</f>
        <v>#REF!</v>
      </c>
      <c r="L130" t="e">
        <f t="shared" si="17"/>
        <v>#REF!</v>
      </c>
      <c r="M130" t="e">
        <f t="shared" si="18"/>
        <v>#REF!</v>
      </c>
      <c r="N130" t="e">
        <f t="shared" si="19"/>
        <v>#REF!</v>
      </c>
      <c r="Q130">
        <f>Experiment!A130</f>
        <v>165600000</v>
      </c>
      <c r="R130">
        <f>((Experiment!D130+50)*(Experiment!D130-50)+(Experiment!E130^2))/((Experiment!D130+50)^2+(Experiment!E130^2))</f>
        <v>0.77305208168950756</v>
      </c>
      <c r="S130">
        <f>((Experiment!D130+50)*Experiment!E130-Experiment!E130*(Experiment!D130-50))/((Experiment!D130+50)^2+(Experiment!E130^2))</f>
        <v>-0.46587172782235797</v>
      </c>
      <c r="T130" t="str">
        <f t="shared" si="20"/>
        <v>0.773052081689508-0.465871727822358i</v>
      </c>
      <c r="U130">
        <f t="shared" si="25"/>
        <v>0.90257741373727618</v>
      </c>
      <c r="V130">
        <f t="shared" si="21"/>
        <v>0.89031077089310684</v>
      </c>
      <c r="Y130" t="e">
        <f>Experiment!#REF!</f>
        <v>#REF!</v>
      </c>
      <c r="Z130" t="e">
        <f>((Experiment!#REF!+50)*(Experiment!#REF!-50)+(Experiment!#REF!^2))/((Experiment!#REF!+50)^2+(Experiment!#REF!^2))</f>
        <v>#REF!</v>
      </c>
      <c r="AA130" t="e">
        <f>((Experiment!#REF!+50)*Experiment!#REF!-Experiment!#REF!*(Experiment!#REF!-50))/((Experiment!#REF!+50)^2+(Experiment!#REF!^2))</f>
        <v>#REF!</v>
      </c>
      <c r="AB130" t="e">
        <f t="shared" si="22"/>
        <v>#REF!</v>
      </c>
      <c r="AC130" t="e">
        <f t="shared" si="23"/>
        <v>#REF!</v>
      </c>
      <c r="AD130" t="e">
        <f t="shared" si="24"/>
        <v>#REF!</v>
      </c>
    </row>
    <row r="131" spans="1:30" x14ac:dyDescent="0.15">
      <c r="A131" t="e">
        <f>Experiment!#REF!</f>
        <v>#REF!</v>
      </c>
      <c r="B131" t="e">
        <f>((Experiment!#REF!+50)*(Experiment!#REF!-50)+(Experiment!#REF!^2))/((Experiment!#REF!+50)^2+(Experiment!#REF!^2))</f>
        <v>#REF!</v>
      </c>
      <c r="C131" t="e">
        <f>((Experiment!#REF!+50)*Experiment!#REF!-Experiment!#REF!*(Experiment!#REF!-50))/((Experiment!#REF!+50)^2+(Experiment!#REF!^2))</f>
        <v>#REF!</v>
      </c>
      <c r="D131" t="e">
        <f t="shared" si="14"/>
        <v>#REF!</v>
      </c>
      <c r="E131" t="e">
        <f t="shared" si="15"/>
        <v>#REF!</v>
      </c>
      <c r="F131" t="e">
        <f t="shared" si="16"/>
        <v>#REF!</v>
      </c>
      <c r="I131" t="e">
        <f>Experiment!#REF!</f>
        <v>#REF!</v>
      </c>
      <c r="J131" t="e">
        <f>((Experiment!#REF!+50)*(Experiment!#REF!-50)+(Experiment!#REF!^2))/((Experiment!#REF!+50)^2+(Experiment!#REF!^2))</f>
        <v>#REF!</v>
      </c>
      <c r="K131" t="e">
        <f>((Experiment!#REF!+50)*Experiment!#REF!-Experiment!#REF!*(Experiment!#REF!-50))/((Experiment!#REF!+50)^2+(Experiment!#REF!^2))</f>
        <v>#REF!</v>
      </c>
      <c r="L131" t="e">
        <f t="shared" si="17"/>
        <v>#REF!</v>
      </c>
      <c r="M131" t="e">
        <f t="shared" si="18"/>
        <v>#REF!</v>
      </c>
      <c r="N131" t="e">
        <f t="shared" si="19"/>
        <v>#REF!</v>
      </c>
      <c r="Q131">
        <f>Experiment!A131</f>
        <v>172400000</v>
      </c>
      <c r="R131">
        <f>((Experiment!D131+50)*(Experiment!D131-50)+(Experiment!E131^2))/((Experiment!D131+50)^2+(Experiment!E131^2))</f>
        <v>0.76391171972559835</v>
      </c>
      <c r="S131">
        <f>((Experiment!D131+50)*Experiment!E131-Experiment!E131*(Experiment!D131-50))/((Experiment!D131+50)^2+(Experiment!E131^2))</f>
        <v>-0.48149396175456805</v>
      </c>
      <c r="T131" t="str">
        <f t="shared" si="20"/>
        <v>0.763911719725598-0.481493961754568i</v>
      </c>
      <c r="U131">
        <f t="shared" ref="U131:U162" si="26">SQRT(R131^2+S131^2)</f>
        <v>0.90299366040976758</v>
      </c>
      <c r="V131">
        <f t="shared" si="21"/>
        <v>0.88630597398946831</v>
      </c>
      <c r="Y131" t="e">
        <f>Experiment!#REF!</f>
        <v>#REF!</v>
      </c>
      <c r="Z131" t="e">
        <f>((Experiment!#REF!+50)*(Experiment!#REF!-50)+(Experiment!#REF!^2))/((Experiment!#REF!+50)^2+(Experiment!#REF!^2))</f>
        <v>#REF!</v>
      </c>
      <c r="AA131" t="e">
        <f>((Experiment!#REF!+50)*Experiment!#REF!-Experiment!#REF!*(Experiment!#REF!-50))/((Experiment!#REF!+50)^2+(Experiment!#REF!^2))</f>
        <v>#REF!</v>
      </c>
      <c r="AB131" t="e">
        <f t="shared" si="22"/>
        <v>#REF!</v>
      </c>
      <c r="AC131" t="e">
        <f t="shared" si="23"/>
        <v>#REF!</v>
      </c>
      <c r="AD131" t="e">
        <f t="shared" si="24"/>
        <v>#REF!</v>
      </c>
    </row>
    <row r="132" spans="1:30" x14ac:dyDescent="0.15">
      <c r="A132" t="e">
        <f>Experiment!#REF!</f>
        <v>#REF!</v>
      </c>
      <c r="B132" t="e">
        <f>((Experiment!#REF!+50)*(Experiment!#REF!-50)+(Experiment!#REF!^2))/((Experiment!#REF!+50)^2+(Experiment!#REF!^2))</f>
        <v>#REF!</v>
      </c>
      <c r="C132" t="e">
        <f>((Experiment!#REF!+50)*Experiment!#REF!-Experiment!#REF!*(Experiment!#REF!-50))/((Experiment!#REF!+50)^2+(Experiment!#REF!^2))</f>
        <v>#REF!</v>
      </c>
      <c r="D132" t="e">
        <f t="shared" ref="D132:D195" si="27">IMSUM(B132,IMPRODUCT(C132,$C$1))</f>
        <v>#REF!</v>
      </c>
      <c r="E132" t="e">
        <f t="shared" ref="E132:E195" si="28">SQRT(B132^2+C132^2)</f>
        <v>#REF!</v>
      </c>
      <c r="F132" t="e">
        <f t="shared" ref="F132:F195" si="29">-20*LOG(ABS(E132))</f>
        <v>#REF!</v>
      </c>
      <c r="I132" t="e">
        <f>Experiment!#REF!</f>
        <v>#REF!</v>
      </c>
      <c r="J132" t="e">
        <f>((Experiment!#REF!+50)*(Experiment!#REF!-50)+(Experiment!#REF!^2))/((Experiment!#REF!+50)^2+(Experiment!#REF!^2))</f>
        <v>#REF!</v>
      </c>
      <c r="K132" t="e">
        <f>((Experiment!#REF!+50)*Experiment!#REF!-Experiment!#REF!*(Experiment!#REF!-50))/((Experiment!#REF!+50)^2+(Experiment!#REF!^2))</f>
        <v>#REF!</v>
      </c>
      <c r="L132" t="e">
        <f t="shared" ref="L132:L195" si="30">IMSUM(J132,IMPRODUCT(K132,$K$1))</f>
        <v>#REF!</v>
      </c>
      <c r="M132" t="e">
        <f t="shared" ref="M132:M195" si="31">SQRT(J132^2+K132^2)</f>
        <v>#REF!</v>
      </c>
      <c r="N132" t="e">
        <f t="shared" ref="N132:N195" si="32">-20*LOG(ABS(M132))</f>
        <v>#REF!</v>
      </c>
      <c r="Q132">
        <f>Experiment!A132</f>
        <v>179500000</v>
      </c>
      <c r="R132">
        <f>((Experiment!D132+50)*(Experiment!D132-50)+(Experiment!E132^2))/((Experiment!D132+50)^2+(Experiment!E132^2))</f>
        <v>0.75388263896336005</v>
      </c>
      <c r="S132">
        <f>((Experiment!D132+50)*Experiment!E132-Experiment!E132*(Experiment!D132-50))/((Experiment!D132+50)^2+(Experiment!E132^2))</f>
        <v>-0.49773880925454067</v>
      </c>
      <c r="T132" t="str">
        <f t="shared" ref="T132:T195" si="33">IMSUM(R132,IMPRODUCT(S132,$S$1))</f>
        <v>0.75388263896336-0.497738809254541i</v>
      </c>
      <c r="U132">
        <f t="shared" si="26"/>
        <v>0.90337309876290195</v>
      </c>
      <c r="V132">
        <f t="shared" ref="V132:V195" si="34">-20*LOG(ABS(U132))</f>
        <v>0.88265692576433674</v>
      </c>
      <c r="Y132" t="e">
        <f>Experiment!#REF!</f>
        <v>#REF!</v>
      </c>
      <c r="Z132" t="e">
        <f>((Experiment!#REF!+50)*(Experiment!#REF!-50)+(Experiment!#REF!^2))/((Experiment!#REF!+50)^2+(Experiment!#REF!^2))</f>
        <v>#REF!</v>
      </c>
      <c r="AA132" t="e">
        <f>((Experiment!#REF!+50)*Experiment!#REF!-Experiment!#REF!*(Experiment!#REF!-50))/((Experiment!#REF!+50)^2+(Experiment!#REF!^2))</f>
        <v>#REF!</v>
      </c>
      <c r="AB132" t="e">
        <f t="shared" ref="AB132:AB195" si="35">IMSUM(Z132,IMPRODUCT(AA132,$AA$1))</f>
        <v>#REF!</v>
      </c>
      <c r="AC132" t="e">
        <f t="shared" ref="AC132:AC195" si="36">SQRT(Z132^2+AA132^2)</f>
        <v>#REF!</v>
      </c>
      <c r="AD132" t="e">
        <f t="shared" ref="AD132:AD195" si="37">-20*LOG(ABS(AC132))</f>
        <v>#REF!</v>
      </c>
    </row>
    <row r="133" spans="1:30" x14ac:dyDescent="0.15">
      <c r="A133" t="e">
        <f>Experiment!#REF!</f>
        <v>#REF!</v>
      </c>
      <c r="B133" t="e">
        <f>((Experiment!#REF!+50)*(Experiment!#REF!-50)+(Experiment!#REF!^2))/((Experiment!#REF!+50)^2+(Experiment!#REF!^2))</f>
        <v>#REF!</v>
      </c>
      <c r="C133" t="e">
        <f>((Experiment!#REF!+50)*Experiment!#REF!-Experiment!#REF!*(Experiment!#REF!-50))/((Experiment!#REF!+50)^2+(Experiment!#REF!^2))</f>
        <v>#REF!</v>
      </c>
      <c r="D133" t="e">
        <f t="shared" si="27"/>
        <v>#REF!</v>
      </c>
      <c r="E133" t="e">
        <f t="shared" si="28"/>
        <v>#REF!</v>
      </c>
      <c r="F133" t="e">
        <f t="shared" si="29"/>
        <v>#REF!</v>
      </c>
      <c r="I133" t="e">
        <f>Experiment!#REF!</f>
        <v>#REF!</v>
      </c>
      <c r="J133" t="e">
        <f>((Experiment!#REF!+50)*(Experiment!#REF!-50)+(Experiment!#REF!^2))/((Experiment!#REF!+50)^2+(Experiment!#REF!^2))</f>
        <v>#REF!</v>
      </c>
      <c r="K133" t="e">
        <f>((Experiment!#REF!+50)*Experiment!#REF!-Experiment!#REF!*(Experiment!#REF!-50))/((Experiment!#REF!+50)^2+(Experiment!#REF!^2))</f>
        <v>#REF!</v>
      </c>
      <c r="L133" t="e">
        <f t="shared" si="30"/>
        <v>#REF!</v>
      </c>
      <c r="M133" t="e">
        <f t="shared" si="31"/>
        <v>#REF!</v>
      </c>
      <c r="N133" t="e">
        <f t="shared" si="32"/>
        <v>#REF!</v>
      </c>
      <c r="Q133">
        <f>Experiment!A133</f>
        <v>186800000</v>
      </c>
      <c r="R133">
        <f>((Experiment!D133+50)*(Experiment!D133-50)+(Experiment!E133^2))/((Experiment!D133+50)^2+(Experiment!E133^2))</f>
        <v>0.74358944589409037</v>
      </c>
      <c r="S133">
        <f>((Experiment!D133+50)*Experiment!E133-Experiment!E133*(Experiment!D133-50))/((Experiment!D133+50)^2+(Experiment!E133^2))</f>
        <v>-0.51392748492039253</v>
      </c>
      <c r="T133" t="str">
        <f t="shared" si="33"/>
        <v>0.74358944589409-0.513927484920393i</v>
      </c>
      <c r="U133">
        <f t="shared" si="26"/>
        <v>0.90390636893523468</v>
      </c>
      <c r="V133">
        <f t="shared" si="34"/>
        <v>0.87753107104029682</v>
      </c>
      <c r="Y133" t="e">
        <f>Experiment!#REF!</f>
        <v>#REF!</v>
      </c>
      <c r="Z133" t="e">
        <f>((Experiment!#REF!+50)*(Experiment!#REF!-50)+(Experiment!#REF!^2))/((Experiment!#REF!+50)^2+(Experiment!#REF!^2))</f>
        <v>#REF!</v>
      </c>
      <c r="AA133" t="e">
        <f>((Experiment!#REF!+50)*Experiment!#REF!-Experiment!#REF!*(Experiment!#REF!-50))/((Experiment!#REF!+50)^2+(Experiment!#REF!^2))</f>
        <v>#REF!</v>
      </c>
      <c r="AB133" t="e">
        <f t="shared" si="35"/>
        <v>#REF!</v>
      </c>
      <c r="AC133" t="e">
        <f t="shared" si="36"/>
        <v>#REF!</v>
      </c>
      <c r="AD133" t="e">
        <f t="shared" si="37"/>
        <v>#REF!</v>
      </c>
    </row>
    <row r="134" spans="1:30" x14ac:dyDescent="0.15">
      <c r="A134" t="e">
        <f>Experiment!#REF!</f>
        <v>#REF!</v>
      </c>
      <c r="B134" t="e">
        <f>((Experiment!#REF!+50)*(Experiment!#REF!-50)+(Experiment!#REF!^2))/((Experiment!#REF!+50)^2+(Experiment!#REF!^2))</f>
        <v>#REF!</v>
      </c>
      <c r="C134" t="e">
        <f>((Experiment!#REF!+50)*Experiment!#REF!-Experiment!#REF!*(Experiment!#REF!-50))/((Experiment!#REF!+50)^2+(Experiment!#REF!^2))</f>
        <v>#REF!</v>
      </c>
      <c r="D134" t="e">
        <f t="shared" si="27"/>
        <v>#REF!</v>
      </c>
      <c r="E134" t="e">
        <f t="shared" si="28"/>
        <v>#REF!</v>
      </c>
      <c r="F134" t="e">
        <f t="shared" si="29"/>
        <v>#REF!</v>
      </c>
      <c r="I134" t="e">
        <f>Experiment!#REF!</f>
        <v>#REF!</v>
      </c>
      <c r="J134" t="e">
        <f>((Experiment!#REF!+50)*(Experiment!#REF!-50)+(Experiment!#REF!^2))/((Experiment!#REF!+50)^2+(Experiment!#REF!^2))</f>
        <v>#REF!</v>
      </c>
      <c r="K134" t="e">
        <f>((Experiment!#REF!+50)*Experiment!#REF!-Experiment!#REF!*(Experiment!#REF!-50))/((Experiment!#REF!+50)^2+(Experiment!#REF!^2))</f>
        <v>#REF!</v>
      </c>
      <c r="L134" t="e">
        <f t="shared" si="30"/>
        <v>#REF!</v>
      </c>
      <c r="M134" t="e">
        <f t="shared" si="31"/>
        <v>#REF!</v>
      </c>
      <c r="N134" t="e">
        <f t="shared" si="32"/>
        <v>#REF!</v>
      </c>
      <c r="Q134">
        <f>Experiment!A134</f>
        <v>194500000</v>
      </c>
      <c r="R134">
        <f>((Experiment!D134+50)*(Experiment!D134-50)+(Experiment!E134^2))/((Experiment!D134+50)^2+(Experiment!E134^2))</f>
        <v>0.73209253382483341</v>
      </c>
      <c r="S134">
        <f>((Experiment!D134+50)*Experiment!E134-Experiment!E134*(Experiment!D134-50))/((Experiment!D134+50)^2+(Experiment!E134^2))</f>
        <v>-0.53062024159288923</v>
      </c>
      <c r="T134" t="str">
        <f t="shared" si="33"/>
        <v>0.732092533824833-0.530620241592889i</v>
      </c>
      <c r="U134">
        <f t="shared" si="26"/>
        <v>0.90416664330761565</v>
      </c>
      <c r="V134">
        <f t="shared" si="34"/>
        <v>0.87503038166058111</v>
      </c>
      <c r="Y134" t="e">
        <f>Experiment!#REF!</f>
        <v>#REF!</v>
      </c>
      <c r="Z134" t="e">
        <f>((Experiment!#REF!+50)*(Experiment!#REF!-50)+(Experiment!#REF!^2))/((Experiment!#REF!+50)^2+(Experiment!#REF!^2))</f>
        <v>#REF!</v>
      </c>
      <c r="AA134" t="e">
        <f>((Experiment!#REF!+50)*Experiment!#REF!-Experiment!#REF!*(Experiment!#REF!-50))/((Experiment!#REF!+50)^2+(Experiment!#REF!^2))</f>
        <v>#REF!</v>
      </c>
      <c r="AB134" t="e">
        <f t="shared" si="35"/>
        <v>#REF!</v>
      </c>
      <c r="AC134" t="e">
        <f t="shared" si="36"/>
        <v>#REF!</v>
      </c>
      <c r="AD134" t="e">
        <f t="shared" si="37"/>
        <v>#REF!</v>
      </c>
    </row>
    <row r="135" spans="1:30" x14ac:dyDescent="0.15">
      <c r="A135" t="e">
        <f>Experiment!#REF!</f>
        <v>#REF!</v>
      </c>
      <c r="B135" t="e">
        <f>((Experiment!#REF!+50)*(Experiment!#REF!-50)+(Experiment!#REF!^2))/((Experiment!#REF!+50)^2+(Experiment!#REF!^2))</f>
        <v>#REF!</v>
      </c>
      <c r="C135" t="e">
        <f>((Experiment!#REF!+50)*Experiment!#REF!-Experiment!#REF!*(Experiment!#REF!-50))/((Experiment!#REF!+50)^2+(Experiment!#REF!^2))</f>
        <v>#REF!</v>
      </c>
      <c r="D135" t="e">
        <f t="shared" si="27"/>
        <v>#REF!</v>
      </c>
      <c r="E135" t="e">
        <f t="shared" si="28"/>
        <v>#REF!</v>
      </c>
      <c r="F135" t="e">
        <f t="shared" si="29"/>
        <v>#REF!</v>
      </c>
      <c r="I135" t="e">
        <f>Experiment!#REF!</f>
        <v>#REF!</v>
      </c>
      <c r="J135" t="e">
        <f>((Experiment!#REF!+50)*(Experiment!#REF!-50)+(Experiment!#REF!^2))/((Experiment!#REF!+50)^2+(Experiment!#REF!^2))</f>
        <v>#REF!</v>
      </c>
      <c r="K135" t="e">
        <f>((Experiment!#REF!+50)*Experiment!#REF!-Experiment!#REF!*(Experiment!#REF!-50))/((Experiment!#REF!+50)^2+(Experiment!#REF!^2))</f>
        <v>#REF!</v>
      </c>
      <c r="L135" t="e">
        <f t="shared" si="30"/>
        <v>#REF!</v>
      </c>
      <c r="M135" t="e">
        <f t="shared" si="31"/>
        <v>#REF!</v>
      </c>
      <c r="N135" t="e">
        <f t="shared" si="32"/>
        <v>#REF!</v>
      </c>
      <c r="Q135">
        <f>Experiment!A135</f>
        <v>202500000</v>
      </c>
      <c r="R135">
        <f>((Experiment!D135+50)*(Experiment!D135-50)+(Experiment!E135^2))/((Experiment!D135+50)^2+(Experiment!E135^2))</f>
        <v>0.72027050967295425</v>
      </c>
      <c r="S135">
        <f>((Experiment!D135+50)*Experiment!E135-Experiment!E135*(Experiment!D135-50))/((Experiment!D135+50)^2+(Experiment!E135^2))</f>
        <v>-0.54715439802737786</v>
      </c>
      <c r="T135" t="str">
        <f t="shared" si="33"/>
        <v>0.720270509672954-0.547154398027378i</v>
      </c>
      <c r="U135">
        <f t="shared" si="26"/>
        <v>0.90452614245539609</v>
      </c>
      <c r="V135">
        <f t="shared" si="34"/>
        <v>0.87157753440172236</v>
      </c>
      <c r="Y135" t="e">
        <f>Experiment!#REF!</f>
        <v>#REF!</v>
      </c>
      <c r="Z135" t="e">
        <f>((Experiment!#REF!+50)*(Experiment!#REF!-50)+(Experiment!#REF!^2))/((Experiment!#REF!+50)^2+(Experiment!#REF!^2))</f>
        <v>#REF!</v>
      </c>
      <c r="AA135" t="e">
        <f>((Experiment!#REF!+50)*Experiment!#REF!-Experiment!#REF!*(Experiment!#REF!-50))/((Experiment!#REF!+50)^2+(Experiment!#REF!^2))</f>
        <v>#REF!</v>
      </c>
      <c r="AB135" t="e">
        <f t="shared" si="35"/>
        <v>#REF!</v>
      </c>
      <c r="AC135" t="e">
        <f t="shared" si="36"/>
        <v>#REF!</v>
      </c>
      <c r="AD135" t="e">
        <f t="shared" si="37"/>
        <v>#REF!</v>
      </c>
    </row>
    <row r="136" spans="1:30" x14ac:dyDescent="0.15">
      <c r="A136" t="e">
        <f>Experiment!#REF!</f>
        <v>#REF!</v>
      </c>
      <c r="B136" t="e">
        <f>((Experiment!#REF!+50)*(Experiment!#REF!-50)+(Experiment!#REF!^2))/((Experiment!#REF!+50)^2+(Experiment!#REF!^2))</f>
        <v>#REF!</v>
      </c>
      <c r="C136" t="e">
        <f>((Experiment!#REF!+50)*Experiment!#REF!-Experiment!#REF!*(Experiment!#REF!-50))/((Experiment!#REF!+50)^2+(Experiment!#REF!^2))</f>
        <v>#REF!</v>
      </c>
      <c r="D136" t="e">
        <f t="shared" si="27"/>
        <v>#REF!</v>
      </c>
      <c r="E136" t="e">
        <f t="shared" si="28"/>
        <v>#REF!</v>
      </c>
      <c r="F136" t="e">
        <f t="shared" si="29"/>
        <v>#REF!</v>
      </c>
      <c r="I136" t="e">
        <f>Experiment!#REF!</f>
        <v>#REF!</v>
      </c>
      <c r="J136" t="e">
        <f>((Experiment!#REF!+50)*(Experiment!#REF!-50)+(Experiment!#REF!^2))/((Experiment!#REF!+50)^2+(Experiment!#REF!^2))</f>
        <v>#REF!</v>
      </c>
      <c r="K136" t="e">
        <f>((Experiment!#REF!+50)*Experiment!#REF!-Experiment!#REF!*(Experiment!#REF!-50))/((Experiment!#REF!+50)^2+(Experiment!#REF!^2))</f>
        <v>#REF!</v>
      </c>
      <c r="L136" t="e">
        <f t="shared" si="30"/>
        <v>#REF!</v>
      </c>
      <c r="M136" t="e">
        <f t="shared" si="31"/>
        <v>#REF!</v>
      </c>
      <c r="N136" t="e">
        <f t="shared" si="32"/>
        <v>#REF!</v>
      </c>
      <c r="Q136">
        <f>Experiment!A136</f>
        <v>210800000</v>
      </c>
      <c r="R136">
        <f>((Experiment!D136+50)*(Experiment!D136-50)+(Experiment!E136^2))/((Experiment!D136+50)^2+(Experiment!E136^2))</f>
        <v>0.70782973858886644</v>
      </c>
      <c r="S136">
        <f>((Experiment!D136+50)*Experiment!E136-Experiment!E136*(Experiment!D136-50))/((Experiment!D136+50)^2+(Experiment!E136^2))</f>
        <v>-0.56398598371764663</v>
      </c>
      <c r="T136" t="str">
        <f t="shared" si="33"/>
        <v>0.707829738588866-0.563985983717647i</v>
      </c>
      <c r="U136">
        <f t="shared" si="26"/>
        <v>0.90504316397658324</v>
      </c>
      <c r="V136">
        <f t="shared" si="34"/>
        <v>0.86661415225352478</v>
      </c>
      <c r="Y136" t="e">
        <f>Experiment!#REF!</f>
        <v>#REF!</v>
      </c>
      <c r="Z136" t="e">
        <f>((Experiment!#REF!+50)*(Experiment!#REF!-50)+(Experiment!#REF!^2))/((Experiment!#REF!+50)^2+(Experiment!#REF!^2))</f>
        <v>#REF!</v>
      </c>
      <c r="AA136" t="e">
        <f>((Experiment!#REF!+50)*Experiment!#REF!-Experiment!#REF!*(Experiment!#REF!-50))/((Experiment!#REF!+50)^2+(Experiment!#REF!^2))</f>
        <v>#REF!</v>
      </c>
      <c r="AB136" t="e">
        <f t="shared" si="35"/>
        <v>#REF!</v>
      </c>
      <c r="AC136" t="e">
        <f t="shared" si="36"/>
        <v>#REF!</v>
      </c>
      <c r="AD136" t="e">
        <f t="shared" si="37"/>
        <v>#REF!</v>
      </c>
    </row>
    <row r="137" spans="1:30" x14ac:dyDescent="0.15">
      <c r="A137" t="e">
        <f>Experiment!#REF!</f>
        <v>#REF!</v>
      </c>
      <c r="B137" t="e">
        <f>((Experiment!#REF!+50)*(Experiment!#REF!-50)+(Experiment!#REF!^2))/((Experiment!#REF!+50)^2+(Experiment!#REF!^2))</f>
        <v>#REF!</v>
      </c>
      <c r="C137" t="e">
        <f>((Experiment!#REF!+50)*Experiment!#REF!-Experiment!#REF!*(Experiment!#REF!-50))/((Experiment!#REF!+50)^2+(Experiment!#REF!^2))</f>
        <v>#REF!</v>
      </c>
      <c r="D137" t="e">
        <f t="shared" si="27"/>
        <v>#REF!</v>
      </c>
      <c r="E137" t="e">
        <f t="shared" si="28"/>
        <v>#REF!</v>
      </c>
      <c r="F137" t="e">
        <f t="shared" si="29"/>
        <v>#REF!</v>
      </c>
      <c r="I137" t="e">
        <f>Experiment!#REF!</f>
        <v>#REF!</v>
      </c>
      <c r="J137" t="e">
        <f>((Experiment!#REF!+50)*(Experiment!#REF!-50)+(Experiment!#REF!^2))/((Experiment!#REF!+50)^2+(Experiment!#REF!^2))</f>
        <v>#REF!</v>
      </c>
      <c r="K137" t="e">
        <f>((Experiment!#REF!+50)*Experiment!#REF!-Experiment!#REF!*(Experiment!#REF!-50))/((Experiment!#REF!+50)^2+(Experiment!#REF!^2))</f>
        <v>#REF!</v>
      </c>
      <c r="L137" t="e">
        <f t="shared" si="30"/>
        <v>#REF!</v>
      </c>
      <c r="M137" t="e">
        <f t="shared" si="31"/>
        <v>#REF!</v>
      </c>
      <c r="N137" t="e">
        <f t="shared" si="32"/>
        <v>#REF!</v>
      </c>
      <c r="Q137">
        <f>Experiment!A137</f>
        <v>219500000</v>
      </c>
      <c r="R137">
        <f>((Experiment!D137+50)*(Experiment!D137-50)+(Experiment!E137^2))/((Experiment!D137+50)^2+(Experiment!E137^2))</f>
        <v>0.69460703267547985</v>
      </c>
      <c r="S137">
        <f>((Experiment!D137+50)*Experiment!E137-Experiment!E137*(Experiment!D137-50))/((Experiment!D137+50)^2+(Experiment!E137^2))</f>
        <v>-0.58135159016787896</v>
      </c>
      <c r="T137" t="str">
        <f t="shared" si="33"/>
        <v>0.69460703267548-0.581351590167879i</v>
      </c>
      <c r="U137">
        <f t="shared" si="26"/>
        <v>0.9057861785393706</v>
      </c>
      <c r="V137">
        <f t="shared" si="34"/>
        <v>0.85948621070485953</v>
      </c>
      <c r="Y137" t="e">
        <f>Experiment!#REF!</f>
        <v>#REF!</v>
      </c>
      <c r="Z137" t="e">
        <f>((Experiment!#REF!+50)*(Experiment!#REF!-50)+(Experiment!#REF!^2))/((Experiment!#REF!+50)^2+(Experiment!#REF!^2))</f>
        <v>#REF!</v>
      </c>
      <c r="AA137" t="e">
        <f>((Experiment!#REF!+50)*Experiment!#REF!-Experiment!#REF!*(Experiment!#REF!-50))/((Experiment!#REF!+50)^2+(Experiment!#REF!^2))</f>
        <v>#REF!</v>
      </c>
      <c r="AB137" t="e">
        <f t="shared" si="35"/>
        <v>#REF!</v>
      </c>
      <c r="AC137" t="e">
        <f t="shared" si="36"/>
        <v>#REF!</v>
      </c>
      <c r="AD137" t="e">
        <f t="shared" si="37"/>
        <v>#REF!</v>
      </c>
    </row>
    <row r="138" spans="1:30" x14ac:dyDescent="0.15">
      <c r="A138" t="e">
        <f>Experiment!#REF!</f>
        <v>#REF!</v>
      </c>
      <c r="B138" t="e">
        <f>((Experiment!#REF!+50)*(Experiment!#REF!-50)+(Experiment!#REF!^2))/((Experiment!#REF!+50)^2+(Experiment!#REF!^2))</f>
        <v>#REF!</v>
      </c>
      <c r="C138" t="e">
        <f>((Experiment!#REF!+50)*Experiment!#REF!-Experiment!#REF!*(Experiment!#REF!-50))/((Experiment!#REF!+50)^2+(Experiment!#REF!^2))</f>
        <v>#REF!</v>
      </c>
      <c r="D138" t="e">
        <f t="shared" si="27"/>
        <v>#REF!</v>
      </c>
      <c r="E138" t="e">
        <f t="shared" si="28"/>
        <v>#REF!</v>
      </c>
      <c r="F138" t="e">
        <f t="shared" si="29"/>
        <v>#REF!</v>
      </c>
      <c r="I138" t="e">
        <f>Experiment!#REF!</f>
        <v>#REF!</v>
      </c>
      <c r="J138" t="e">
        <f>((Experiment!#REF!+50)*(Experiment!#REF!-50)+(Experiment!#REF!^2))/((Experiment!#REF!+50)^2+(Experiment!#REF!^2))</f>
        <v>#REF!</v>
      </c>
      <c r="K138" t="e">
        <f>((Experiment!#REF!+50)*Experiment!#REF!-Experiment!#REF!*(Experiment!#REF!-50))/((Experiment!#REF!+50)^2+(Experiment!#REF!^2))</f>
        <v>#REF!</v>
      </c>
      <c r="L138" t="e">
        <f t="shared" si="30"/>
        <v>#REF!</v>
      </c>
      <c r="M138" t="e">
        <f t="shared" si="31"/>
        <v>#REF!</v>
      </c>
      <c r="N138" t="e">
        <f t="shared" si="32"/>
        <v>#REF!</v>
      </c>
      <c r="Q138">
        <f>Experiment!A138</f>
        <v>228500000</v>
      </c>
      <c r="R138">
        <f>((Experiment!D138+50)*(Experiment!D138-50)+(Experiment!E138^2))/((Experiment!D138+50)^2+(Experiment!E138^2))</f>
        <v>0.6806013020383449</v>
      </c>
      <c r="S138">
        <f>((Experiment!D138+50)*Experiment!E138-Experiment!E138*(Experiment!D138-50))/((Experiment!D138+50)^2+(Experiment!E138^2))</f>
        <v>-0.59844318142429598</v>
      </c>
      <c r="T138" t="str">
        <f t="shared" si="33"/>
        <v>0.680601302038345-0.598443181424296i</v>
      </c>
      <c r="U138">
        <f t="shared" si="26"/>
        <v>0.90628492966038177</v>
      </c>
      <c r="V138">
        <f t="shared" si="34"/>
        <v>0.85470483398762664</v>
      </c>
      <c r="Y138" t="e">
        <f>Experiment!#REF!</f>
        <v>#REF!</v>
      </c>
      <c r="Z138" t="e">
        <f>((Experiment!#REF!+50)*(Experiment!#REF!-50)+(Experiment!#REF!^2))/((Experiment!#REF!+50)^2+(Experiment!#REF!^2))</f>
        <v>#REF!</v>
      </c>
      <c r="AA138" t="e">
        <f>((Experiment!#REF!+50)*Experiment!#REF!-Experiment!#REF!*(Experiment!#REF!-50))/((Experiment!#REF!+50)^2+(Experiment!#REF!^2))</f>
        <v>#REF!</v>
      </c>
      <c r="AB138" t="e">
        <f t="shared" si="35"/>
        <v>#REF!</v>
      </c>
      <c r="AC138" t="e">
        <f t="shared" si="36"/>
        <v>#REF!</v>
      </c>
      <c r="AD138" t="e">
        <f t="shared" si="37"/>
        <v>#REF!</v>
      </c>
    </row>
    <row r="139" spans="1:30" x14ac:dyDescent="0.15">
      <c r="A139" t="e">
        <f>Experiment!#REF!</f>
        <v>#REF!</v>
      </c>
      <c r="B139" t="e">
        <f>((Experiment!#REF!+50)*(Experiment!#REF!-50)+(Experiment!#REF!^2))/((Experiment!#REF!+50)^2+(Experiment!#REF!^2))</f>
        <v>#REF!</v>
      </c>
      <c r="C139" t="e">
        <f>((Experiment!#REF!+50)*Experiment!#REF!-Experiment!#REF!*(Experiment!#REF!-50))/((Experiment!#REF!+50)^2+(Experiment!#REF!^2))</f>
        <v>#REF!</v>
      </c>
      <c r="D139" t="e">
        <f t="shared" si="27"/>
        <v>#REF!</v>
      </c>
      <c r="E139" t="e">
        <f t="shared" si="28"/>
        <v>#REF!</v>
      </c>
      <c r="F139" t="e">
        <f t="shared" si="29"/>
        <v>#REF!</v>
      </c>
      <c r="I139" t="e">
        <f>Experiment!#REF!</f>
        <v>#REF!</v>
      </c>
      <c r="J139" t="e">
        <f>((Experiment!#REF!+50)*(Experiment!#REF!-50)+(Experiment!#REF!^2))/((Experiment!#REF!+50)^2+(Experiment!#REF!^2))</f>
        <v>#REF!</v>
      </c>
      <c r="K139" t="e">
        <f>((Experiment!#REF!+50)*Experiment!#REF!-Experiment!#REF!*(Experiment!#REF!-50))/((Experiment!#REF!+50)^2+(Experiment!#REF!^2))</f>
        <v>#REF!</v>
      </c>
      <c r="L139" t="e">
        <f t="shared" si="30"/>
        <v>#REF!</v>
      </c>
      <c r="M139" t="e">
        <f t="shared" si="31"/>
        <v>#REF!</v>
      </c>
      <c r="N139" t="e">
        <f t="shared" si="32"/>
        <v>#REF!</v>
      </c>
      <c r="Q139">
        <f>Experiment!A139</f>
        <v>237900000</v>
      </c>
      <c r="R139">
        <f>((Experiment!D139+50)*(Experiment!D139-50)+(Experiment!E139^2))/((Experiment!D139+50)^2+(Experiment!E139^2))</f>
        <v>0.66594655211705367</v>
      </c>
      <c r="S139">
        <f>((Experiment!D139+50)*Experiment!E139-Experiment!E139*(Experiment!D139-50))/((Experiment!D139+50)^2+(Experiment!E139^2))</f>
        <v>-0.61543348952067456</v>
      </c>
      <c r="T139" t="str">
        <f t="shared" si="33"/>
        <v>0.665946552117054-0.615433489520675i</v>
      </c>
      <c r="U139">
        <f t="shared" si="26"/>
        <v>0.906776262536788</v>
      </c>
      <c r="V139">
        <f t="shared" si="34"/>
        <v>0.84999714594835341</v>
      </c>
      <c r="Y139" t="e">
        <f>Experiment!#REF!</f>
        <v>#REF!</v>
      </c>
      <c r="Z139" t="e">
        <f>((Experiment!#REF!+50)*(Experiment!#REF!-50)+(Experiment!#REF!^2))/((Experiment!#REF!+50)^2+(Experiment!#REF!^2))</f>
        <v>#REF!</v>
      </c>
      <c r="AA139" t="e">
        <f>((Experiment!#REF!+50)*Experiment!#REF!-Experiment!#REF!*(Experiment!#REF!-50))/((Experiment!#REF!+50)^2+(Experiment!#REF!^2))</f>
        <v>#REF!</v>
      </c>
      <c r="AB139" t="e">
        <f t="shared" si="35"/>
        <v>#REF!</v>
      </c>
      <c r="AC139" t="e">
        <f t="shared" si="36"/>
        <v>#REF!</v>
      </c>
      <c r="AD139" t="e">
        <f t="shared" si="37"/>
        <v>#REF!</v>
      </c>
    </row>
    <row r="140" spans="1:30" x14ac:dyDescent="0.15">
      <c r="A140" t="e">
        <f>Experiment!#REF!</f>
        <v>#REF!</v>
      </c>
      <c r="B140" t="e">
        <f>((Experiment!#REF!+50)*(Experiment!#REF!-50)+(Experiment!#REF!^2))/((Experiment!#REF!+50)^2+(Experiment!#REF!^2))</f>
        <v>#REF!</v>
      </c>
      <c r="C140" t="e">
        <f>((Experiment!#REF!+50)*Experiment!#REF!-Experiment!#REF!*(Experiment!#REF!-50))/((Experiment!#REF!+50)^2+(Experiment!#REF!^2))</f>
        <v>#REF!</v>
      </c>
      <c r="D140" t="e">
        <f t="shared" si="27"/>
        <v>#REF!</v>
      </c>
      <c r="E140" t="e">
        <f t="shared" si="28"/>
        <v>#REF!</v>
      </c>
      <c r="F140" t="e">
        <f t="shared" si="29"/>
        <v>#REF!</v>
      </c>
      <c r="I140" t="e">
        <f>Experiment!#REF!</f>
        <v>#REF!</v>
      </c>
      <c r="J140" t="e">
        <f>((Experiment!#REF!+50)*(Experiment!#REF!-50)+(Experiment!#REF!^2))/((Experiment!#REF!+50)^2+(Experiment!#REF!^2))</f>
        <v>#REF!</v>
      </c>
      <c r="K140" t="e">
        <f>((Experiment!#REF!+50)*Experiment!#REF!-Experiment!#REF!*(Experiment!#REF!-50))/((Experiment!#REF!+50)^2+(Experiment!#REF!^2))</f>
        <v>#REF!</v>
      </c>
      <c r="L140" t="e">
        <f t="shared" si="30"/>
        <v>#REF!</v>
      </c>
      <c r="M140" t="e">
        <f t="shared" si="31"/>
        <v>#REF!</v>
      </c>
      <c r="N140" t="e">
        <f t="shared" si="32"/>
        <v>#REF!</v>
      </c>
      <c r="Q140">
        <f>Experiment!A140</f>
        <v>247600000</v>
      </c>
      <c r="R140">
        <f>((Experiment!D140+50)*(Experiment!D140-50)+(Experiment!E140^2))/((Experiment!D140+50)^2+(Experiment!E140^2))</f>
        <v>0.65051228400105887</v>
      </c>
      <c r="S140">
        <f>((Experiment!D140+50)*Experiment!E140-Experiment!E140*(Experiment!D140-50))/((Experiment!D140+50)^2+(Experiment!E140^2))</f>
        <v>-0.63266346586638189</v>
      </c>
      <c r="T140" t="str">
        <f t="shared" si="33"/>
        <v>0.650512284001059-0.632663465866382i</v>
      </c>
      <c r="U140">
        <f t="shared" si="26"/>
        <v>0.90743004836644947</v>
      </c>
      <c r="V140">
        <f t="shared" si="34"/>
        <v>0.84373687469357184</v>
      </c>
      <c r="Y140" t="e">
        <f>Experiment!#REF!</f>
        <v>#REF!</v>
      </c>
      <c r="Z140" t="e">
        <f>((Experiment!#REF!+50)*(Experiment!#REF!-50)+(Experiment!#REF!^2))/((Experiment!#REF!+50)^2+(Experiment!#REF!^2))</f>
        <v>#REF!</v>
      </c>
      <c r="AA140" t="e">
        <f>((Experiment!#REF!+50)*Experiment!#REF!-Experiment!#REF!*(Experiment!#REF!-50))/((Experiment!#REF!+50)^2+(Experiment!#REF!^2))</f>
        <v>#REF!</v>
      </c>
      <c r="AB140" t="e">
        <f t="shared" si="35"/>
        <v>#REF!</v>
      </c>
      <c r="AC140" t="e">
        <f t="shared" si="36"/>
        <v>#REF!</v>
      </c>
      <c r="AD140" t="e">
        <f t="shared" si="37"/>
        <v>#REF!</v>
      </c>
    </row>
    <row r="141" spans="1:30" x14ac:dyDescent="0.15">
      <c r="A141" t="e">
        <f>Experiment!#REF!</f>
        <v>#REF!</v>
      </c>
      <c r="B141" t="e">
        <f>((Experiment!#REF!+50)*(Experiment!#REF!-50)+(Experiment!#REF!^2))/((Experiment!#REF!+50)^2+(Experiment!#REF!^2))</f>
        <v>#REF!</v>
      </c>
      <c r="C141" t="e">
        <f>((Experiment!#REF!+50)*Experiment!#REF!-Experiment!#REF!*(Experiment!#REF!-50))/((Experiment!#REF!+50)^2+(Experiment!#REF!^2))</f>
        <v>#REF!</v>
      </c>
      <c r="D141" t="e">
        <f t="shared" si="27"/>
        <v>#REF!</v>
      </c>
      <c r="E141" t="e">
        <f t="shared" si="28"/>
        <v>#REF!</v>
      </c>
      <c r="F141" t="e">
        <f t="shared" si="29"/>
        <v>#REF!</v>
      </c>
      <c r="I141" t="e">
        <f>Experiment!#REF!</f>
        <v>#REF!</v>
      </c>
      <c r="J141" t="e">
        <f>((Experiment!#REF!+50)*(Experiment!#REF!-50)+(Experiment!#REF!^2))/((Experiment!#REF!+50)^2+(Experiment!#REF!^2))</f>
        <v>#REF!</v>
      </c>
      <c r="K141" t="e">
        <f>((Experiment!#REF!+50)*Experiment!#REF!-Experiment!#REF!*(Experiment!#REF!-50))/((Experiment!#REF!+50)^2+(Experiment!#REF!^2))</f>
        <v>#REF!</v>
      </c>
      <c r="L141" t="e">
        <f t="shared" si="30"/>
        <v>#REF!</v>
      </c>
      <c r="M141" t="e">
        <f t="shared" si="31"/>
        <v>#REF!</v>
      </c>
      <c r="N141" t="e">
        <f t="shared" si="32"/>
        <v>#REF!</v>
      </c>
      <c r="Q141">
        <f>Experiment!A141</f>
        <v>257800000</v>
      </c>
      <c r="R141">
        <f>((Experiment!D141+50)*(Experiment!D141-50)+(Experiment!E141^2))/((Experiment!D141+50)^2+(Experiment!E141^2))</f>
        <v>0.63419438808457895</v>
      </c>
      <c r="S141">
        <f>((Experiment!D141+50)*Experiment!E141-Experiment!E141*(Experiment!D141-50))/((Experiment!D141+50)^2+(Experiment!E141^2))</f>
        <v>-0.64988789475736608</v>
      </c>
      <c r="T141" t="str">
        <f t="shared" si="33"/>
        <v>0.634194388084579-0.649887894757366i</v>
      </c>
      <c r="U141">
        <f t="shared" si="26"/>
        <v>0.90805109857878308</v>
      </c>
      <c r="V141">
        <f t="shared" si="34"/>
        <v>0.83779423648603701</v>
      </c>
      <c r="Y141" t="e">
        <f>Experiment!#REF!</f>
        <v>#REF!</v>
      </c>
      <c r="Z141" t="e">
        <f>((Experiment!#REF!+50)*(Experiment!#REF!-50)+(Experiment!#REF!^2))/((Experiment!#REF!+50)^2+(Experiment!#REF!^2))</f>
        <v>#REF!</v>
      </c>
      <c r="AA141" t="e">
        <f>((Experiment!#REF!+50)*Experiment!#REF!-Experiment!#REF!*(Experiment!#REF!-50))/((Experiment!#REF!+50)^2+(Experiment!#REF!^2))</f>
        <v>#REF!</v>
      </c>
      <c r="AB141" t="e">
        <f t="shared" si="35"/>
        <v>#REF!</v>
      </c>
      <c r="AC141" t="e">
        <f t="shared" si="36"/>
        <v>#REF!</v>
      </c>
      <c r="AD141" t="e">
        <f t="shared" si="37"/>
        <v>#REF!</v>
      </c>
    </row>
    <row r="142" spans="1:30" x14ac:dyDescent="0.15">
      <c r="A142" t="e">
        <f>Experiment!#REF!</f>
        <v>#REF!</v>
      </c>
      <c r="B142" t="e">
        <f>((Experiment!#REF!+50)*(Experiment!#REF!-50)+(Experiment!#REF!^2))/((Experiment!#REF!+50)^2+(Experiment!#REF!^2))</f>
        <v>#REF!</v>
      </c>
      <c r="C142" t="e">
        <f>((Experiment!#REF!+50)*Experiment!#REF!-Experiment!#REF!*(Experiment!#REF!-50))/((Experiment!#REF!+50)^2+(Experiment!#REF!^2))</f>
        <v>#REF!</v>
      </c>
      <c r="D142" t="e">
        <f t="shared" si="27"/>
        <v>#REF!</v>
      </c>
      <c r="E142" t="e">
        <f t="shared" si="28"/>
        <v>#REF!</v>
      </c>
      <c r="F142" t="e">
        <f t="shared" si="29"/>
        <v>#REF!</v>
      </c>
      <c r="I142" t="e">
        <f>Experiment!#REF!</f>
        <v>#REF!</v>
      </c>
      <c r="J142" t="e">
        <f>((Experiment!#REF!+50)*(Experiment!#REF!-50)+(Experiment!#REF!^2))/((Experiment!#REF!+50)^2+(Experiment!#REF!^2))</f>
        <v>#REF!</v>
      </c>
      <c r="K142" t="e">
        <f>((Experiment!#REF!+50)*Experiment!#REF!-Experiment!#REF!*(Experiment!#REF!-50))/((Experiment!#REF!+50)^2+(Experiment!#REF!^2))</f>
        <v>#REF!</v>
      </c>
      <c r="L142" t="e">
        <f t="shared" si="30"/>
        <v>#REF!</v>
      </c>
      <c r="M142" t="e">
        <f t="shared" si="31"/>
        <v>#REF!</v>
      </c>
      <c r="N142" t="e">
        <f t="shared" si="32"/>
        <v>#REF!</v>
      </c>
      <c r="Q142">
        <f>Experiment!A142</f>
        <v>268399999.99999997</v>
      </c>
      <c r="R142">
        <f>((Experiment!D142+50)*(Experiment!D142-50)+(Experiment!E142^2))/((Experiment!D142+50)^2+(Experiment!E142^2))</f>
        <v>0.61736317313931188</v>
      </c>
      <c r="S142">
        <f>((Experiment!D142+50)*Experiment!E142-Experiment!E142*(Experiment!D142-50))/((Experiment!D142+50)^2+(Experiment!E142^2))</f>
        <v>-0.66699193167861759</v>
      </c>
      <c r="T142" t="str">
        <f t="shared" si="33"/>
        <v>0.617363173139312-0.666991931678618i</v>
      </c>
      <c r="U142">
        <f t="shared" si="26"/>
        <v>0.90885396212648684</v>
      </c>
      <c r="V142">
        <f t="shared" si="34"/>
        <v>0.83011790295106769</v>
      </c>
      <c r="Y142" t="e">
        <f>Experiment!#REF!</f>
        <v>#REF!</v>
      </c>
      <c r="Z142" t="e">
        <f>((Experiment!#REF!+50)*(Experiment!#REF!-50)+(Experiment!#REF!^2))/((Experiment!#REF!+50)^2+(Experiment!#REF!^2))</f>
        <v>#REF!</v>
      </c>
      <c r="AA142" t="e">
        <f>((Experiment!#REF!+50)*Experiment!#REF!-Experiment!#REF!*(Experiment!#REF!-50))/((Experiment!#REF!+50)^2+(Experiment!#REF!^2))</f>
        <v>#REF!</v>
      </c>
      <c r="AB142" t="e">
        <f t="shared" si="35"/>
        <v>#REF!</v>
      </c>
      <c r="AC142" t="e">
        <f t="shared" si="36"/>
        <v>#REF!</v>
      </c>
      <c r="AD142" t="e">
        <f t="shared" si="37"/>
        <v>#REF!</v>
      </c>
    </row>
    <row r="143" spans="1:30" x14ac:dyDescent="0.15">
      <c r="A143" t="e">
        <f>Experiment!#REF!</f>
        <v>#REF!</v>
      </c>
      <c r="B143" t="e">
        <f>((Experiment!#REF!+50)*(Experiment!#REF!-50)+(Experiment!#REF!^2))/((Experiment!#REF!+50)^2+(Experiment!#REF!^2))</f>
        <v>#REF!</v>
      </c>
      <c r="C143" t="e">
        <f>((Experiment!#REF!+50)*Experiment!#REF!-Experiment!#REF!*(Experiment!#REF!-50))/((Experiment!#REF!+50)^2+(Experiment!#REF!^2))</f>
        <v>#REF!</v>
      </c>
      <c r="D143" t="e">
        <f t="shared" si="27"/>
        <v>#REF!</v>
      </c>
      <c r="E143" t="e">
        <f t="shared" si="28"/>
        <v>#REF!</v>
      </c>
      <c r="F143" t="e">
        <f t="shared" si="29"/>
        <v>#REF!</v>
      </c>
      <c r="I143" t="e">
        <f>Experiment!#REF!</f>
        <v>#REF!</v>
      </c>
      <c r="J143" t="e">
        <f>((Experiment!#REF!+50)*(Experiment!#REF!-50)+(Experiment!#REF!^2))/((Experiment!#REF!+50)^2+(Experiment!#REF!^2))</f>
        <v>#REF!</v>
      </c>
      <c r="K143" t="e">
        <f>((Experiment!#REF!+50)*Experiment!#REF!-Experiment!#REF!*(Experiment!#REF!-50))/((Experiment!#REF!+50)^2+(Experiment!#REF!^2))</f>
        <v>#REF!</v>
      </c>
      <c r="L143" t="e">
        <f t="shared" si="30"/>
        <v>#REF!</v>
      </c>
      <c r="M143" t="e">
        <f t="shared" si="31"/>
        <v>#REF!</v>
      </c>
      <c r="N143" t="e">
        <f t="shared" si="32"/>
        <v>#REF!</v>
      </c>
      <c r="Q143">
        <f>Experiment!A143</f>
        <v>279400000</v>
      </c>
      <c r="R143">
        <f>((Experiment!D143+50)*(Experiment!D143-50)+(Experiment!E143^2))/((Experiment!D143+50)^2+(Experiment!E143^2))</f>
        <v>0.59972762621837861</v>
      </c>
      <c r="S143">
        <f>((Experiment!D143+50)*Experiment!E143-Experiment!E143*(Experiment!D143-50))/((Experiment!D143+50)^2+(Experiment!E143^2))</f>
        <v>-0.68382521688772291</v>
      </c>
      <c r="T143" t="str">
        <f t="shared" si="33"/>
        <v>0.599727626218379-0.683825216887723i</v>
      </c>
      <c r="U143">
        <f t="shared" si="26"/>
        <v>0.90955492022256279</v>
      </c>
      <c r="V143">
        <f t="shared" si="34"/>
        <v>0.82342144977808573</v>
      </c>
      <c r="Y143" t="e">
        <f>Experiment!#REF!</f>
        <v>#REF!</v>
      </c>
      <c r="Z143" t="e">
        <f>((Experiment!#REF!+50)*(Experiment!#REF!-50)+(Experiment!#REF!^2))/((Experiment!#REF!+50)^2+(Experiment!#REF!^2))</f>
        <v>#REF!</v>
      </c>
      <c r="AA143" t="e">
        <f>((Experiment!#REF!+50)*Experiment!#REF!-Experiment!#REF!*(Experiment!#REF!-50))/((Experiment!#REF!+50)^2+(Experiment!#REF!^2))</f>
        <v>#REF!</v>
      </c>
      <c r="AB143" t="e">
        <f t="shared" si="35"/>
        <v>#REF!</v>
      </c>
      <c r="AC143" t="e">
        <f t="shared" si="36"/>
        <v>#REF!</v>
      </c>
      <c r="AD143" t="e">
        <f t="shared" si="37"/>
        <v>#REF!</v>
      </c>
    </row>
    <row r="144" spans="1:30" x14ac:dyDescent="0.15">
      <c r="A144" t="e">
        <f>Experiment!#REF!</f>
        <v>#REF!</v>
      </c>
      <c r="B144" t="e">
        <f>((Experiment!#REF!+50)*(Experiment!#REF!-50)+(Experiment!#REF!^2))/((Experiment!#REF!+50)^2+(Experiment!#REF!^2))</f>
        <v>#REF!</v>
      </c>
      <c r="C144" t="e">
        <f>((Experiment!#REF!+50)*Experiment!#REF!-Experiment!#REF!*(Experiment!#REF!-50))/((Experiment!#REF!+50)^2+(Experiment!#REF!^2))</f>
        <v>#REF!</v>
      </c>
      <c r="D144" t="e">
        <f t="shared" si="27"/>
        <v>#REF!</v>
      </c>
      <c r="E144" t="e">
        <f t="shared" si="28"/>
        <v>#REF!</v>
      </c>
      <c r="F144" t="e">
        <f t="shared" si="29"/>
        <v>#REF!</v>
      </c>
      <c r="I144" t="e">
        <f>Experiment!#REF!</f>
        <v>#REF!</v>
      </c>
      <c r="J144" t="e">
        <f>((Experiment!#REF!+50)*(Experiment!#REF!-50)+(Experiment!#REF!^2))/((Experiment!#REF!+50)^2+(Experiment!#REF!^2))</f>
        <v>#REF!</v>
      </c>
      <c r="K144" t="e">
        <f>((Experiment!#REF!+50)*Experiment!#REF!-Experiment!#REF!*(Experiment!#REF!-50))/((Experiment!#REF!+50)^2+(Experiment!#REF!^2))</f>
        <v>#REF!</v>
      </c>
      <c r="L144" t="e">
        <f t="shared" si="30"/>
        <v>#REF!</v>
      </c>
      <c r="M144" t="e">
        <f t="shared" si="31"/>
        <v>#REF!</v>
      </c>
      <c r="N144" t="e">
        <f t="shared" si="32"/>
        <v>#REF!</v>
      </c>
      <c r="Q144">
        <f>Experiment!A144</f>
        <v>290900000</v>
      </c>
      <c r="R144">
        <f>((Experiment!D144+50)*(Experiment!D144-50)+(Experiment!E144^2))/((Experiment!D144+50)^2+(Experiment!E144^2))</f>
        <v>0.58108822522035042</v>
      </c>
      <c r="S144">
        <f>((Experiment!D144+50)*Experiment!E144-Experiment!E144*(Experiment!D144-50))/((Experiment!D144+50)^2+(Experiment!E144^2))</f>
        <v>-0.70063522602100636</v>
      </c>
      <c r="T144" t="str">
        <f t="shared" si="33"/>
        <v>0.58108822522035-0.700635226021006i</v>
      </c>
      <c r="U144">
        <f t="shared" si="26"/>
        <v>0.91024900188423352</v>
      </c>
      <c r="V144">
        <f t="shared" si="34"/>
        <v>0.81679577221780342</v>
      </c>
      <c r="Y144" t="e">
        <f>Experiment!#REF!</f>
        <v>#REF!</v>
      </c>
      <c r="Z144" t="e">
        <f>((Experiment!#REF!+50)*(Experiment!#REF!-50)+(Experiment!#REF!^2))/((Experiment!#REF!+50)^2+(Experiment!#REF!^2))</f>
        <v>#REF!</v>
      </c>
      <c r="AA144" t="e">
        <f>((Experiment!#REF!+50)*Experiment!#REF!-Experiment!#REF!*(Experiment!#REF!-50))/((Experiment!#REF!+50)^2+(Experiment!#REF!^2))</f>
        <v>#REF!</v>
      </c>
      <c r="AB144" t="e">
        <f t="shared" si="35"/>
        <v>#REF!</v>
      </c>
      <c r="AC144" t="e">
        <f t="shared" si="36"/>
        <v>#REF!</v>
      </c>
      <c r="AD144" t="e">
        <f t="shared" si="37"/>
        <v>#REF!</v>
      </c>
    </row>
    <row r="145" spans="1:30" x14ac:dyDescent="0.15">
      <c r="A145" t="e">
        <f>Experiment!#REF!</f>
        <v>#REF!</v>
      </c>
      <c r="B145" t="e">
        <f>((Experiment!#REF!+50)*(Experiment!#REF!-50)+(Experiment!#REF!^2))/((Experiment!#REF!+50)^2+(Experiment!#REF!^2))</f>
        <v>#REF!</v>
      </c>
      <c r="C145" t="e">
        <f>((Experiment!#REF!+50)*Experiment!#REF!-Experiment!#REF!*(Experiment!#REF!-50))/((Experiment!#REF!+50)^2+(Experiment!#REF!^2))</f>
        <v>#REF!</v>
      </c>
      <c r="D145" t="e">
        <f t="shared" si="27"/>
        <v>#REF!</v>
      </c>
      <c r="E145" t="e">
        <f t="shared" si="28"/>
        <v>#REF!</v>
      </c>
      <c r="F145" t="e">
        <f t="shared" si="29"/>
        <v>#REF!</v>
      </c>
      <c r="I145" t="e">
        <f>Experiment!#REF!</f>
        <v>#REF!</v>
      </c>
      <c r="J145" t="e">
        <f>((Experiment!#REF!+50)*(Experiment!#REF!-50)+(Experiment!#REF!^2))/((Experiment!#REF!+50)^2+(Experiment!#REF!^2))</f>
        <v>#REF!</v>
      </c>
      <c r="K145" t="e">
        <f>((Experiment!#REF!+50)*Experiment!#REF!-Experiment!#REF!*(Experiment!#REF!-50))/((Experiment!#REF!+50)^2+(Experiment!#REF!^2))</f>
        <v>#REF!</v>
      </c>
      <c r="L145" t="e">
        <f t="shared" si="30"/>
        <v>#REF!</v>
      </c>
      <c r="M145" t="e">
        <f t="shared" si="31"/>
        <v>#REF!</v>
      </c>
      <c r="N145" t="e">
        <f t="shared" si="32"/>
        <v>#REF!</v>
      </c>
      <c r="Q145">
        <f>Experiment!A145</f>
        <v>302800000</v>
      </c>
      <c r="R145">
        <f>((Experiment!D145+50)*(Experiment!D145-50)+(Experiment!E145^2))/((Experiment!D145+50)^2+(Experiment!E145^2))</f>
        <v>0.5620280318155797</v>
      </c>
      <c r="S145">
        <f>((Experiment!D145+50)*Experiment!E145-Experiment!E145*(Experiment!D145-50))/((Experiment!D145+50)^2+(Experiment!E145^2))</f>
        <v>-0.71686463158988312</v>
      </c>
      <c r="T145" t="str">
        <f t="shared" si="33"/>
        <v>0.56202803181558-0.716864631589883i</v>
      </c>
      <c r="U145">
        <f t="shared" si="26"/>
        <v>0.91091734453296758</v>
      </c>
      <c r="V145">
        <f t="shared" si="34"/>
        <v>0.81042057122713418</v>
      </c>
      <c r="Y145" t="e">
        <f>Experiment!#REF!</f>
        <v>#REF!</v>
      </c>
      <c r="Z145" t="e">
        <f>((Experiment!#REF!+50)*(Experiment!#REF!-50)+(Experiment!#REF!^2))/((Experiment!#REF!+50)^2+(Experiment!#REF!^2))</f>
        <v>#REF!</v>
      </c>
      <c r="AA145" t="e">
        <f>((Experiment!#REF!+50)*Experiment!#REF!-Experiment!#REF!*(Experiment!#REF!-50))/((Experiment!#REF!+50)^2+(Experiment!#REF!^2))</f>
        <v>#REF!</v>
      </c>
      <c r="AB145" t="e">
        <f t="shared" si="35"/>
        <v>#REF!</v>
      </c>
      <c r="AC145" t="e">
        <f t="shared" si="36"/>
        <v>#REF!</v>
      </c>
      <c r="AD145" t="e">
        <f t="shared" si="37"/>
        <v>#REF!</v>
      </c>
    </row>
    <row r="146" spans="1:30" x14ac:dyDescent="0.15">
      <c r="A146" t="e">
        <f>Experiment!#REF!</f>
        <v>#REF!</v>
      </c>
      <c r="B146" t="e">
        <f>((Experiment!#REF!+50)*(Experiment!#REF!-50)+(Experiment!#REF!^2))/((Experiment!#REF!+50)^2+(Experiment!#REF!^2))</f>
        <v>#REF!</v>
      </c>
      <c r="C146" t="e">
        <f>((Experiment!#REF!+50)*Experiment!#REF!-Experiment!#REF!*(Experiment!#REF!-50))/((Experiment!#REF!+50)^2+(Experiment!#REF!^2))</f>
        <v>#REF!</v>
      </c>
      <c r="D146" t="e">
        <f t="shared" si="27"/>
        <v>#REF!</v>
      </c>
      <c r="E146" t="e">
        <f t="shared" si="28"/>
        <v>#REF!</v>
      </c>
      <c r="F146" t="e">
        <f t="shared" si="29"/>
        <v>#REF!</v>
      </c>
      <c r="I146" t="e">
        <f>Experiment!#REF!</f>
        <v>#REF!</v>
      </c>
      <c r="J146" t="e">
        <f>((Experiment!#REF!+50)*(Experiment!#REF!-50)+(Experiment!#REF!^2))/((Experiment!#REF!+50)^2+(Experiment!#REF!^2))</f>
        <v>#REF!</v>
      </c>
      <c r="K146" t="e">
        <f>((Experiment!#REF!+50)*Experiment!#REF!-Experiment!#REF!*(Experiment!#REF!-50))/((Experiment!#REF!+50)^2+(Experiment!#REF!^2))</f>
        <v>#REF!</v>
      </c>
      <c r="L146" t="e">
        <f t="shared" si="30"/>
        <v>#REF!</v>
      </c>
      <c r="M146" t="e">
        <f t="shared" si="31"/>
        <v>#REF!</v>
      </c>
      <c r="N146" t="e">
        <f t="shared" si="32"/>
        <v>#REF!</v>
      </c>
      <c r="Q146">
        <f>Experiment!A146</f>
        <v>315200000</v>
      </c>
      <c r="R146">
        <f>((Experiment!D146+50)*(Experiment!D146-50)+(Experiment!E146^2))/((Experiment!D146+50)^2+(Experiment!E146^2))</f>
        <v>0.54223082423283842</v>
      </c>
      <c r="S146">
        <f>((Experiment!D146+50)*Experiment!E146-Experiment!E146*(Experiment!D146-50))/((Experiment!D146+50)^2+(Experiment!E146^2))</f>
        <v>-0.73279484387920935</v>
      </c>
      <c r="T146" t="str">
        <f t="shared" si="33"/>
        <v>0.542230824232838-0.732794843879209i</v>
      </c>
      <c r="U146">
        <f t="shared" si="26"/>
        <v>0.911593412637552</v>
      </c>
      <c r="V146">
        <f t="shared" si="34"/>
        <v>0.80397643564056864</v>
      </c>
      <c r="Y146" t="e">
        <f>Experiment!#REF!</f>
        <v>#REF!</v>
      </c>
      <c r="Z146" t="e">
        <f>((Experiment!#REF!+50)*(Experiment!#REF!-50)+(Experiment!#REF!^2))/((Experiment!#REF!+50)^2+(Experiment!#REF!^2))</f>
        <v>#REF!</v>
      </c>
      <c r="AA146" t="e">
        <f>((Experiment!#REF!+50)*Experiment!#REF!-Experiment!#REF!*(Experiment!#REF!-50))/((Experiment!#REF!+50)^2+(Experiment!#REF!^2))</f>
        <v>#REF!</v>
      </c>
      <c r="AB146" t="e">
        <f t="shared" si="35"/>
        <v>#REF!</v>
      </c>
      <c r="AC146" t="e">
        <f t="shared" si="36"/>
        <v>#REF!</v>
      </c>
      <c r="AD146" t="e">
        <f t="shared" si="37"/>
        <v>#REF!</v>
      </c>
    </row>
    <row r="147" spans="1:30" x14ac:dyDescent="0.15">
      <c r="A147" t="e">
        <f>Experiment!#REF!</f>
        <v>#REF!</v>
      </c>
      <c r="B147" t="e">
        <f>((Experiment!#REF!+50)*(Experiment!#REF!-50)+(Experiment!#REF!^2))/((Experiment!#REF!+50)^2+(Experiment!#REF!^2))</f>
        <v>#REF!</v>
      </c>
      <c r="C147" t="e">
        <f>((Experiment!#REF!+50)*Experiment!#REF!-Experiment!#REF!*(Experiment!#REF!-50))/((Experiment!#REF!+50)^2+(Experiment!#REF!^2))</f>
        <v>#REF!</v>
      </c>
      <c r="D147" t="e">
        <f t="shared" si="27"/>
        <v>#REF!</v>
      </c>
      <c r="E147" t="e">
        <f t="shared" si="28"/>
        <v>#REF!</v>
      </c>
      <c r="F147" t="e">
        <f t="shared" si="29"/>
        <v>#REF!</v>
      </c>
      <c r="I147" t="e">
        <f>Experiment!#REF!</f>
        <v>#REF!</v>
      </c>
      <c r="J147" t="e">
        <f>((Experiment!#REF!+50)*(Experiment!#REF!-50)+(Experiment!#REF!^2))/((Experiment!#REF!+50)^2+(Experiment!#REF!^2))</f>
        <v>#REF!</v>
      </c>
      <c r="K147" t="e">
        <f>((Experiment!#REF!+50)*Experiment!#REF!-Experiment!#REF!*(Experiment!#REF!-50))/((Experiment!#REF!+50)^2+(Experiment!#REF!^2))</f>
        <v>#REF!</v>
      </c>
      <c r="L147" t="e">
        <f t="shared" si="30"/>
        <v>#REF!</v>
      </c>
      <c r="M147" t="e">
        <f t="shared" si="31"/>
        <v>#REF!</v>
      </c>
      <c r="N147" t="e">
        <f t="shared" si="32"/>
        <v>#REF!</v>
      </c>
      <c r="Q147">
        <f>Experiment!A147</f>
        <v>328200000</v>
      </c>
      <c r="R147">
        <f>((Experiment!D147+50)*(Experiment!D147-50)+(Experiment!E147^2))/((Experiment!D147+50)^2+(Experiment!E147^2))</f>
        <v>0.52174042468872239</v>
      </c>
      <c r="S147">
        <f>((Experiment!D147+50)*Experiment!E147-Experiment!E147*(Experiment!D147-50))/((Experiment!D147+50)^2+(Experiment!E147^2))</f>
        <v>-0.74839836183459363</v>
      </c>
      <c r="T147" t="str">
        <f t="shared" si="33"/>
        <v>0.521740424688722-0.748398361834594i</v>
      </c>
      <c r="U147">
        <f t="shared" si="26"/>
        <v>0.91231199638669214</v>
      </c>
      <c r="V147">
        <f t="shared" si="34"/>
        <v>0.79713228743771158</v>
      </c>
      <c r="Y147" t="e">
        <f>Experiment!#REF!</f>
        <v>#REF!</v>
      </c>
      <c r="Z147" t="e">
        <f>((Experiment!#REF!+50)*(Experiment!#REF!-50)+(Experiment!#REF!^2))/((Experiment!#REF!+50)^2+(Experiment!#REF!^2))</f>
        <v>#REF!</v>
      </c>
      <c r="AA147" t="e">
        <f>((Experiment!#REF!+50)*Experiment!#REF!-Experiment!#REF!*(Experiment!#REF!-50))/((Experiment!#REF!+50)^2+(Experiment!#REF!^2))</f>
        <v>#REF!</v>
      </c>
      <c r="AB147" t="e">
        <f t="shared" si="35"/>
        <v>#REF!</v>
      </c>
      <c r="AC147" t="e">
        <f t="shared" si="36"/>
        <v>#REF!</v>
      </c>
      <c r="AD147" t="e">
        <f t="shared" si="37"/>
        <v>#REF!</v>
      </c>
    </row>
    <row r="148" spans="1:30" x14ac:dyDescent="0.15">
      <c r="A148" t="e">
        <f>Experiment!#REF!</f>
        <v>#REF!</v>
      </c>
      <c r="B148" t="e">
        <f>((Experiment!#REF!+50)*(Experiment!#REF!-50)+(Experiment!#REF!^2))/((Experiment!#REF!+50)^2+(Experiment!#REF!^2))</f>
        <v>#REF!</v>
      </c>
      <c r="C148" t="e">
        <f>((Experiment!#REF!+50)*Experiment!#REF!-Experiment!#REF!*(Experiment!#REF!-50))/((Experiment!#REF!+50)^2+(Experiment!#REF!^2))</f>
        <v>#REF!</v>
      </c>
      <c r="D148" t="e">
        <f t="shared" si="27"/>
        <v>#REF!</v>
      </c>
      <c r="E148" t="e">
        <f t="shared" si="28"/>
        <v>#REF!</v>
      </c>
      <c r="F148" t="e">
        <f t="shared" si="29"/>
        <v>#REF!</v>
      </c>
      <c r="I148" t="e">
        <f>Experiment!#REF!</f>
        <v>#REF!</v>
      </c>
      <c r="J148" t="e">
        <f>((Experiment!#REF!+50)*(Experiment!#REF!-50)+(Experiment!#REF!^2))/((Experiment!#REF!+50)^2+(Experiment!#REF!^2))</f>
        <v>#REF!</v>
      </c>
      <c r="K148" t="e">
        <f>((Experiment!#REF!+50)*Experiment!#REF!-Experiment!#REF!*(Experiment!#REF!-50))/((Experiment!#REF!+50)^2+(Experiment!#REF!^2))</f>
        <v>#REF!</v>
      </c>
      <c r="L148" t="e">
        <f t="shared" si="30"/>
        <v>#REF!</v>
      </c>
      <c r="M148" t="e">
        <f t="shared" si="31"/>
        <v>#REF!</v>
      </c>
      <c r="N148" t="e">
        <f t="shared" si="32"/>
        <v>#REF!</v>
      </c>
      <c r="Q148">
        <f>Experiment!A148</f>
        <v>341600000</v>
      </c>
      <c r="R148">
        <f>((Experiment!D148+50)*(Experiment!D148-50)+(Experiment!E148^2))/((Experiment!D148+50)^2+(Experiment!E148^2))</f>
        <v>0.50076379925648828</v>
      </c>
      <c r="S148">
        <f>((Experiment!D148+50)*Experiment!E148-Experiment!E148*(Experiment!D148-50))/((Experiment!D148+50)^2+(Experiment!E148^2))</f>
        <v>-0.76363876003758902</v>
      </c>
      <c r="T148" t="str">
        <f t="shared" si="33"/>
        <v>0.500763799256488-0.763638760037589i</v>
      </c>
      <c r="U148">
        <f t="shared" si="26"/>
        <v>0.91318592766070317</v>
      </c>
      <c r="V148">
        <f t="shared" si="34"/>
        <v>0.78881579353516518</v>
      </c>
      <c r="Y148" t="e">
        <f>Experiment!#REF!</f>
        <v>#REF!</v>
      </c>
      <c r="Z148" t="e">
        <f>((Experiment!#REF!+50)*(Experiment!#REF!-50)+(Experiment!#REF!^2))/((Experiment!#REF!+50)^2+(Experiment!#REF!^2))</f>
        <v>#REF!</v>
      </c>
      <c r="AA148" t="e">
        <f>((Experiment!#REF!+50)*Experiment!#REF!-Experiment!#REF!*(Experiment!#REF!-50))/((Experiment!#REF!+50)^2+(Experiment!#REF!^2))</f>
        <v>#REF!</v>
      </c>
      <c r="AB148" t="e">
        <f t="shared" si="35"/>
        <v>#REF!</v>
      </c>
      <c r="AC148" t="e">
        <f t="shared" si="36"/>
        <v>#REF!</v>
      </c>
      <c r="AD148" t="e">
        <f t="shared" si="37"/>
        <v>#REF!</v>
      </c>
    </row>
    <row r="149" spans="1:30" x14ac:dyDescent="0.15">
      <c r="A149" t="e">
        <f>Experiment!#REF!</f>
        <v>#REF!</v>
      </c>
      <c r="B149" t="e">
        <f>((Experiment!#REF!+50)*(Experiment!#REF!-50)+(Experiment!#REF!^2))/((Experiment!#REF!+50)^2+(Experiment!#REF!^2))</f>
        <v>#REF!</v>
      </c>
      <c r="C149" t="e">
        <f>((Experiment!#REF!+50)*Experiment!#REF!-Experiment!#REF!*(Experiment!#REF!-50))/((Experiment!#REF!+50)^2+(Experiment!#REF!^2))</f>
        <v>#REF!</v>
      </c>
      <c r="D149" t="e">
        <f t="shared" si="27"/>
        <v>#REF!</v>
      </c>
      <c r="E149" t="e">
        <f t="shared" si="28"/>
        <v>#REF!</v>
      </c>
      <c r="F149" t="e">
        <f t="shared" si="29"/>
        <v>#REF!</v>
      </c>
      <c r="I149" t="e">
        <f>Experiment!#REF!</f>
        <v>#REF!</v>
      </c>
      <c r="J149" t="e">
        <f>((Experiment!#REF!+50)*(Experiment!#REF!-50)+(Experiment!#REF!^2))/((Experiment!#REF!+50)^2+(Experiment!#REF!^2))</f>
        <v>#REF!</v>
      </c>
      <c r="K149" t="e">
        <f>((Experiment!#REF!+50)*Experiment!#REF!-Experiment!#REF!*(Experiment!#REF!-50))/((Experiment!#REF!+50)^2+(Experiment!#REF!^2))</f>
        <v>#REF!</v>
      </c>
      <c r="L149" t="e">
        <f t="shared" si="30"/>
        <v>#REF!</v>
      </c>
      <c r="M149" t="e">
        <f t="shared" si="31"/>
        <v>#REF!</v>
      </c>
      <c r="N149" t="e">
        <f t="shared" si="32"/>
        <v>#REF!</v>
      </c>
      <c r="Q149">
        <f>Experiment!A149</f>
        <v>355700000</v>
      </c>
      <c r="R149">
        <f>((Experiment!D149+50)*(Experiment!D149-50)+(Experiment!E149^2))/((Experiment!D149+50)^2+(Experiment!E149^2))</f>
        <v>0.47898655912793775</v>
      </c>
      <c r="S149">
        <f>((Experiment!D149+50)*Experiment!E149-Experiment!E149*(Experiment!D149-50))/((Experiment!D149+50)^2+(Experiment!E149^2))</f>
        <v>-0.77841034005023768</v>
      </c>
      <c r="T149" t="str">
        <f t="shared" si="33"/>
        <v>0.478986559127938-0.778410340050238i</v>
      </c>
      <c r="U149">
        <f t="shared" si="26"/>
        <v>0.91397526297069331</v>
      </c>
      <c r="V149">
        <f t="shared" si="34"/>
        <v>0.78131116848986426</v>
      </c>
      <c r="Y149" t="e">
        <f>Experiment!#REF!</f>
        <v>#REF!</v>
      </c>
      <c r="Z149" t="e">
        <f>((Experiment!#REF!+50)*(Experiment!#REF!-50)+(Experiment!#REF!^2))/((Experiment!#REF!+50)^2+(Experiment!#REF!^2))</f>
        <v>#REF!</v>
      </c>
      <c r="AA149" t="e">
        <f>((Experiment!#REF!+50)*Experiment!#REF!-Experiment!#REF!*(Experiment!#REF!-50))/((Experiment!#REF!+50)^2+(Experiment!#REF!^2))</f>
        <v>#REF!</v>
      </c>
      <c r="AB149" t="e">
        <f t="shared" si="35"/>
        <v>#REF!</v>
      </c>
      <c r="AC149" t="e">
        <f t="shared" si="36"/>
        <v>#REF!</v>
      </c>
      <c r="AD149" t="e">
        <f t="shared" si="37"/>
        <v>#REF!</v>
      </c>
    </row>
    <row r="150" spans="1:30" x14ac:dyDescent="0.15">
      <c r="A150" t="e">
        <f>Experiment!#REF!</f>
        <v>#REF!</v>
      </c>
      <c r="B150" t="e">
        <f>((Experiment!#REF!+50)*(Experiment!#REF!-50)+(Experiment!#REF!^2))/((Experiment!#REF!+50)^2+(Experiment!#REF!^2))</f>
        <v>#REF!</v>
      </c>
      <c r="C150" t="e">
        <f>((Experiment!#REF!+50)*Experiment!#REF!-Experiment!#REF!*(Experiment!#REF!-50))/((Experiment!#REF!+50)^2+(Experiment!#REF!^2))</f>
        <v>#REF!</v>
      </c>
      <c r="D150" t="e">
        <f t="shared" si="27"/>
        <v>#REF!</v>
      </c>
      <c r="E150" t="e">
        <f t="shared" si="28"/>
        <v>#REF!</v>
      </c>
      <c r="F150" t="e">
        <f t="shared" si="29"/>
        <v>#REF!</v>
      </c>
      <c r="I150" t="e">
        <f>Experiment!#REF!</f>
        <v>#REF!</v>
      </c>
      <c r="J150" t="e">
        <f>((Experiment!#REF!+50)*(Experiment!#REF!-50)+(Experiment!#REF!^2))/((Experiment!#REF!+50)^2+(Experiment!#REF!^2))</f>
        <v>#REF!</v>
      </c>
      <c r="K150" t="e">
        <f>((Experiment!#REF!+50)*Experiment!#REF!-Experiment!#REF!*(Experiment!#REF!-50))/((Experiment!#REF!+50)^2+(Experiment!#REF!^2))</f>
        <v>#REF!</v>
      </c>
      <c r="L150" t="e">
        <f t="shared" si="30"/>
        <v>#REF!</v>
      </c>
      <c r="M150" t="e">
        <f t="shared" si="31"/>
        <v>#REF!</v>
      </c>
      <c r="N150" t="e">
        <f t="shared" si="32"/>
        <v>#REF!</v>
      </c>
      <c r="Q150">
        <f>Experiment!A150</f>
        <v>370300000</v>
      </c>
      <c r="R150">
        <f>((Experiment!D150+50)*(Experiment!D150-50)+(Experiment!E150^2))/((Experiment!D150+50)^2+(Experiment!E150^2))</f>
        <v>0.45679938672344877</v>
      </c>
      <c r="S150">
        <f>((Experiment!D150+50)*Experiment!E150-Experiment!E150*(Experiment!D150-50))/((Experiment!D150+50)^2+(Experiment!E150^2))</f>
        <v>-0.792404457105646</v>
      </c>
      <c r="T150" t="str">
        <f t="shared" si="33"/>
        <v>0.456799386723449-0.792404457105646i</v>
      </c>
      <c r="U150">
        <f t="shared" si="26"/>
        <v>0.91464228163354255</v>
      </c>
      <c r="V150">
        <f t="shared" si="34"/>
        <v>0.77497452279148815</v>
      </c>
      <c r="Y150" t="e">
        <f>Experiment!#REF!</f>
        <v>#REF!</v>
      </c>
      <c r="Z150" t="e">
        <f>((Experiment!#REF!+50)*(Experiment!#REF!-50)+(Experiment!#REF!^2))/((Experiment!#REF!+50)^2+(Experiment!#REF!^2))</f>
        <v>#REF!</v>
      </c>
      <c r="AA150" t="e">
        <f>((Experiment!#REF!+50)*Experiment!#REF!-Experiment!#REF!*(Experiment!#REF!-50))/((Experiment!#REF!+50)^2+(Experiment!#REF!^2))</f>
        <v>#REF!</v>
      </c>
      <c r="AB150" t="e">
        <f t="shared" si="35"/>
        <v>#REF!</v>
      </c>
      <c r="AC150" t="e">
        <f t="shared" si="36"/>
        <v>#REF!</v>
      </c>
      <c r="AD150" t="e">
        <f t="shared" si="37"/>
        <v>#REF!</v>
      </c>
    </row>
    <row r="151" spans="1:30" x14ac:dyDescent="0.15">
      <c r="A151" t="e">
        <f>Experiment!#REF!</f>
        <v>#REF!</v>
      </c>
      <c r="B151" t="e">
        <f>((Experiment!#REF!+50)*(Experiment!#REF!-50)+(Experiment!#REF!^2))/((Experiment!#REF!+50)^2+(Experiment!#REF!^2))</f>
        <v>#REF!</v>
      </c>
      <c r="C151" t="e">
        <f>((Experiment!#REF!+50)*Experiment!#REF!-Experiment!#REF!*(Experiment!#REF!-50))/((Experiment!#REF!+50)^2+(Experiment!#REF!^2))</f>
        <v>#REF!</v>
      </c>
      <c r="D151" t="e">
        <f t="shared" si="27"/>
        <v>#REF!</v>
      </c>
      <c r="E151" t="e">
        <f t="shared" si="28"/>
        <v>#REF!</v>
      </c>
      <c r="F151" t="e">
        <f t="shared" si="29"/>
        <v>#REF!</v>
      </c>
      <c r="I151" t="e">
        <f>Experiment!#REF!</f>
        <v>#REF!</v>
      </c>
      <c r="J151" t="e">
        <f>((Experiment!#REF!+50)*(Experiment!#REF!-50)+(Experiment!#REF!^2))/((Experiment!#REF!+50)^2+(Experiment!#REF!^2))</f>
        <v>#REF!</v>
      </c>
      <c r="K151" t="e">
        <f>((Experiment!#REF!+50)*Experiment!#REF!-Experiment!#REF!*(Experiment!#REF!-50))/((Experiment!#REF!+50)^2+(Experiment!#REF!^2))</f>
        <v>#REF!</v>
      </c>
      <c r="L151" t="e">
        <f t="shared" si="30"/>
        <v>#REF!</v>
      </c>
      <c r="M151" t="e">
        <f t="shared" si="31"/>
        <v>#REF!</v>
      </c>
      <c r="N151" t="e">
        <f t="shared" si="32"/>
        <v>#REF!</v>
      </c>
      <c r="Q151">
        <f>Experiment!A151</f>
        <v>385500000</v>
      </c>
      <c r="R151">
        <f>((Experiment!D151+50)*(Experiment!D151-50)+(Experiment!E151^2))/((Experiment!D151+50)^2+(Experiment!E151^2))</f>
        <v>0.4344728027867838</v>
      </c>
      <c r="S151">
        <f>((Experiment!D151+50)*Experiment!E151-Experiment!E151*(Experiment!D151-50))/((Experiment!D151+50)^2+(Experiment!E151^2))</f>
        <v>-0.80586102210919119</v>
      </c>
      <c r="T151" t="str">
        <f t="shared" si="33"/>
        <v>0.434472802786784-0.805861022109191i</v>
      </c>
      <c r="U151">
        <f t="shared" si="26"/>
        <v>0.91552094641044335</v>
      </c>
      <c r="V151">
        <f t="shared" si="34"/>
        <v>0.76663429854213805</v>
      </c>
      <c r="Y151" t="e">
        <f>Experiment!#REF!</f>
        <v>#REF!</v>
      </c>
      <c r="Z151" t="e">
        <f>((Experiment!#REF!+50)*(Experiment!#REF!-50)+(Experiment!#REF!^2))/((Experiment!#REF!+50)^2+(Experiment!#REF!^2))</f>
        <v>#REF!</v>
      </c>
      <c r="AA151" t="e">
        <f>((Experiment!#REF!+50)*Experiment!#REF!-Experiment!#REF!*(Experiment!#REF!-50))/((Experiment!#REF!+50)^2+(Experiment!#REF!^2))</f>
        <v>#REF!</v>
      </c>
      <c r="AB151" t="e">
        <f t="shared" si="35"/>
        <v>#REF!</v>
      </c>
      <c r="AC151" t="e">
        <f t="shared" si="36"/>
        <v>#REF!</v>
      </c>
      <c r="AD151" t="e">
        <f t="shared" si="37"/>
        <v>#REF!</v>
      </c>
    </row>
    <row r="152" spans="1:30" x14ac:dyDescent="0.15">
      <c r="A152" t="e">
        <f>Experiment!#REF!</f>
        <v>#REF!</v>
      </c>
      <c r="B152" t="e">
        <f>((Experiment!#REF!+50)*(Experiment!#REF!-50)+(Experiment!#REF!^2))/((Experiment!#REF!+50)^2+(Experiment!#REF!^2))</f>
        <v>#REF!</v>
      </c>
      <c r="C152" t="e">
        <f>((Experiment!#REF!+50)*Experiment!#REF!-Experiment!#REF!*(Experiment!#REF!-50))/((Experiment!#REF!+50)^2+(Experiment!#REF!^2))</f>
        <v>#REF!</v>
      </c>
      <c r="D152" t="e">
        <f t="shared" si="27"/>
        <v>#REF!</v>
      </c>
      <c r="E152" t="e">
        <f t="shared" si="28"/>
        <v>#REF!</v>
      </c>
      <c r="F152" t="e">
        <f t="shared" si="29"/>
        <v>#REF!</v>
      </c>
      <c r="I152" t="e">
        <f>Experiment!#REF!</f>
        <v>#REF!</v>
      </c>
      <c r="J152" t="e">
        <f>((Experiment!#REF!+50)*(Experiment!#REF!-50)+(Experiment!#REF!^2))/((Experiment!#REF!+50)^2+(Experiment!#REF!^2))</f>
        <v>#REF!</v>
      </c>
      <c r="K152" t="e">
        <f>((Experiment!#REF!+50)*Experiment!#REF!-Experiment!#REF!*(Experiment!#REF!-50))/((Experiment!#REF!+50)^2+(Experiment!#REF!^2))</f>
        <v>#REF!</v>
      </c>
      <c r="L152" t="e">
        <f t="shared" si="30"/>
        <v>#REF!</v>
      </c>
      <c r="M152" t="e">
        <f t="shared" si="31"/>
        <v>#REF!</v>
      </c>
      <c r="N152" t="e">
        <f t="shared" si="32"/>
        <v>#REF!</v>
      </c>
      <c r="Q152">
        <f>Experiment!A152</f>
        <v>401300000</v>
      </c>
      <c r="R152">
        <f>((Experiment!D152+50)*(Experiment!D152-50)+(Experiment!E152^2))/((Experiment!D152+50)^2+(Experiment!E152^2))</f>
        <v>0.41159745945262999</v>
      </c>
      <c r="S152">
        <f>((Experiment!D152+50)*Experiment!E152-Experiment!E152*(Experiment!D152-50))/((Experiment!D152+50)^2+(Experiment!E152^2))</f>
        <v>-0.81888755996202922</v>
      </c>
      <c r="T152" t="str">
        <f t="shared" si="33"/>
        <v>0.41159745945263-0.818887559962029i</v>
      </c>
      <c r="U152">
        <f t="shared" si="26"/>
        <v>0.9165093040926674</v>
      </c>
      <c r="V152">
        <f t="shared" si="34"/>
        <v>0.75726243737201704</v>
      </c>
      <c r="Y152" t="e">
        <f>Experiment!#REF!</f>
        <v>#REF!</v>
      </c>
      <c r="Z152" t="e">
        <f>((Experiment!#REF!+50)*(Experiment!#REF!-50)+(Experiment!#REF!^2))/((Experiment!#REF!+50)^2+(Experiment!#REF!^2))</f>
        <v>#REF!</v>
      </c>
      <c r="AA152" t="e">
        <f>((Experiment!#REF!+50)*Experiment!#REF!-Experiment!#REF!*(Experiment!#REF!-50))/((Experiment!#REF!+50)^2+(Experiment!#REF!^2))</f>
        <v>#REF!</v>
      </c>
      <c r="AB152" t="e">
        <f t="shared" si="35"/>
        <v>#REF!</v>
      </c>
      <c r="AC152" t="e">
        <f t="shared" si="36"/>
        <v>#REF!</v>
      </c>
      <c r="AD152" t="e">
        <f t="shared" si="37"/>
        <v>#REF!</v>
      </c>
    </row>
    <row r="153" spans="1:30" x14ac:dyDescent="0.15">
      <c r="A153" t="e">
        <f>Experiment!#REF!</f>
        <v>#REF!</v>
      </c>
      <c r="B153" t="e">
        <f>((Experiment!#REF!+50)*(Experiment!#REF!-50)+(Experiment!#REF!^2))/((Experiment!#REF!+50)^2+(Experiment!#REF!^2))</f>
        <v>#REF!</v>
      </c>
      <c r="C153" t="e">
        <f>((Experiment!#REF!+50)*Experiment!#REF!-Experiment!#REF!*(Experiment!#REF!-50))/((Experiment!#REF!+50)^2+(Experiment!#REF!^2))</f>
        <v>#REF!</v>
      </c>
      <c r="D153" t="e">
        <f t="shared" si="27"/>
        <v>#REF!</v>
      </c>
      <c r="E153" t="e">
        <f t="shared" si="28"/>
        <v>#REF!</v>
      </c>
      <c r="F153" t="e">
        <f t="shared" si="29"/>
        <v>#REF!</v>
      </c>
      <c r="I153" t="e">
        <f>Experiment!#REF!</f>
        <v>#REF!</v>
      </c>
      <c r="J153" t="e">
        <f>((Experiment!#REF!+50)*(Experiment!#REF!-50)+(Experiment!#REF!^2))/((Experiment!#REF!+50)^2+(Experiment!#REF!^2))</f>
        <v>#REF!</v>
      </c>
      <c r="K153" t="e">
        <f>((Experiment!#REF!+50)*Experiment!#REF!-Experiment!#REF!*(Experiment!#REF!-50))/((Experiment!#REF!+50)^2+(Experiment!#REF!^2))</f>
        <v>#REF!</v>
      </c>
      <c r="L153" t="e">
        <f t="shared" si="30"/>
        <v>#REF!</v>
      </c>
      <c r="M153" t="e">
        <f t="shared" si="31"/>
        <v>#REF!</v>
      </c>
      <c r="N153" t="e">
        <f t="shared" si="32"/>
        <v>#REF!</v>
      </c>
      <c r="Q153">
        <f>Experiment!A153</f>
        <v>417800000</v>
      </c>
      <c r="R153">
        <f>((Experiment!D153+50)*(Experiment!D153-50)+(Experiment!E153^2))/((Experiment!D153+50)^2+(Experiment!E153^2))</f>
        <v>0.38818255823516229</v>
      </c>
      <c r="S153">
        <f>((Experiment!D153+50)*Experiment!E153-Experiment!E153*(Experiment!D153-50))/((Experiment!D153+50)^2+(Experiment!E153^2))</f>
        <v>-0.83101957713067975</v>
      </c>
      <c r="T153" t="str">
        <f t="shared" si="33"/>
        <v>0.388182558235162-0.83101957713068i</v>
      </c>
      <c r="U153">
        <f t="shared" si="26"/>
        <v>0.91721275399573954</v>
      </c>
      <c r="V153">
        <f t="shared" si="34"/>
        <v>0.75059829926366217</v>
      </c>
      <c r="Y153" t="e">
        <f>Experiment!#REF!</f>
        <v>#REF!</v>
      </c>
      <c r="Z153" t="e">
        <f>((Experiment!#REF!+50)*(Experiment!#REF!-50)+(Experiment!#REF!^2))/((Experiment!#REF!+50)^2+(Experiment!#REF!^2))</f>
        <v>#REF!</v>
      </c>
      <c r="AA153" t="e">
        <f>((Experiment!#REF!+50)*Experiment!#REF!-Experiment!#REF!*(Experiment!#REF!-50))/((Experiment!#REF!+50)^2+(Experiment!#REF!^2))</f>
        <v>#REF!</v>
      </c>
      <c r="AB153" t="e">
        <f t="shared" si="35"/>
        <v>#REF!</v>
      </c>
      <c r="AC153" t="e">
        <f t="shared" si="36"/>
        <v>#REF!</v>
      </c>
      <c r="AD153" t="e">
        <f t="shared" si="37"/>
        <v>#REF!</v>
      </c>
    </row>
    <row r="154" spans="1:30" x14ac:dyDescent="0.15">
      <c r="A154" t="e">
        <f>Experiment!#REF!</f>
        <v>#REF!</v>
      </c>
      <c r="B154" t="e">
        <f>((Experiment!#REF!+50)*(Experiment!#REF!-50)+(Experiment!#REF!^2))/((Experiment!#REF!+50)^2+(Experiment!#REF!^2))</f>
        <v>#REF!</v>
      </c>
      <c r="C154" t="e">
        <f>((Experiment!#REF!+50)*Experiment!#REF!-Experiment!#REF!*(Experiment!#REF!-50))/((Experiment!#REF!+50)^2+(Experiment!#REF!^2))</f>
        <v>#REF!</v>
      </c>
      <c r="D154" t="e">
        <f t="shared" si="27"/>
        <v>#REF!</v>
      </c>
      <c r="E154" t="e">
        <f t="shared" si="28"/>
        <v>#REF!</v>
      </c>
      <c r="F154" t="e">
        <f t="shared" si="29"/>
        <v>#REF!</v>
      </c>
      <c r="I154" t="e">
        <f>Experiment!#REF!</f>
        <v>#REF!</v>
      </c>
      <c r="J154" t="e">
        <f>((Experiment!#REF!+50)*(Experiment!#REF!-50)+(Experiment!#REF!^2))/((Experiment!#REF!+50)^2+(Experiment!#REF!^2))</f>
        <v>#REF!</v>
      </c>
      <c r="K154" t="e">
        <f>((Experiment!#REF!+50)*Experiment!#REF!-Experiment!#REF!*(Experiment!#REF!-50))/((Experiment!#REF!+50)^2+(Experiment!#REF!^2))</f>
        <v>#REF!</v>
      </c>
      <c r="L154" t="e">
        <f t="shared" si="30"/>
        <v>#REF!</v>
      </c>
      <c r="M154" t="e">
        <f t="shared" si="31"/>
        <v>#REF!</v>
      </c>
      <c r="N154" t="e">
        <f t="shared" si="32"/>
        <v>#REF!</v>
      </c>
      <c r="Q154">
        <f>Experiment!A154</f>
        <v>434900000</v>
      </c>
      <c r="R154">
        <f>((Experiment!D154+50)*(Experiment!D154-50)+(Experiment!E154^2))/((Experiment!D154+50)^2+(Experiment!E154^2))</f>
        <v>0.36485292180885598</v>
      </c>
      <c r="S154">
        <f>((Experiment!D154+50)*Experiment!E154-Experiment!E154*(Experiment!D154-50))/((Experiment!D154+50)^2+(Experiment!E154^2))</f>
        <v>-0.84231344298385968</v>
      </c>
      <c r="T154" t="str">
        <f t="shared" si="33"/>
        <v>0.364852921808856-0.84231344298386i</v>
      </c>
      <c r="U154">
        <f t="shared" si="26"/>
        <v>0.91793768349696969</v>
      </c>
      <c r="V154">
        <f t="shared" si="34"/>
        <v>0.74373601937429801</v>
      </c>
      <c r="Y154" t="e">
        <f>Experiment!#REF!</f>
        <v>#REF!</v>
      </c>
      <c r="Z154" t="e">
        <f>((Experiment!#REF!+50)*(Experiment!#REF!-50)+(Experiment!#REF!^2))/((Experiment!#REF!+50)^2+(Experiment!#REF!^2))</f>
        <v>#REF!</v>
      </c>
      <c r="AA154" t="e">
        <f>((Experiment!#REF!+50)*Experiment!#REF!-Experiment!#REF!*(Experiment!#REF!-50))/((Experiment!#REF!+50)^2+(Experiment!#REF!^2))</f>
        <v>#REF!</v>
      </c>
      <c r="AB154" t="e">
        <f t="shared" si="35"/>
        <v>#REF!</v>
      </c>
      <c r="AC154" t="e">
        <f t="shared" si="36"/>
        <v>#REF!</v>
      </c>
      <c r="AD154" t="e">
        <f t="shared" si="37"/>
        <v>#REF!</v>
      </c>
    </row>
    <row r="155" spans="1:30" x14ac:dyDescent="0.15">
      <c r="A155" t="e">
        <f>Experiment!#REF!</f>
        <v>#REF!</v>
      </c>
      <c r="B155" t="e">
        <f>((Experiment!#REF!+50)*(Experiment!#REF!-50)+(Experiment!#REF!^2))/((Experiment!#REF!+50)^2+(Experiment!#REF!^2))</f>
        <v>#REF!</v>
      </c>
      <c r="C155" t="e">
        <f>((Experiment!#REF!+50)*Experiment!#REF!-Experiment!#REF!*(Experiment!#REF!-50))/((Experiment!#REF!+50)^2+(Experiment!#REF!^2))</f>
        <v>#REF!</v>
      </c>
      <c r="D155" t="e">
        <f t="shared" si="27"/>
        <v>#REF!</v>
      </c>
      <c r="E155" t="e">
        <f t="shared" si="28"/>
        <v>#REF!</v>
      </c>
      <c r="F155" t="e">
        <f t="shared" si="29"/>
        <v>#REF!</v>
      </c>
      <c r="I155" t="e">
        <f>Experiment!#REF!</f>
        <v>#REF!</v>
      </c>
      <c r="J155" t="e">
        <f>((Experiment!#REF!+50)*(Experiment!#REF!-50)+(Experiment!#REF!^2))/((Experiment!#REF!+50)^2+(Experiment!#REF!^2))</f>
        <v>#REF!</v>
      </c>
      <c r="K155" t="e">
        <f>((Experiment!#REF!+50)*Experiment!#REF!-Experiment!#REF!*(Experiment!#REF!-50))/((Experiment!#REF!+50)^2+(Experiment!#REF!^2))</f>
        <v>#REF!</v>
      </c>
      <c r="L155" t="e">
        <f t="shared" si="30"/>
        <v>#REF!</v>
      </c>
      <c r="M155" t="e">
        <f t="shared" si="31"/>
        <v>#REF!</v>
      </c>
      <c r="N155" t="e">
        <f t="shared" si="32"/>
        <v>#REF!</v>
      </c>
      <c r="Q155">
        <f>Experiment!A155</f>
        <v>452800000</v>
      </c>
      <c r="R155">
        <f>((Experiment!D155+50)*(Experiment!D155-50)+(Experiment!E155^2))/((Experiment!D155+50)^2+(Experiment!E155^2))</f>
        <v>0.34140003024282917</v>
      </c>
      <c r="S155">
        <f>((Experiment!D155+50)*Experiment!E155-Experiment!E155*(Experiment!D155-50))/((Experiment!D155+50)^2+(Experiment!E155^2))</f>
        <v>-0.85312785997115492</v>
      </c>
      <c r="T155" t="str">
        <f t="shared" si="33"/>
        <v>0.341400030242829-0.853127859971155i</v>
      </c>
      <c r="U155">
        <f t="shared" si="26"/>
        <v>0.91890213086528816</v>
      </c>
      <c r="V155">
        <f t="shared" si="34"/>
        <v>0.73461482752376128</v>
      </c>
      <c r="Y155" t="e">
        <f>Experiment!#REF!</f>
        <v>#REF!</v>
      </c>
      <c r="Z155" t="e">
        <f>((Experiment!#REF!+50)*(Experiment!#REF!-50)+(Experiment!#REF!^2))/((Experiment!#REF!+50)^2+(Experiment!#REF!^2))</f>
        <v>#REF!</v>
      </c>
      <c r="AA155" t="e">
        <f>((Experiment!#REF!+50)*Experiment!#REF!-Experiment!#REF!*(Experiment!#REF!-50))/((Experiment!#REF!+50)^2+(Experiment!#REF!^2))</f>
        <v>#REF!</v>
      </c>
      <c r="AB155" t="e">
        <f t="shared" si="35"/>
        <v>#REF!</v>
      </c>
      <c r="AC155" t="e">
        <f t="shared" si="36"/>
        <v>#REF!</v>
      </c>
      <c r="AD155" t="e">
        <f t="shared" si="37"/>
        <v>#REF!</v>
      </c>
    </row>
    <row r="156" spans="1:30" x14ac:dyDescent="0.15">
      <c r="A156" t="e">
        <f>Experiment!#REF!</f>
        <v>#REF!</v>
      </c>
      <c r="B156" t="e">
        <f>((Experiment!#REF!+50)*(Experiment!#REF!-50)+(Experiment!#REF!^2))/((Experiment!#REF!+50)^2+(Experiment!#REF!^2))</f>
        <v>#REF!</v>
      </c>
      <c r="C156" t="e">
        <f>((Experiment!#REF!+50)*Experiment!#REF!-Experiment!#REF!*(Experiment!#REF!-50))/((Experiment!#REF!+50)^2+(Experiment!#REF!^2))</f>
        <v>#REF!</v>
      </c>
      <c r="D156" t="e">
        <f t="shared" si="27"/>
        <v>#REF!</v>
      </c>
      <c r="E156" t="e">
        <f t="shared" si="28"/>
        <v>#REF!</v>
      </c>
      <c r="F156" t="e">
        <f t="shared" si="29"/>
        <v>#REF!</v>
      </c>
      <c r="I156" t="e">
        <f>Experiment!#REF!</f>
        <v>#REF!</v>
      </c>
      <c r="J156" t="e">
        <f>((Experiment!#REF!+50)*(Experiment!#REF!-50)+(Experiment!#REF!^2))/((Experiment!#REF!+50)^2+(Experiment!#REF!^2))</f>
        <v>#REF!</v>
      </c>
      <c r="K156" t="e">
        <f>((Experiment!#REF!+50)*Experiment!#REF!-Experiment!#REF!*(Experiment!#REF!-50))/((Experiment!#REF!+50)^2+(Experiment!#REF!^2))</f>
        <v>#REF!</v>
      </c>
      <c r="L156" t="e">
        <f t="shared" si="30"/>
        <v>#REF!</v>
      </c>
      <c r="M156" t="e">
        <f t="shared" si="31"/>
        <v>#REF!</v>
      </c>
      <c r="N156" t="e">
        <f t="shared" si="32"/>
        <v>#REF!</v>
      </c>
      <c r="Q156">
        <f>Experiment!A156</f>
        <v>471400000</v>
      </c>
      <c r="R156">
        <f>((Experiment!D156+50)*(Experiment!D156-50)+(Experiment!E156^2))/((Experiment!D156+50)^2+(Experiment!E156^2))</f>
        <v>0.31779729666870599</v>
      </c>
      <c r="S156">
        <f>((Experiment!D156+50)*Experiment!E156-Experiment!E156*(Experiment!D156-50))/((Experiment!D156+50)^2+(Experiment!E156^2))</f>
        <v>-0.86313745911643802</v>
      </c>
      <c r="T156" t="str">
        <f t="shared" si="33"/>
        <v>0.317797296668706-0.863137459116438i</v>
      </c>
      <c r="U156">
        <f t="shared" si="26"/>
        <v>0.91978334139074203</v>
      </c>
      <c r="V156">
        <f t="shared" si="34"/>
        <v>0.72628920786394136</v>
      </c>
      <c r="Y156" t="e">
        <f>Experiment!#REF!</f>
        <v>#REF!</v>
      </c>
      <c r="Z156" t="e">
        <f>((Experiment!#REF!+50)*(Experiment!#REF!-50)+(Experiment!#REF!^2))/((Experiment!#REF!+50)^2+(Experiment!#REF!^2))</f>
        <v>#REF!</v>
      </c>
      <c r="AA156" t="e">
        <f>((Experiment!#REF!+50)*Experiment!#REF!-Experiment!#REF!*(Experiment!#REF!-50))/((Experiment!#REF!+50)^2+(Experiment!#REF!^2))</f>
        <v>#REF!</v>
      </c>
      <c r="AB156" t="e">
        <f t="shared" si="35"/>
        <v>#REF!</v>
      </c>
      <c r="AC156" t="e">
        <f t="shared" si="36"/>
        <v>#REF!</v>
      </c>
      <c r="AD156" t="e">
        <f t="shared" si="37"/>
        <v>#REF!</v>
      </c>
    </row>
    <row r="157" spans="1:30" x14ac:dyDescent="0.15">
      <c r="A157" t="e">
        <f>Experiment!#REF!</f>
        <v>#REF!</v>
      </c>
      <c r="B157" t="e">
        <f>((Experiment!#REF!+50)*(Experiment!#REF!-50)+(Experiment!#REF!^2))/((Experiment!#REF!+50)^2+(Experiment!#REF!^2))</f>
        <v>#REF!</v>
      </c>
      <c r="C157" t="e">
        <f>((Experiment!#REF!+50)*Experiment!#REF!-Experiment!#REF!*(Experiment!#REF!-50))/((Experiment!#REF!+50)^2+(Experiment!#REF!^2))</f>
        <v>#REF!</v>
      </c>
      <c r="D157" t="e">
        <f t="shared" si="27"/>
        <v>#REF!</v>
      </c>
      <c r="E157" t="e">
        <f t="shared" si="28"/>
        <v>#REF!</v>
      </c>
      <c r="F157" t="e">
        <f t="shared" si="29"/>
        <v>#REF!</v>
      </c>
      <c r="I157" t="e">
        <f>Experiment!#REF!</f>
        <v>#REF!</v>
      </c>
      <c r="J157" t="e">
        <f>((Experiment!#REF!+50)*(Experiment!#REF!-50)+(Experiment!#REF!^2))/((Experiment!#REF!+50)^2+(Experiment!#REF!^2))</f>
        <v>#REF!</v>
      </c>
      <c r="K157" t="e">
        <f>((Experiment!#REF!+50)*Experiment!#REF!-Experiment!#REF!*(Experiment!#REF!-50))/((Experiment!#REF!+50)^2+(Experiment!#REF!^2))</f>
        <v>#REF!</v>
      </c>
      <c r="L157" t="e">
        <f t="shared" si="30"/>
        <v>#REF!</v>
      </c>
      <c r="M157" t="e">
        <f t="shared" si="31"/>
        <v>#REF!</v>
      </c>
      <c r="N157" t="e">
        <f t="shared" si="32"/>
        <v>#REF!</v>
      </c>
      <c r="Q157">
        <f>Experiment!A157</f>
        <v>490700000</v>
      </c>
      <c r="R157">
        <f>((Experiment!D157+50)*(Experiment!D157-50)+(Experiment!E157^2))/((Experiment!D157+50)^2+(Experiment!E157^2))</f>
        <v>0.29438087885010283</v>
      </c>
      <c r="S157">
        <f>((Experiment!D157+50)*Experiment!E157-Experiment!E157*(Experiment!D157-50))/((Experiment!D157+50)^2+(Experiment!E157^2))</f>
        <v>-0.87232680406501584</v>
      </c>
      <c r="T157" t="str">
        <f t="shared" si="33"/>
        <v>0.294380878850103-0.872326804065016i</v>
      </c>
      <c r="U157">
        <f t="shared" si="26"/>
        <v>0.92065963033188514</v>
      </c>
      <c r="V157">
        <f t="shared" si="34"/>
        <v>0.71801799302497882</v>
      </c>
      <c r="Y157" t="e">
        <f>Experiment!#REF!</f>
        <v>#REF!</v>
      </c>
      <c r="Z157" t="e">
        <f>((Experiment!#REF!+50)*(Experiment!#REF!-50)+(Experiment!#REF!^2))/((Experiment!#REF!+50)^2+(Experiment!#REF!^2))</f>
        <v>#REF!</v>
      </c>
      <c r="AA157" t="e">
        <f>((Experiment!#REF!+50)*Experiment!#REF!-Experiment!#REF!*(Experiment!#REF!-50))/((Experiment!#REF!+50)^2+(Experiment!#REF!^2))</f>
        <v>#REF!</v>
      </c>
      <c r="AB157" t="e">
        <f t="shared" si="35"/>
        <v>#REF!</v>
      </c>
      <c r="AC157" t="e">
        <f t="shared" si="36"/>
        <v>#REF!</v>
      </c>
      <c r="AD157" t="e">
        <f t="shared" si="37"/>
        <v>#REF!</v>
      </c>
    </row>
    <row r="158" spans="1:30" x14ac:dyDescent="0.15">
      <c r="A158" t="e">
        <f>Experiment!#REF!</f>
        <v>#REF!</v>
      </c>
      <c r="B158" t="e">
        <f>((Experiment!#REF!+50)*(Experiment!#REF!-50)+(Experiment!#REF!^2))/((Experiment!#REF!+50)^2+(Experiment!#REF!^2))</f>
        <v>#REF!</v>
      </c>
      <c r="C158" t="e">
        <f>((Experiment!#REF!+50)*Experiment!#REF!-Experiment!#REF!*(Experiment!#REF!-50))/((Experiment!#REF!+50)^2+(Experiment!#REF!^2))</f>
        <v>#REF!</v>
      </c>
      <c r="D158" t="e">
        <f t="shared" si="27"/>
        <v>#REF!</v>
      </c>
      <c r="E158" t="e">
        <f t="shared" si="28"/>
        <v>#REF!</v>
      </c>
      <c r="F158" t="e">
        <f t="shared" si="29"/>
        <v>#REF!</v>
      </c>
      <c r="I158" t="e">
        <f>Experiment!#REF!</f>
        <v>#REF!</v>
      </c>
      <c r="J158" t="e">
        <f>((Experiment!#REF!+50)*(Experiment!#REF!-50)+(Experiment!#REF!^2))/((Experiment!#REF!+50)^2+(Experiment!#REF!^2))</f>
        <v>#REF!</v>
      </c>
      <c r="K158" t="e">
        <f>((Experiment!#REF!+50)*Experiment!#REF!-Experiment!#REF!*(Experiment!#REF!-50))/((Experiment!#REF!+50)^2+(Experiment!#REF!^2))</f>
        <v>#REF!</v>
      </c>
      <c r="L158" t="e">
        <f t="shared" si="30"/>
        <v>#REF!</v>
      </c>
      <c r="M158" t="e">
        <f t="shared" si="31"/>
        <v>#REF!</v>
      </c>
      <c r="N158" t="e">
        <f t="shared" si="32"/>
        <v>#REF!</v>
      </c>
      <c r="Q158">
        <f>Experiment!A158</f>
        <v>510900000</v>
      </c>
      <c r="R158">
        <f>((Experiment!D158+50)*(Experiment!D158-50)+(Experiment!E158^2))/((Experiment!D158+50)^2+(Experiment!E158^2))</f>
        <v>0.27120239255934114</v>
      </c>
      <c r="S158">
        <f>((Experiment!D158+50)*Experiment!E158-Experiment!E158*(Experiment!D158-50))/((Experiment!D158+50)^2+(Experiment!E158^2))</f>
        <v>-0.88075901777091581</v>
      </c>
      <c r="T158" t="str">
        <f t="shared" si="33"/>
        <v>0.271202392559341-0.880759017770916i</v>
      </c>
      <c r="U158">
        <f t="shared" si="26"/>
        <v>0.92156778650010296</v>
      </c>
      <c r="V158">
        <f t="shared" si="34"/>
        <v>0.70945428930612486</v>
      </c>
      <c r="Y158" t="e">
        <f>Experiment!#REF!</f>
        <v>#REF!</v>
      </c>
      <c r="Z158" t="e">
        <f>((Experiment!#REF!+50)*(Experiment!#REF!-50)+(Experiment!#REF!^2))/((Experiment!#REF!+50)^2+(Experiment!#REF!^2))</f>
        <v>#REF!</v>
      </c>
      <c r="AA158" t="e">
        <f>((Experiment!#REF!+50)*Experiment!#REF!-Experiment!#REF!*(Experiment!#REF!-50))/((Experiment!#REF!+50)^2+(Experiment!#REF!^2))</f>
        <v>#REF!</v>
      </c>
      <c r="AB158" t="e">
        <f t="shared" si="35"/>
        <v>#REF!</v>
      </c>
      <c r="AC158" t="e">
        <f t="shared" si="36"/>
        <v>#REF!</v>
      </c>
      <c r="AD158" t="e">
        <f t="shared" si="37"/>
        <v>#REF!</v>
      </c>
    </row>
    <row r="159" spans="1:30" x14ac:dyDescent="0.15">
      <c r="A159" t="e">
        <f>Experiment!#REF!</f>
        <v>#REF!</v>
      </c>
      <c r="B159" t="e">
        <f>((Experiment!#REF!+50)*(Experiment!#REF!-50)+(Experiment!#REF!^2))/((Experiment!#REF!+50)^2+(Experiment!#REF!^2))</f>
        <v>#REF!</v>
      </c>
      <c r="C159" t="e">
        <f>((Experiment!#REF!+50)*Experiment!#REF!-Experiment!#REF!*(Experiment!#REF!-50))/((Experiment!#REF!+50)^2+(Experiment!#REF!^2))</f>
        <v>#REF!</v>
      </c>
      <c r="D159" t="e">
        <f t="shared" si="27"/>
        <v>#REF!</v>
      </c>
      <c r="E159" t="e">
        <f t="shared" si="28"/>
        <v>#REF!</v>
      </c>
      <c r="F159" t="e">
        <f t="shared" si="29"/>
        <v>#REF!</v>
      </c>
      <c r="I159" t="e">
        <f>Experiment!#REF!</f>
        <v>#REF!</v>
      </c>
      <c r="J159" t="e">
        <f>((Experiment!#REF!+50)*(Experiment!#REF!-50)+(Experiment!#REF!^2))/((Experiment!#REF!+50)^2+(Experiment!#REF!^2))</f>
        <v>#REF!</v>
      </c>
      <c r="K159" t="e">
        <f>((Experiment!#REF!+50)*Experiment!#REF!-Experiment!#REF!*(Experiment!#REF!-50))/((Experiment!#REF!+50)^2+(Experiment!#REF!^2))</f>
        <v>#REF!</v>
      </c>
      <c r="L159" t="e">
        <f t="shared" si="30"/>
        <v>#REF!</v>
      </c>
      <c r="M159" t="e">
        <f t="shared" si="31"/>
        <v>#REF!</v>
      </c>
      <c r="N159" t="e">
        <f t="shared" si="32"/>
        <v>#REF!</v>
      </c>
      <c r="Q159">
        <f>Experiment!A159</f>
        <v>531799999.99999994</v>
      </c>
      <c r="R159">
        <f>((Experiment!D159+50)*(Experiment!D159-50)+(Experiment!E159^2))/((Experiment!D159+50)^2+(Experiment!E159^2))</f>
        <v>0.24845361346207404</v>
      </c>
      <c r="S159">
        <f>((Experiment!D159+50)*Experiment!E159-Experiment!E159*(Experiment!D159-50))/((Experiment!D159+50)^2+(Experiment!E159^2))</f>
        <v>-0.88830930705442634</v>
      </c>
      <c r="T159" t="str">
        <f t="shared" si="33"/>
        <v>0.248453613462074-0.888309307054426i</v>
      </c>
      <c r="U159">
        <f t="shared" si="26"/>
        <v>0.92240046782396889</v>
      </c>
      <c r="V159">
        <f t="shared" si="34"/>
        <v>0.70160970894805263</v>
      </c>
      <c r="Y159" t="e">
        <f>Experiment!#REF!</f>
        <v>#REF!</v>
      </c>
      <c r="Z159" t="e">
        <f>((Experiment!#REF!+50)*(Experiment!#REF!-50)+(Experiment!#REF!^2))/((Experiment!#REF!+50)^2+(Experiment!#REF!^2))</f>
        <v>#REF!</v>
      </c>
      <c r="AA159" t="e">
        <f>((Experiment!#REF!+50)*Experiment!#REF!-Experiment!#REF!*(Experiment!#REF!-50))/((Experiment!#REF!+50)^2+(Experiment!#REF!^2))</f>
        <v>#REF!</v>
      </c>
      <c r="AB159" t="e">
        <f t="shared" si="35"/>
        <v>#REF!</v>
      </c>
      <c r="AC159" t="e">
        <f t="shared" si="36"/>
        <v>#REF!</v>
      </c>
      <c r="AD159" t="e">
        <f t="shared" si="37"/>
        <v>#REF!</v>
      </c>
    </row>
    <row r="160" spans="1:30" x14ac:dyDescent="0.15">
      <c r="A160" t="e">
        <f>Experiment!#REF!</f>
        <v>#REF!</v>
      </c>
      <c r="B160" t="e">
        <f>((Experiment!#REF!+50)*(Experiment!#REF!-50)+(Experiment!#REF!^2))/((Experiment!#REF!+50)^2+(Experiment!#REF!^2))</f>
        <v>#REF!</v>
      </c>
      <c r="C160" t="e">
        <f>((Experiment!#REF!+50)*Experiment!#REF!-Experiment!#REF!*(Experiment!#REF!-50))/((Experiment!#REF!+50)^2+(Experiment!#REF!^2))</f>
        <v>#REF!</v>
      </c>
      <c r="D160" t="e">
        <f t="shared" si="27"/>
        <v>#REF!</v>
      </c>
      <c r="E160" t="e">
        <f t="shared" si="28"/>
        <v>#REF!</v>
      </c>
      <c r="F160" t="e">
        <f t="shared" si="29"/>
        <v>#REF!</v>
      </c>
      <c r="I160" t="e">
        <f>Experiment!#REF!</f>
        <v>#REF!</v>
      </c>
      <c r="J160" t="e">
        <f>((Experiment!#REF!+50)*(Experiment!#REF!-50)+(Experiment!#REF!^2))/((Experiment!#REF!+50)^2+(Experiment!#REF!^2))</f>
        <v>#REF!</v>
      </c>
      <c r="K160" t="e">
        <f>((Experiment!#REF!+50)*Experiment!#REF!-Experiment!#REF!*(Experiment!#REF!-50))/((Experiment!#REF!+50)^2+(Experiment!#REF!^2))</f>
        <v>#REF!</v>
      </c>
      <c r="L160" t="e">
        <f t="shared" si="30"/>
        <v>#REF!</v>
      </c>
      <c r="M160" t="e">
        <f t="shared" si="31"/>
        <v>#REF!</v>
      </c>
      <c r="N160" t="e">
        <f t="shared" si="32"/>
        <v>#REF!</v>
      </c>
      <c r="Q160">
        <f>Experiment!A160</f>
        <v>553700000</v>
      </c>
      <c r="R160">
        <f>((Experiment!D160+50)*(Experiment!D160-50)+(Experiment!E160^2))/((Experiment!D160+50)^2+(Experiment!E160^2))</f>
        <v>0.22581408322763641</v>
      </c>
      <c r="S160">
        <f>((Experiment!D160+50)*Experiment!E160-Experiment!E160*(Experiment!D160-50))/((Experiment!D160+50)^2+(Experiment!E160^2))</f>
        <v>-0.89507981368576572</v>
      </c>
      <c r="T160" t="str">
        <f t="shared" si="33"/>
        <v>0.225814083227636-0.895079813685766i</v>
      </c>
      <c r="U160">
        <f t="shared" si="26"/>
        <v>0.92312505818642088</v>
      </c>
      <c r="V160">
        <f t="shared" si="34"/>
        <v>0.69478919939047201</v>
      </c>
      <c r="Y160" t="e">
        <f>Experiment!#REF!</f>
        <v>#REF!</v>
      </c>
      <c r="Z160" t="e">
        <f>((Experiment!#REF!+50)*(Experiment!#REF!-50)+(Experiment!#REF!^2))/((Experiment!#REF!+50)^2+(Experiment!#REF!^2))</f>
        <v>#REF!</v>
      </c>
      <c r="AA160" t="e">
        <f>((Experiment!#REF!+50)*Experiment!#REF!-Experiment!#REF!*(Experiment!#REF!-50))/((Experiment!#REF!+50)^2+(Experiment!#REF!^2))</f>
        <v>#REF!</v>
      </c>
      <c r="AB160" t="e">
        <f t="shared" si="35"/>
        <v>#REF!</v>
      </c>
      <c r="AC160" t="e">
        <f t="shared" si="36"/>
        <v>#REF!</v>
      </c>
      <c r="AD160" t="e">
        <f t="shared" si="37"/>
        <v>#REF!</v>
      </c>
    </row>
    <row r="161" spans="1:30" x14ac:dyDescent="0.15">
      <c r="A161" t="e">
        <f>Experiment!#REF!</f>
        <v>#REF!</v>
      </c>
      <c r="B161" t="e">
        <f>((Experiment!#REF!+50)*(Experiment!#REF!-50)+(Experiment!#REF!^2))/((Experiment!#REF!+50)^2+(Experiment!#REF!^2))</f>
        <v>#REF!</v>
      </c>
      <c r="C161" t="e">
        <f>((Experiment!#REF!+50)*Experiment!#REF!-Experiment!#REF!*(Experiment!#REF!-50))/((Experiment!#REF!+50)^2+(Experiment!#REF!^2))</f>
        <v>#REF!</v>
      </c>
      <c r="D161" t="e">
        <f t="shared" si="27"/>
        <v>#REF!</v>
      </c>
      <c r="E161" t="e">
        <f t="shared" si="28"/>
        <v>#REF!</v>
      </c>
      <c r="F161" t="e">
        <f t="shared" si="29"/>
        <v>#REF!</v>
      </c>
      <c r="I161" t="e">
        <f>Experiment!#REF!</f>
        <v>#REF!</v>
      </c>
      <c r="J161" t="e">
        <f>((Experiment!#REF!+50)*(Experiment!#REF!-50)+(Experiment!#REF!^2))/((Experiment!#REF!+50)^2+(Experiment!#REF!^2))</f>
        <v>#REF!</v>
      </c>
      <c r="K161" t="e">
        <f>((Experiment!#REF!+50)*Experiment!#REF!-Experiment!#REF!*(Experiment!#REF!-50))/((Experiment!#REF!+50)^2+(Experiment!#REF!^2))</f>
        <v>#REF!</v>
      </c>
      <c r="L161" t="e">
        <f t="shared" si="30"/>
        <v>#REF!</v>
      </c>
      <c r="M161" t="e">
        <f t="shared" si="31"/>
        <v>#REF!</v>
      </c>
      <c r="N161" t="e">
        <f t="shared" si="32"/>
        <v>#REF!</v>
      </c>
      <c r="Q161">
        <f>Experiment!A161</f>
        <v>576400000</v>
      </c>
      <c r="R161">
        <f>((Experiment!D161+50)*(Experiment!D161-50)+(Experiment!E161^2))/((Experiment!D161+50)^2+(Experiment!E161^2))</f>
        <v>0.20390690022101271</v>
      </c>
      <c r="S161">
        <f>((Experiment!D161+50)*Experiment!E161-Experiment!E161*(Experiment!D161-50))/((Experiment!D161+50)^2+(Experiment!E161^2))</f>
        <v>-0.90118307305284551</v>
      </c>
      <c r="T161" t="str">
        <f t="shared" si="33"/>
        <v>0.203906900221013-0.901183073052846i</v>
      </c>
      <c r="U161">
        <f t="shared" si="26"/>
        <v>0.92396371958790258</v>
      </c>
      <c r="V161">
        <f t="shared" si="34"/>
        <v>0.68690162953978273</v>
      </c>
      <c r="Y161" t="e">
        <f>Experiment!#REF!</f>
        <v>#REF!</v>
      </c>
      <c r="Z161" t="e">
        <f>((Experiment!#REF!+50)*(Experiment!#REF!-50)+(Experiment!#REF!^2))/((Experiment!#REF!+50)^2+(Experiment!#REF!^2))</f>
        <v>#REF!</v>
      </c>
      <c r="AA161" t="e">
        <f>((Experiment!#REF!+50)*Experiment!#REF!-Experiment!#REF!*(Experiment!#REF!-50))/((Experiment!#REF!+50)^2+(Experiment!#REF!^2))</f>
        <v>#REF!</v>
      </c>
      <c r="AB161" t="e">
        <f t="shared" si="35"/>
        <v>#REF!</v>
      </c>
      <c r="AC161" t="e">
        <f t="shared" si="36"/>
        <v>#REF!</v>
      </c>
      <c r="AD161" t="e">
        <f t="shared" si="37"/>
        <v>#REF!</v>
      </c>
    </row>
    <row r="162" spans="1:30" x14ac:dyDescent="0.15">
      <c r="A162" t="e">
        <f>Experiment!#REF!</f>
        <v>#REF!</v>
      </c>
      <c r="B162" t="e">
        <f>((Experiment!#REF!+50)*(Experiment!#REF!-50)+(Experiment!#REF!^2))/((Experiment!#REF!+50)^2+(Experiment!#REF!^2))</f>
        <v>#REF!</v>
      </c>
      <c r="C162" t="e">
        <f>((Experiment!#REF!+50)*Experiment!#REF!-Experiment!#REF!*(Experiment!#REF!-50))/((Experiment!#REF!+50)^2+(Experiment!#REF!^2))</f>
        <v>#REF!</v>
      </c>
      <c r="D162" t="e">
        <f t="shared" si="27"/>
        <v>#REF!</v>
      </c>
      <c r="E162" t="e">
        <f t="shared" si="28"/>
        <v>#REF!</v>
      </c>
      <c r="F162" t="e">
        <f t="shared" si="29"/>
        <v>#REF!</v>
      </c>
      <c r="I162" t="e">
        <f>Experiment!#REF!</f>
        <v>#REF!</v>
      </c>
      <c r="J162" t="e">
        <f>((Experiment!#REF!+50)*(Experiment!#REF!-50)+(Experiment!#REF!^2))/((Experiment!#REF!+50)^2+(Experiment!#REF!^2))</f>
        <v>#REF!</v>
      </c>
      <c r="K162" t="e">
        <f>((Experiment!#REF!+50)*Experiment!#REF!-Experiment!#REF!*(Experiment!#REF!-50))/((Experiment!#REF!+50)^2+(Experiment!#REF!^2))</f>
        <v>#REF!</v>
      </c>
      <c r="L162" t="e">
        <f t="shared" si="30"/>
        <v>#REF!</v>
      </c>
      <c r="M162" t="e">
        <f t="shared" si="31"/>
        <v>#REF!</v>
      </c>
      <c r="N162" t="e">
        <f t="shared" si="32"/>
        <v>#REF!</v>
      </c>
      <c r="Q162">
        <f>Experiment!A162</f>
        <v>600100000</v>
      </c>
      <c r="R162">
        <f>((Experiment!D162+50)*(Experiment!D162-50)+(Experiment!E162^2))/((Experiment!D162+50)^2+(Experiment!E162^2))</f>
        <v>0.18255247301384375</v>
      </c>
      <c r="S162">
        <f>((Experiment!D162+50)*Experiment!E162-Experiment!E162*(Experiment!D162-50))/((Experiment!D162+50)^2+(Experiment!E162^2))</f>
        <v>-0.90643474107506838</v>
      </c>
      <c r="T162" t="str">
        <f t="shared" si="33"/>
        <v>0.182552473013844-0.906434741075068i</v>
      </c>
      <c r="U162">
        <f t="shared" si="26"/>
        <v>0.92463470907775058</v>
      </c>
      <c r="V162">
        <f t="shared" si="34"/>
        <v>0.68059615959812736</v>
      </c>
      <c r="Y162" t="e">
        <f>Experiment!#REF!</f>
        <v>#REF!</v>
      </c>
      <c r="Z162" t="e">
        <f>((Experiment!#REF!+50)*(Experiment!#REF!-50)+(Experiment!#REF!^2))/((Experiment!#REF!+50)^2+(Experiment!#REF!^2))</f>
        <v>#REF!</v>
      </c>
      <c r="AA162" t="e">
        <f>((Experiment!#REF!+50)*Experiment!#REF!-Experiment!#REF!*(Experiment!#REF!-50))/((Experiment!#REF!+50)^2+(Experiment!#REF!^2))</f>
        <v>#REF!</v>
      </c>
      <c r="AB162" t="e">
        <f t="shared" si="35"/>
        <v>#REF!</v>
      </c>
      <c r="AC162" t="e">
        <f t="shared" si="36"/>
        <v>#REF!</v>
      </c>
      <c r="AD162" t="e">
        <f t="shared" si="37"/>
        <v>#REF!</v>
      </c>
    </row>
    <row r="163" spans="1:30" x14ac:dyDescent="0.15">
      <c r="A163" t="e">
        <f>Experiment!#REF!</f>
        <v>#REF!</v>
      </c>
      <c r="B163" t="e">
        <f>((Experiment!#REF!+50)*(Experiment!#REF!-50)+(Experiment!#REF!^2))/((Experiment!#REF!+50)^2+(Experiment!#REF!^2))</f>
        <v>#REF!</v>
      </c>
      <c r="C163" t="e">
        <f>((Experiment!#REF!+50)*Experiment!#REF!-Experiment!#REF!*(Experiment!#REF!-50))/((Experiment!#REF!+50)^2+(Experiment!#REF!^2))</f>
        <v>#REF!</v>
      </c>
      <c r="D163" t="e">
        <f t="shared" si="27"/>
        <v>#REF!</v>
      </c>
      <c r="E163" t="e">
        <f t="shared" si="28"/>
        <v>#REF!</v>
      </c>
      <c r="F163" t="e">
        <f t="shared" si="29"/>
        <v>#REF!</v>
      </c>
      <c r="I163" t="e">
        <f>Experiment!#REF!</f>
        <v>#REF!</v>
      </c>
      <c r="J163" t="e">
        <f>((Experiment!#REF!+50)*(Experiment!#REF!-50)+(Experiment!#REF!^2))/((Experiment!#REF!+50)^2+(Experiment!#REF!^2))</f>
        <v>#REF!</v>
      </c>
      <c r="K163" t="e">
        <f>((Experiment!#REF!+50)*Experiment!#REF!-Experiment!#REF!*(Experiment!#REF!-50))/((Experiment!#REF!+50)^2+(Experiment!#REF!^2))</f>
        <v>#REF!</v>
      </c>
      <c r="L163" t="e">
        <f t="shared" si="30"/>
        <v>#REF!</v>
      </c>
      <c r="M163" t="e">
        <f t="shared" si="31"/>
        <v>#REF!</v>
      </c>
      <c r="N163" t="e">
        <f t="shared" si="32"/>
        <v>#REF!</v>
      </c>
      <c r="Q163">
        <f>Experiment!A163</f>
        <v>624700000</v>
      </c>
      <c r="R163">
        <f>((Experiment!D163+50)*(Experiment!D163-50)+(Experiment!E163^2))/((Experiment!D163+50)^2+(Experiment!E163^2))</f>
        <v>0.16198814462117281</v>
      </c>
      <c r="S163">
        <f>((Experiment!D163+50)*Experiment!E163-Experiment!E163*(Experiment!D163-50))/((Experiment!D163+50)^2+(Experiment!E163^2))</f>
        <v>-0.91117949229067385</v>
      </c>
      <c r="T163" t="str">
        <f t="shared" si="33"/>
        <v>0.161988144621173-0.911179492290674i</v>
      </c>
      <c r="U163">
        <f t="shared" ref="U163:U194" si="38">SQRT(R163^2+S163^2)</f>
        <v>0.92546649111078039</v>
      </c>
      <c r="V163">
        <f t="shared" si="34"/>
        <v>0.67278602745198979</v>
      </c>
      <c r="Y163" t="e">
        <f>Experiment!#REF!</f>
        <v>#REF!</v>
      </c>
      <c r="Z163" t="e">
        <f>((Experiment!#REF!+50)*(Experiment!#REF!-50)+(Experiment!#REF!^2))/((Experiment!#REF!+50)^2+(Experiment!#REF!^2))</f>
        <v>#REF!</v>
      </c>
      <c r="AA163" t="e">
        <f>((Experiment!#REF!+50)*Experiment!#REF!-Experiment!#REF!*(Experiment!#REF!-50))/((Experiment!#REF!+50)^2+(Experiment!#REF!^2))</f>
        <v>#REF!</v>
      </c>
      <c r="AB163" t="e">
        <f t="shared" si="35"/>
        <v>#REF!</v>
      </c>
      <c r="AC163" t="e">
        <f t="shared" si="36"/>
        <v>#REF!</v>
      </c>
      <c r="AD163" t="e">
        <f t="shared" si="37"/>
        <v>#REF!</v>
      </c>
    </row>
    <row r="164" spans="1:30" x14ac:dyDescent="0.15">
      <c r="A164" t="e">
        <f>Experiment!#REF!</f>
        <v>#REF!</v>
      </c>
      <c r="B164" t="e">
        <f>((Experiment!#REF!+50)*(Experiment!#REF!-50)+(Experiment!#REF!^2))/((Experiment!#REF!+50)^2+(Experiment!#REF!^2))</f>
        <v>#REF!</v>
      </c>
      <c r="C164" t="e">
        <f>((Experiment!#REF!+50)*Experiment!#REF!-Experiment!#REF!*(Experiment!#REF!-50))/((Experiment!#REF!+50)^2+(Experiment!#REF!^2))</f>
        <v>#REF!</v>
      </c>
      <c r="D164" t="e">
        <f t="shared" si="27"/>
        <v>#REF!</v>
      </c>
      <c r="E164" t="e">
        <f t="shared" si="28"/>
        <v>#REF!</v>
      </c>
      <c r="F164" t="e">
        <f t="shared" si="29"/>
        <v>#REF!</v>
      </c>
      <c r="I164" t="e">
        <f>Experiment!#REF!</f>
        <v>#REF!</v>
      </c>
      <c r="J164" t="e">
        <f>((Experiment!#REF!+50)*(Experiment!#REF!-50)+(Experiment!#REF!^2))/((Experiment!#REF!+50)^2+(Experiment!#REF!^2))</f>
        <v>#REF!</v>
      </c>
      <c r="K164" t="e">
        <f>((Experiment!#REF!+50)*Experiment!#REF!-Experiment!#REF!*(Experiment!#REF!-50))/((Experiment!#REF!+50)^2+(Experiment!#REF!^2))</f>
        <v>#REF!</v>
      </c>
      <c r="L164" t="e">
        <f t="shared" si="30"/>
        <v>#REF!</v>
      </c>
      <c r="M164" t="e">
        <f t="shared" si="31"/>
        <v>#REF!</v>
      </c>
      <c r="N164" t="e">
        <f t="shared" si="32"/>
        <v>#REF!</v>
      </c>
      <c r="Q164">
        <f>Experiment!A164</f>
        <v>650400000</v>
      </c>
      <c r="R164">
        <f>((Experiment!D164+50)*(Experiment!D164-50)+(Experiment!E164^2))/((Experiment!D164+50)^2+(Experiment!E164^2))</f>
        <v>0.14225820866872119</v>
      </c>
      <c r="S164">
        <f>((Experiment!D164+50)*Experiment!E164-Experiment!E164*(Experiment!D164-50))/((Experiment!D164+50)^2+(Experiment!E164^2))</f>
        <v>-0.91521931782927823</v>
      </c>
      <c r="T164" t="str">
        <f t="shared" si="33"/>
        <v>0.142258208668721-0.915219317829278i</v>
      </c>
      <c r="U164">
        <f t="shared" si="38"/>
        <v>0.92620937031619521</v>
      </c>
      <c r="V164">
        <f t="shared" si="34"/>
        <v>0.66581659260299131</v>
      </c>
      <c r="Y164" t="e">
        <f>Experiment!#REF!</f>
        <v>#REF!</v>
      </c>
      <c r="Z164" t="e">
        <f>((Experiment!#REF!+50)*(Experiment!#REF!-50)+(Experiment!#REF!^2))/((Experiment!#REF!+50)^2+(Experiment!#REF!^2))</f>
        <v>#REF!</v>
      </c>
      <c r="AA164" t="e">
        <f>((Experiment!#REF!+50)*Experiment!#REF!-Experiment!#REF!*(Experiment!#REF!-50))/((Experiment!#REF!+50)^2+(Experiment!#REF!^2))</f>
        <v>#REF!</v>
      </c>
      <c r="AB164" t="e">
        <f t="shared" si="35"/>
        <v>#REF!</v>
      </c>
      <c r="AC164" t="e">
        <f t="shared" si="36"/>
        <v>#REF!</v>
      </c>
      <c r="AD164" t="e">
        <f t="shared" si="37"/>
        <v>#REF!</v>
      </c>
    </row>
    <row r="165" spans="1:30" x14ac:dyDescent="0.15">
      <c r="A165" t="e">
        <f>Experiment!#REF!</f>
        <v>#REF!</v>
      </c>
      <c r="B165" t="e">
        <f>((Experiment!#REF!+50)*(Experiment!#REF!-50)+(Experiment!#REF!^2))/((Experiment!#REF!+50)^2+(Experiment!#REF!^2))</f>
        <v>#REF!</v>
      </c>
      <c r="C165" t="e">
        <f>((Experiment!#REF!+50)*Experiment!#REF!-Experiment!#REF!*(Experiment!#REF!-50))/((Experiment!#REF!+50)^2+(Experiment!#REF!^2))</f>
        <v>#REF!</v>
      </c>
      <c r="D165" t="e">
        <f t="shared" si="27"/>
        <v>#REF!</v>
      </c>
      <c r="E165" t="e">
        <f t="shared" si="28"/>
        <v>#REF!</v>
      </c>
      <c r="F165" t="e">
        <f t="shared" si="29"/>
        <v>#REF!</v>
      </c>
      <c r="I165" t="e">
        <f>Experiment!#REF!</f>
        <v>#REF!</v>
      </c>
      <c r="J165" t="e">
        <f>((Experiment!#REF!+50)*(Experiment!#REF!-50)+(Experiment!#REF!^2))/((Experiment!#REF!+50)^2+(Experiment!#REF!^2))</f>
        <v>#REF!</v>
      </c>
      <c r="K165" t="e">
        <f>((Experiment!#REF!+50)*Experiment!#REF!-Experiment!#REF!*(Experiment!#REF!-50))/((Experiment!#REF!+50)^2+(Experiment!#REF!^2))</f>
        <v>#REF!</v>
      </c>
      <c r="L165" t="e">
        <f t="shared" si="30"/>
        <v>#REF!</v>
      </c>
      <c r="M165" t="e">
        <f t="shared" si="31"/>
        <v>#REF!</v>
      </c>
      <c r="N165" t="e">
        <f t="shared" si="32"/>
        <v>#REF!</v>
      </c>
      <c r="Q165">
        <f>Experiment!A165</f>
        <v>677100000</v>
      </c>
      <c r="R165">
        <f>((Experiment!D165+50)*(Experiment!D165-50)+(Experiment!E165^2))/((Experiment!D165+50)^2+(Experiment!E165^2))</f>
        <v>0.12356203115226344</v>
      </c>
      <c r="S165">
        <f>((Experiment!D165+50)*Experiment!E165-Experiment!E165*(Experiment!D165-50))/((Experiment!D165+50)^2+(Experiment!E165^2))</f>
        <v>-0.91880239937734343</v>
      </c>
      <c r="T165" t="str">
        <f t="shared" si="33"/>
        <v>0.123562031152263-0.918802399377343i</v>
      </c>
      <c r="U165">
        <f t="shared" si="38"/>
        <v>0.92707358103013382</v>
      </c>
      <c r="V165">
        <f t="shared" si="34"/>
        <v>0.65771589818507925</v>
      </c>
      <c r="Y165" t="e">
        <f>Experiment!#REF!</f>
        <v>#REF!</v>
      </c>
      <c r="Z165" t="e">
        <f>((Experiment!#REF!+50)*(Experiment!#REF!-50)+(Experiment!#REF!^2))/((Experiment!#REF!+50)^2+(Experiment!#REF!^2))</f>
        <v>#REF!</v>
      </c>
      <c r="AA165" t="e">
        <f>((Experiment!#REF!+50)*Experiment!#REF!-Experiment!#REF!*(Experiment!#REF!-50))/((Experiment!#REF!+50)^2+(Experiment!#REF!^2))</f>
        <v>#REF!</v>
      </c>
      <c r="AB165" t="e">
        <f t="shared" si="35"/>
        <v>#REF!</v>
      </c>
      <c r="AC165" t="e">
        <f t="shared" si="36"/>
        <v>#REF!</v>
      </c>
      <c r="AD165" t="e">
        <f t="shared" si="37"/>
        <v>#REF!</v>
      </c>
    </row>
    <row r="166" spans="1:30" x14ac:dyDescent="0.15">
      <c r="A166" t="e">
        <f>Experiment!#REF!</f>
        <v>#REF!</v>
      </c>
      <c r="B166" t="e">
        <f>((Experiment!#REF!+50)*(Experiment!#REF!-50)+(Experiment!#REF!^2))/((Experiment!#REF!+50)^2+(Experiment!#REF!^2))</f>
        <v>#REF!</v>
      </c>
      <c r="C166" t="e">
        <f>((Experiment!#REF!+50)*Experiment!#REF!-Experiment!#REF!*(Experiment!#REF!-50))/((Experiment!#REF!+50)^2+(Experiment!#REF!^2))</f>
        <v>#REF!</v>
      </c>
      <c r="D166" t="e">
        <f t="shared" si="27"/>
        <v>#REF!</v>
      </c>
      <c r="E166" t="e">
        <f t="shared" si="28"/>
        <v>#REF!</v>
      </c>
      <c r="F166" t="e">
        <f t="shared" si="29"/>
        <v>#REF!</v>
      </c>
      <c r="I166" t="e">
        <f>Experiment!#REF!</f>
        <v>#REF!</v>
      </c>
      <c r="J166" t="e">
        <f>((Experiment!#REF!+50)*(Experiment!#REF!-50)+(Experiment!#REF!^2))/((Experiment!#REF!+50)^2+(Experiment!#REF!^2))</f>
        <v>#REF!</v>
      </c>
      <c r="K166" t="e">
        <f>((Experiment!#REF!+50)*Experiment!#REF!-Experiment!#REF!*(Experiment!#REF!-50))/((Experiment!#REF!+50)^2+(Experiment!#REF!^2))</f>
        <v>#REF!</v>
      </c>
      <c r="L166" t="e">
        <f t="shared" si="30"/>
        <v>#REF!</v>
      </c>
      <c r="M166" t="e">
        <f t="shared" si="31"/>
        <v>#REF!</v>
      </c>
      <c r="N166" t="e">
        <f t="shared" si="32"/>
        <v>#REF!</v>
      </c>
      <c r="Q166">
        <f>Experiment!A166</f>
        <v>704800000</v>
      </c>
      <c r="R166">
        <f>((Experiment!D166+50)*(Experiment!D166-50)+(Experiment!E166^2))/((Experiment!D166+50)^2+(Experiment!E166^2))</f>
        <v>0.10596659347504754</v>
      </c>
      <c r="S166">
        <f>((Experiment!D166+50)*Experiment!E166-Experiment!E166*(Experiment!D166-50))/((Experiment!D166+50)^2+(Experiment!E166^2))</f>
        <v>-0.92167777105248982</v>
      </c>
      <c r="T166" t="str">
        <f t="shared" si="33"/>
        <v>0.105966593475048-0.92167777105249i</v>
      </c>
      <c r="U166">
        <f t="shared" si="38"/>
        <v>0.9277493371514699</v>
      </c>
      <c r="V166">
        <f t="shared" si="34"/>
        <v>0.6513869453838943</v>
      </c>
      <c r="Y166" t="e">
        <f>Experiment!#REF!</f>
        <v>#REF!</v>
      </c>
      <c r="Z166" t="e">
        <f>((Experiment!#REF!+50)*(Experiment!#REF!-50)+(Experiment!#REF!^2))/((Experiment!#REF!+50)^2+(Experiment!#REF!^2))</f>
        <v>#REF!</v>
      </c>
      <c r="AA166" t="e">
        <f>((Experiment!#REF!+50)*Experiment!#REF!-Experiment!#REF!*(Experiment!#REF!-50))/((Experiment!#REF!+50)^2+(Experiment!#REF!^2))</f>
        <v>#REF!</v>
      </c>
      <c r="AB166" t="e">
        <f t="shared" si="35"/>
        <v>#REF!</v>
      </c>
      <c r="AC166" t="e">
        <f t="shared" si="36"/>
        <v>#REF!</v>
      </c>
      <c r="AD166" t="e">
        <f t="shared" si="37"/>
        <v>#REF!</v>
      </c>
    </row>
    <row r="167" spans="1:30" x14ac:dyDescent="0.15">
      <c r="A167" t="e">
        <f>Experiment!#REF!</f>
        <v>#REF!</v>
      </c>
      <c r="B167" t="e">
        <f>((Experiment!#REF!+50)*(Experiment!#REF!-50)+(Experiment!#REF!^2))/((Experiment!#REF!+50)^2+(Experiment!#REF!^2))</f>
        <v>#REF!</v>
      </c>
      <c r="C167" t="e">
        <f>((Experiment!#REF!+50)*Experiment!#REF!-Experiment!#REF!*(Experiment!#REF!-50))/((Experiment!#REF!+50)^2+(Experiment!#REF!^2))</f>
        <v>#REF!</v>
      </c>
      <c r="D167" t="e">
        <f t="shared" si="27"/>
        <v>#REF!</v>
      </c>
      <c r="E167" t="e">
        <f t="shared" si="28"/>
        <v>#REF!</v>
      </c>
      <c r="F167" t="e">
        <f t="shared" si="29"/>
        <v>#REF!</v>
      </c>
      <c r="I167" t="e">
        <f>Experiment!#REF!</f>
        <v>#REF!</v>
      </c>
      <c r="J167" t="e">
        <f>((Experiment!#REF!+50)*(Experiment!#REF!-50)+(Experiment!#REF!^2))/((Experiment!#REF!+50)^2+(Experiment!#REF!^2))</f>
        <v>#REF!</v>
      </c>
      <c r="K167" t="e">
        <f>((Experiment!#REF!+50)*Experiment!#REF!-Experiment!#REF!*(Experiment!#REF!-50))/((Experiment!#REF!+50)^2+(Experiment!#REF!^2))</f>
        <v>#REF!</v>
      </c>
      <c r="L167" t="e">
        <f t="shared" si="30"/>
        <v>#REF!</v>
      </c>
      <c r="M167" t="e">
        <f t="shared" si="31"/>
        <v>#REF!</v>
      </c>
      <c r="N167" t="e">
        <f t="shared" si="32"/>
        <v>#REF!</v>
      </c>
      <c r="Q167">
        <f>Experiment!A167</f>
        <v>733800000</v>
      </c>
      <c r="R167">
        <f>((Experiment!D167+50)*(Experiment!D167-50)+(Experiment!E167^2))/((Experiment!D167+50)^2+(Experiment!E167^2))</f>
        <v>8.9433414164595021E-2</v>
      </c>
      <c r="S167">
        <f>((Experiment!D167+50)*Experiment!E167-Experiment!E167*(Experiment!D167-50))/((Experiment!D167+50)^2+(Experiment!E167^2))</f>
        <v>-0.92442797114380459</v>
      </c>
      <c r="T167" t="str">
        <f t="shared" si="33"/>
        <v>0.089433414164595-0.924427971143805i</v>
      </c>
      <c r="U167">
        <f t="shared" si="38"/>
        <v>0.92874399562106824</v>
      </c>
      <c r="V167">
        <f t="shared" si="34"/>
        <v>0.64207961918061829</v>
      </c>
      <c r="Y167" t="e">
        <f>Experiment!#REF!</f>
        <v>#REF!</v>
      </c>
      <c r="Z167" t="e">
        <f>((Experiment!#REF!+50)*(Experiment!#REF!-50)+(Experiment!#REF!^2))/((Experiment!#REF!+50)^2+(Experiment!#REF!^2))</f>
        <v>#REF!</v>
      </c>
      <c r="AA167" t="e">
        <f>((Experiment!#REF!+50)*Experiment!#REF!-Experiment!#REF!*(Experiment!#REF!-50))/((Experiment!#REF!+50)^2+(Experiment!#REF!^2))</f>
        <v>#REF!</v>
      </c>
      <c r="AB167" t="e">
        <f t="shared" si="35"/>
        <v>#REF!</v>
      </c>
      <c r="AC167" t="e">
        <f t="shared" si="36"/>
        <v>#REF!</v>
      </c>
      <c r="AD167" t="e">
        <f t="shared" si="37"/>
        <v>#REF!</v>
      </c>
    </row>
    <row r="168" spans="1:30" x14ac:dyDescent="0.15">
      <c r="A168" t="e">
        <f>Experiment!#REF!</f>
        <v>#REF!</v>
      </c>
      <c r="B168" t="e">
        <f>((Experiment!#REF!+50)*(Experiment!#REF!-50)+(Experiment!#REF!^2))/((Experiment!#REF!+50)^2+(Experiment!#REF!^2))</f>
        <v>#REF!</v>
      </c>
      <c r="C168" t="e">
        <f>((Experiment!#REF!+50)*Experiment!#REF!-Experiment!#REF!*(Experiment!#REF!-50))/((Experiment!#REF!+50)^2+(Experiment!#REF!^2))</f>
        <v>#REF!</v>
      </c>
      <c r="D168" t="e">
        <f t="shared" si="27"/>
        <v>#REF!</v>
      </c>
      <c r="E168" t="e">
        <f t="shared" si="28"/>
        <v>#REF!</v>
      </c>
      <c r="F168" t="e">
        <f t="shared" si="29"/>
        <v>#REF!</v>
      </c>
      <c r="I168" t="e">
        <f>Experiment!#REF!</f>
        <v>#REF!</v>
      </c>
      <c r="J168" t="e">
        <f>((Experiment!#REF!+50)*(Experiment!#REF!-50)+(Experiment!#REF!^2))/((Experiment!#REF!+50)^2+(Experiment!#REF!^2))</f>
        <v>#REF!</v>
      </c>
      <c r="K168" t="e">
        <f>((Experiment!#REF!+50)*Experiment!#REF!-Experiment!#REF!*(Experiment!#REF!-50))/((Experiment!#REF!+50)^2+(Experiment!#REF!^2))</f>
        <v>#REF!</v>
      </c>
      <c r="L168" t="e">
        <f t="shared" si="30"/>
        <v>#REF!</v>
      </c>
      <c r="M168" t="e">
        <f t="shared" si="31"/>
        <v>#REF!</v>
      </c>
      <c r="N168" t="e">
        <f t="shared" si="32"/>
        <v>#REF!</v>
      </c>
      <c r="Q168">
        <f>Experiment!A168</f>
        <v>763900000</v>
      </c>
      <c r="R168">
        <f>((Experiment!D168+50)*(Experiment!D168-50)+(Experiment!E168^2))/((Experiment!D168+50)^2+(Experiment!E168^2))</f>
        <v>7.4206463081134669E-2</v>
      </c>
      <c r="S168">
        <f>((Experiment!D168+50)*Experiment!E168-Experiment!E168*(Experiment!D168-50))/((Experiment!D168+50)^2+(Experiment!E168^2))</f>
        <v>-0.92663013031488417</v>
      </c>
      <c r="T168" t="str">
        <f t="shared" si="33"/>
        <v>0.0742064630811347-0.926630130314884i</v>
      </c>
      <c r="U168">
        <f t="shared" si="38"/>
        <v>0.92959668543427532</v>
      </c>
      <c r="V168">
        <f t="shared" si="34"/>
        <v>0.63410866938836785</v>
      </c>
      <c r="Y168" t="e">
        <f>Experiment!#REF!</f>
        <v>#REF!</v>
      </c>
      <c r="Z168" t="e">
        <f>((Experiment!#REF!+50)*(Experiment!#REF!-50)+(Experiment!#REF!^2))/((Experiment!#REF!+50)^2+(Experiment!#REF!^2))</f>
        <v>#REF!</v>
      </c>
      <c r="AA168" t="e">
        <f>((Experiment!#REF!+50)*Experiment!#REF!-Experiment!#REF!*(Experiment!#REF!-50))/((Experiment!#REF!+50)^2+(Experiment!#REF!^2))</f>
        <v>#REF!</v>
      </c>
      <c r="AB168" t="e">
        <f t="shared" si="35"/>
        <v>#REF!</v>
      </c>
      <c r="AC168" t="e">
        <f t="shared" si="36"/>
        <v>#REF!</v>
      </c>
      <c r="AD168" t="e">
        <f t="shared" si="37"/>
        <v>#REF!</v>
      </c>
    </row>
    <row r="169" spans="1:30" x14ac:dyDescent="0.15">
      <c r="A169" t="e">
        <f>Experiment!#REF!</f>
        <v>#REF!</v>
      </c>
      <c r="B169" t="e">
        <f>((Experiment!#REF!+50)*(Experiment!#REF!-50)+(Experiment!#REF!^2))/((Experiment!#REF!+50)^2+(Experiment!#REF!^2))</f>
        <v>#REF!</v>
      </c>
      <c r="C169" t="e">
        <f>((Experiment!#REF!+50)*Experiment!#REF!-Experiment!#REF!*(Experiment!#REF!-50))/((Experiment!#REF!+50)^2+(Experiment!#REF!^2))</f>
        <v>#REF!</v>
      </c>
      <c r="D169" t="e">
        <f t="shared" si="27"/>
        <v>#REF!</v>
      </c>
      <c r="E169" t="e">
        <f t="shared" si="28"/>
        <v>#REF!</v>
      </c>
      <c r="F169" t="e">
        <f t="shared" si="29"/>
        <v>#REF!</v>
      </c>
      <c r="I169" t="e">
        <f>Experiment!#REF!</f>
        <v>#REF!</v>
      </c>
      <c r="J169" t="e">
        <f>((Experiment!#REF!+50)*(Experiment!#REF!-50)+(Experiment!#REF!^2))/((Experiment!#REF!+50)^2+(Experiment!#REF!^2))</f>
        <v>#REF!</v>
      </c>
      <c r="K169" t="e">
        <f>((Experiment!#REF!+50)*Experiment!#REF!-Experiment!#REF!*(Experiment!#REF!-50))/((Experiment!#REF!+50)^2+(Experiment!#REF!^2))</f>
        <v>#REF!</v>
      </c>
      <c r="L169" t="e">
        <f t="shared" si="30"/>
        <v>#REF!</v>
      </c>
      <c r="M169" t="e">
        <f t="shared" si="31"/>
        <v>#REF!</v>
      </c>
      <c r="N169" t="e">
        <f t="shared" si="32"/>
        <v>#REF!</v>
      </c>
      <c r="Q169">
        <f>Experiment!A169</f>
        <v>795300000</v>
      </c>
      <c r="R169">
        <f>((Experiment!D169+50)*(Experiment!D169-50)+(Experiment!E169^2))/((Experiment!D169+50)^2+(Experiment!E169^2))</f>
        <v>6.0375770553314105E-2</v>
      </c>
      <c r="S169">
        <f>((Experiment!D169+50)*Experiment!E169-Experiment!E169*(Experiment!D169-50))/((Experiment!D169+50)^2+(Experiment!E169^2))</f>
        <v>-0.92866558080330364</v>
      </c>
      <c r="T169" t="str">
        <f t="shared" si="33"/>
        <v>0.0603757705533141-0.928665580803304i</v>
      </c>
      <c r="U169">
        <f t="shared" si="38"/>
        <v>0.93062613042974662</v>
      </c>
      <c r="V169">
        <f t="shared" si="34"/>
        <v>0.62449514733535227</v>
      </c>
      <c r="Y169" t="e">
        <f>Experiment!#REF!</f>
        <v>#REF!</v>
      </c>
      <c r="Z169" t="e">
        <f>((Experiment!#REF!+50)*(Experiment!#REF!-50)+(Experiment!#REF!^2))/((Experiment!#REF!+50)^2+(Experiment!#REF!^2))</f>
        <v>#REF!</v>
      </c>
      <c r="AA169" t="e">
        <f>((Experiment!#REF!+50)*Experiment!#REF!-Experiment!#REF!*(Experiment!#REF!-50))/((Experiment!#REF!+50)^2+(Experiment!#REF!^2))</f>
        <v>#REF!</v>
      </c>
      <c r="AB169" t="e">
        <f t="shared" si="35"/>
        <v>#REF!</v>
      </c>
      <c r="AC169" t="e">
        <f t="shared" si="36"/>
        <v>#REF!</v>
      </c>
      <c r="AD169" t="e">
        <f t="shared" si="37"/>
        <v>#REF!</v>
      </c>
    </row>
    <row r="170" spans="1:30" x14ac:dyDescent="0.15">
      <c r="A170" t="e">
        <f>Experiment!#REF!</f>
        <v>#REF!</v>
      </c>
      <c r="B170" t="e">
        <f>((Experiment!#REF!+50)*(Experiment!#REF!-50)+(Experiment!#REF!^2))/((Experiment!#REF!+50)^2+(Experiment!#REF!^2))</f>
        <v>#REF!</v>
      </c>
      <c r="C170" t="e">
        <f>((Experiment!#REF!+50)*Experiment!#REF!-Experiment!#REF!*(Experiment!#REF!-50))/((Experiment!#REF!+50)^2+(Experiment!#REF!^2))</f>
        <v>#REF!</v>
      </c>
      <c r="D170" t="e">
        <f t="shared" si="27"/>
        <v>#REF!</v>
      </c>
      <c r="E170" t="e">
        <f t="shared" si="28"/>
        <v>#REF!</v>
      </c>
      <c r="F170" t="e">
        <f t="shared" si="29"/>
        <v>#REF!</v>
      </c>
      <c r="I170" t="e">
        <f>Experiment!#REF!</f>
        <v>#REF!</v>
      </c>
      <c r="J170" t="e">
        <f>((Experiment!#REF!+50)*(Experiment!#REF!-50)+(Experiment!#REF!^2))/((Experiment!#REF!+50)^2+(Experiment!#REF!^2))</f>
        <v>#REF!</v>
      </c>
      <c r="K170" t="e">
        <f>((Experiment!#REF!+50)*Experiment!#REF!-Experiment!#REF!*(Experiment!#REF!-50))/((Experiment!#REF!+50)^2+(Experiment!#REF!^2))</f>
        <v>#REF!</v>
      </c>
      <c r="L170" t="e">
        <f t="shared" si="30"/>
        <v>#REF!</v>
      </c>
      <c r="M170" t="e">
        <f t="shared" si="31"/>
        <v>#REF!</v>
      </c>
      <c r="N170" t="e">
        <f t="shared" si="32"/>
        <v>#REF!</v>
      </c>
      <c r="Q170">
        <f>Experiment!A170</f>
        <v>827900000</v>
      </c>
      <c r="R170">
        <f>((Experiment!D170+50)*(Experiment!D170-50)+(Experiment!E170^2))/((Experiment!D170+50)^2+(Experiment!E170^2))</f>
        <v>4.7197521160886394E-2</v>
      </c>
      <c r="S170">
        <f>((Experiment!D170+50)*Experiment!E170-Experiment!E170*(Experiment!D170-50))/((Experiment!D170+50)^2+(Experiment!E170^2))</f>
        <v>-0.92965005311081317</v>
      </c>
      <c r="T170" t="str">
        <f t="shared" si="33"/>
        <v>0.0471975211608864-0.929650053110813i</v>
      </c>
      <c r="U170">
        <f t="shared" si="38"/>
        <v>0.93084737054614386</v>
      </c>
      <c r="V170">
        <f t="shared" si="34"/>
        <v>0.62243047411536812</v>
      </c>
      <c r="Y170" t="e">
        <f>Experiment!#REF!</f>
        <v>#REF!</v>
      </c>
      <c r="Z170" t="e">
        <f>((Experiment!#REF!+50)*(Experiment!#REF!-50)+(Experiment!#REF!^2))/((Experiment!#REF!+50)^2+(Experiment!#REF!^2))</f>
        <v>#REF!</v>
      </c>
      <c r="AA170" t="e">
        <f>((Experiment!#REF!+50)*Experiment!#REF!-Experiment!#REF!*(Experiment!#REF!-50))/((Experiment!#REF!+50)^2+(Experiment!#REF!^2))</f>
        <v>#REF!</v>
      </c>
      <c r="AB170" t="e">
        <f t="shared" si="35"/>
        <v>#REF!</v>
      </c>
      <c r="AC170" t="e">
        <f t="shared" si="36"/>
        <v>#REF!</v>
      </c>
      <c r="AD170" t="e">
        <f t="shared" si="37"/>
        <v>#REF!</v>
      </c>
    </row>
    <row r="171" spans="1:30" x14ac:dyDescent="0.15">
      <c r="A171" t="e">
        <f>Experiment!#REF!</f>
        <v>#REF!</v>
      </c>
      <c r="B171" t="e">
        <f>((Experiment!#REF!+50)*(Experiment!#REF!-50)+(Experiment!#REF!^2))/((Experiment!#REF!+50)^2+(Experiment!#REF!^2))</f>
        <v>#REF!</v>
      </c>
      <c r="C171" t="e">
        <f>((Experiment!#REF!+50)*Experiment!#REF!-Experiment!#REF!*(Experiment!#REF!-50))/((Experiment!#REF!+50)^2+(Experiment!#REF!^2))</f>
        <v>#REF!</v>
      </c>
      <c r="D171" t="e">
        <f t="shared" si="27"/>
        <v>#REF!</v>
      </c>
      <c r="E171" t="e">
        <f t="shared" si="28"/>
        <v>#REF!</v>
      </c>
      <c r="F171" t="e">
        <f t="shared" si="29"/>
        <v>#REF!</v>
      </c>
      <c r="I171" t="e">
        <f>Experiment!#REF!</f>
        <v>#REF!</v>
      </c>
      <c r="J171" t="e">
        <f>((Experiment!#REF!+50)*(Experiment!#REF!-50)+(Experiment!#REF!^2))/((Experiment!#REF!+50)^2+(Experiment!#REF!^2))</f>
        <v>#REF!</v>
      </c>
      <c r="K171" t="e">
        <f>((Experiment!#REF!+50)*Experiment!#REF!-Experiment!#REF!*(Experiment!#REF!-50))/((Experiment!#REF!+50)^2+(Experiment!#REF!^2))</f>
        <v>#REF!</v>
      </c>
      <c r="L171" t="e">
        <f t="shared" si="30"/>
        <v>#REF!</v>
      </c>
      <c r="M171" t="e">
        <f t="shared" si="31"/>
        <v>#REF!</v>
      </c>
      <c r="N171" t="e">
        <f t="shared" si="32"/>
        <v>#REF!</v>
      </c>
      <c r="Q171">
        <f>Experiment!A171</f>
        <v>861900000</v>
      </c>
      <c r="R171">
        <f>((Experiment!D171+50)*(Experiment!D171-50)+(Experiment!E171^2))/((Experiment!D171+50)^2+(Experiment!E171^2))</f>
        <v>3.6193331529302618E-2</v>
      </c>
      <c r="S171">
        <f>((Experiment!D171+50)*Experiment!E171-Experiment!E171*(Experiment!D171-50))/((Experiment!D171+50)^2+(Experiment!E171^2))</f>
        <v>-0.93052115693629933</v>
      </c>
      <c r="T171" t="str">
        <f t="shared" si="33"/>
        <v>0.0361933315293026-0.930521156936299i</v>
      </c>
      <c r="U171">
        <f t="shared" si="38"/>
        <v>0.93122477455942876</v>
      </c>
      <c r="V171">
        <f t="shared" si="34"/>
        <v>0.61890956901847516</v>
      </c>
      <c r="Y171" t="e">
        <f>Experiment!#REF!</f>
        <v>#REF!</v>
      </c>
      <c r="Z171" t="e">
        <f>((Experiment!#REF!+50)*(Experiment!#REF!-50)+(Experiment!#REF!^2))/((Experiment!#REF!+50)^2+(Experiment!#REF!^2))</f>
        <v>#REF!</v>
      </c>
      <c r="AA171" t="e">
        <f>((Experiment!#REF!+50)*Experiment!#REF!-Experiment!#REF!*(Experiment!#REF!-50))/((Experiment!#REF!+50)^2+(Experiment!#REF!^2))</f>
        <v>#REF!</v>
      </c>
      <c r="AB171" t="e">
        <f t="shared" si="35"/>
        <v>#REF!</v>
      </c>
      <c r="AC171" t="e">
        <f t="shared" si="36"/>
        <v>#REF!</v>
      </c>
      <c r="AD171" t="e">
        <f t="shared" si="37"/>
        <v>#REF!</v>
      </c>
    </row>
    <row r="172" spans="1:30" x14ac:dyDescent="0.15">
      <c r="A172" t="e">
        <f>Experiment!#REF!</f>
        <v>#REF!</v>
      </c>
      <c r="B172" t="e">
        <f>((Experiment!#REF!+50)*(Experiment!#REF!-50)+(Experiment!#REF!^2))/((Experiment!#REF!+50)^2+(Experiment!#REF!^2))</f>
        <v>#REF!</v>
      </c>
      <c r="C172" t="e">
        <f>((Experiment!#REF!+50)*Experiment!#REF!-Experiment!#REF!*(Experiment!#REF!-50))/((Experiment!#REF!+50)^2+(Experiment!#REF!^2))</f>
        <v>#REF!</v>
      </c>
      <c r="D172" t="e">
        <f t="shared" si="27"/>
        <v>#REF!</v>
      </c>
      <c r="E172" t="e">
        <f t="shared" si="28"/>
        <v>#REF!</v>
      </c>
      <c r="F172" t="e">
        <f t="shared" si="29"/>
        <v>#REF!</v>
      </c>
      <c r="I172" t="e">
        <f>Experiment!#REF!</f>
        <v>#REF!</v>
      </c>
      <c r="J172" t="e">
        <f>((Experiment!#REF!+50)*(Experiment!#REF!-50)+(Experiment!#REF!^2))/((Experiment!#REF!+50)^2+(Experiment!#REF!^2))</f>
        <v>#REF!</v>
      </c>
      <c r="K172" t="e">
        <f>((Experiment!#REF!+50)*Experiment!#REF!-Experiment!#REF!*(Experiment!#REF!-50))/((Experiment!#REF!+50)^2+(Experiment!#REF!^2))</f>
        <v>#REF!</v>
      </c>
      <c r="L172" t="e">
        <f t="shared" si="30"/>
        <v>#REF!</v>
      </c>
      <c r="M172" t="e">
        <f t="shared" si="31"/>
        <v>#REF!</v>
      </c>
      <c r="N172" t="e">
        <f t="shared" si="32"/>
        <v>#REF!</v>
      </c>
      <c r="Q172">
        <f>Experiment!A172</f>
        <v>897300000</v>
      </c>
      <c r="R172">
        <f>((Experiment!D172+50)*(Experiment!D172-50)+(Experiment!E172^2))/((Experiment!D172+50)^2+(Experiment!E172^2))</f>
        <v>2.7867514351090777E-2</v>
      </c>
      <c r="S172">
        <f>((Experiment!D172+50)*Experiment!E172-Experiment!E172*(Experiment!D172-50))/((Experiment!D172+50)^2+(Experiment!E172^2))</f>
        <v>-0.93176670506428738</v>
      </c>
      <c r="T172" t="str">
        <f t="shared" si="33"/>
        <v>0.0278675143510908-0.931766705064287i</v>
      </c>
      <c r="U172">
        <f t="shared" si="38"/>
        <v>0.93218334624818677</v>
      </c>
      <c r="V172">
        <f t="shared" si="34"/>
        <v>0.60997320286209278</v>
      </c>
      <c r="Y172" t="e">
        <f>Experiment!#REF!</f>
        <v>#REF!</v>
      </c>
      <c r="Z172" t="e">
        <f>((Experiment!#REF!+50)*(Experiment!#REF!-50)+(Experiment!#REF!^2))/((Experiment!#REF!+50)^2+(Experiment!#REF!^2))</f>
        <v>#REF!</v>
      </c>
      <c r="AA172" t="e">
        <f>((Experiment!#REF!+50)*Experiment!#REF!-Experiment!#REF!*(Experiment!#REF!-50))/((Experiment!#REF!+50)^2+(Experiment!#REF!^2))</f>
        <v>#REF!</v>
      </c>
      <c r="AB172" t="e">
        <f t="shared" si="35"/>
        <v>#REF!</v>
      </c>
      <c r="AC172" t="e">
        <f t="shared" si="36"/>
        <v>#REF!</v>
      </c>
      <c r="AD172" t="e">
        <f t="shared" si="37"/>
        <v>#REF!</v>
      </c>
    </row>
    <row r="173" spans="1:30" x14ac:dyDescent="0.15">
      <c r="A173" t="e">
        <f>Experiment!#REF!</f>
        <v>#REF!</v>
      </c>
      <c r="B173" t="e">
        <f>((Experiment!#REF!+50)*(Experiment!#REF!-50)+(Experiment!#REF!^2))/((Experiment!#REF!+50)^2+(Experiment!#REF!^2))</f>
        <v>#REF!</v>
      </c>
      <c r="C173" t="e">
        <f>((Experiment!#REF!+50)*Experiment!#REF!-Experiment!#REF!*(Experiment!#REF!-50))/((Experiment!#REF!+50)^2+(Experiment!#REF!^2))</f>
        <v>#REF!</v>
      </c>
      <c r="D173" t="e">
        <f t="shared" si="27"/>
        <v>#REF!</v>
      </c>
      <c r="E173" t="e">
        <f t="shared" si="28"/>
        <v>#REF!</v>
      </c>
      <c r="F173" t="e">
        <f t="shared" si="29"/>
        <v>#REF!</v>
      </c>
      <c r="I173" t="e">
        <f>Experiment!#REF!</f>
        <v>#REF!</v>
      </c>
      <c r="J173" t="e">
        <f>((Experiment!#REF!+50)*(Experiment!#REF!-50)+(Experiment!#REF!^2))/((Experiment!#REF!+50)^2+(Experiment!#REF!^2))</f>
        <v>#REF!</v>
      </c>
      <c r="K173" t="e">
        <f>((Experiment!#REF!+50)*Experiment!#REF!-Experiment!#REF!*(Experiment!#REF!-50))/((Experiment!#REF!+50)^2+(Experiment!#REF!^2))</f>
        <v>#REF!</v>
      </c>
      <c r="L173" t="e">
        <f t="shared" si="30"/>
        <v>#REF!</v>
      </c>
      <c r="M173" t="e">
        <f t="shared" si="31"/>
        <v>#REF!</v>
      </c>
      <c r="N173" t="e">
        <f t="shared" si="32"/>
        <v>#REF!</v>
      </c>
      <c r="Q173">
        <f>Experiment!A173</f>
        <v>934100000</v>
      </c>
      <c r="R173">
        <f>((Experiment!D173+50)*(Experiment!D173-50)+(Experiment!E173^2))/((Experiment!D173+50)^2+(Experiment!E173^2))</f>
        <v>1.7969430933265911E-2</v>
      </c>
      <c r="S173">
        <f>((Experiment!D173+50)*Experiment!E173-Experiment!E173*(Experiment!D173-50))/((Experiment!D173+50)^2+(Experiment!E173^2))</f>
        <v>-0.93197007664878118</v>
      </c>
      <c r="T173" t="str">
        <f t="shared" si="33"/>
        <v>0.0179694309332659-0.931970076648781i</v>
      </c>
      <c r="U173">
        <f t="shared" si="38"/>
        <v>0.93214329596731016</v>
      </c>
      <c r="V173">
        <f t="shared" si="34"/>
        <v>0.61034639102756127</v>
      </c>
      <c r="Y173" t="e">
        <f>Experiment!#REF!</f>
        <v>#REF!</v>
      </c>
      <c r="Z173" t="e">
        <f>((Experiment!#REF!+50)*(Experiment!#REF!-50)+(Experiment!#REF!^2))/((Experiment!#REF!+50)^2+(Experiment!#REF!^2))</f>
        <v>#REF!</v>
      </c>
      <c r="AA173" t="e">
        <f>((Experiment!#REF!+50)*Experiment!#REF!-Experiment!#REF!*(Experiment!#REF!-50))/((Experiment!#REF!+50)^2+(Experiment!#REF!^2))</f>
        <v>#REF!</v>
      </c>
      <c r="AB173" t="e">
        <f t="shared" si="35"/>
        <v>#REF!</v>
      </c>
      <c r="AC173" t="e">
        <f t="shared" si="36"/>
        <v>#REF!</v>
      </c>
      <c r="AD173" t="e">
        <f t="shared" si="37"/>
        <v>#REF!</v>
      </c>
    </row>
    <row r="174" spans="1:30" x14ac:dyDescent="0.15">
      <c r="A174" t="e">
        <f>Experiment!#REF!</f>
        <v>#REF!</v>
      </c>
      <c r="B174" t="e">
        <f>((Experiment!#REF!+50)*(Experiment!#REF!-50)+(Experiment!#REF!^2))/((Experiment!#REF!+50)^2+(Experiment!#REF!^2))</f>
        <v>#REF!</v>
      </c>
      <c r="C174" t="e">
        <f>((Experiment!#REF!+50)*Experiment!#REF!-Experiment!#REF!*(Experiment!#REF!-50))/((Experiment!#REF!+50)^2+(Experiment!#REF!^2))</f>
        <v>#REF!</v>
      </c>
      <c r="D174" t="e">
        <f t="shared" si="27"/>
        <v>#REF!</v>
      </c>
      <c r="E174" t="e">
        <f t="shared" si="28"/>
        <v>#REF!</v>
      </c>
      <c r="F174" t="e">
        <f t="shared" si="29"/>
        <v>#REF!</v>
      </c>
      <c r="I174" t="e">
        <f>Experiment!#REF!</f>
        <v>#REF!</v>
      </c>
      <c r="J174" t="e">
        <f>((Experiment!#REF!+50)*(Experiment!#REF!-50)+(Experiment!#REF!^2))/((Experiment!#REF!+50)^2+(Experiment!#REF!^2))</f>
        <v>#REF!</v>
      </c>
      <c r="K174" t="e">
        <f>((Experiment!#REF!+50)*Experiment!#REF!-Experiment!#REF!*(Experiment!#REF!-50))/((Experiment!#REF!+50)^2+(Experiment!#REF!^2))</f>
        <v>#REF!</v>
      </c>
      <c r="L174" t="e">
        <f t="shared" si="30"/>
        <v>#REF!</v>
      </c>
      <c r="M174" t="e">
        <f t="shared" si="31"/>
        <v>#REF!</v>
      </c>
      <c r="N174" t="e">
        <f t="shared" si="32"/>
        <v>#REF!</v>
      </c>
      <c r="Q174">
        <f>Experiment!A174</f>
        <v>972500000</v>
      </c>
      <c r="R174">
        <f>((Experiment!D174+50)*(Experiment!D174-50)+(Experiment!E174^2))/((Experiment!D174+50)^2+(Experiment!E174^2))</f>
        <v>1.1813030916193181E-2</v>
      </c>
      <c r="S174">
        <f>((Experiment!D174+50)*Experiment!E174-Experiment!E174*(Experiment!D174-50))/((Experiment!D174+50)^2+(Experiment!E174^2))</f>
        <v>-0.93258992808939822</v>
      </c>
      <c r="T174" t="str">
        <f t="shared" si="33"/>
        <v>0.0118130309161932-0.932589928089398i</v>
      </c>
      <c r="U174">
        <f t="shared" si="38"/>
        <v>0.93266474237703223</v>
      </c>
      <c r="V174">
        <f t="shared" si="34"/>
        <v>0.6054888121326536</v>
      </c>
      <c r="Y174" t="e">
        <f>Experiment!#REF!</f>
        <v>#REF!</v>
      </c>
      <c r="Z174" t="e">
        <f>((Experiment!#REF!+50)*(Experiment!#REF!-50)+(Experiment!#REF!^2))/((Experiment!#REF!+50)^2+(Experiment!#REF!^2))</f>
        <v>#REF!</v>
      </c>
      <c r="AA174" t="e">
        <f>((Experiment!#REF!+50)*Experiment!#REF!-Experiment!#REF!*(Experiment!#REF!-50))/((Experiment!#REF!+50)^2+(Experiment!#REF!^2))</f>
        <v>#REF!</v>
      </c>
      <c r="AB174" t="e">
        <f t="shared" si="35"/>
        <v>#REF!</v>
      </c>
      <c r="AC174" t="e">
        <f t="shared" si="36"/>
        <v>#REF!</v>
      </c>
      <c r="AD174" t="e">
        <f t="shared" si="37"/>
        <v>#REF!</v>
      </c>
    </row>
    <row r="175" spans="1:30" x14ac:dyDescent="0.15">
      <c r="A175" t="e">
        <f>Experiment!#REF!</f>
        <v>#REF!</v>
      </c>
      <c r="B175" t="e">
        <f>((Experiment!#REF!+50)*(Experiment!#REF!-50)+(Experiment!#REF!^2))/((Experiment!#REF!+50)^2+(Experiment!#REF!^2))</f>
        <v>#REF!</v>
      </c>
      <c r="C175" t="e">
        <f>((Experiment!#REF!+50)*Experiment!#REF!-Experiment!#REF!*(Experiment!#REF!-50))/((Experiment!#REF!+50)^2+(Experiment!#REF!^2))</f>
        <v>#REF!</v>
      </c>
      <c r="D175" t="e">
        <f t="shared" si="27"/>
        <v>#REF!</v>
      </c>
      <c r="E175" t="e">
        <f t="shared" si="28"/>
        <v>#REF!</v>
      </c>
      <c r="F175" t="e">
        <f t="shared" si="29"/>
        <v>#REF!</v>
      </c>
      <c r="I175" t="e">
        <f>Experiment!#REF!</f>
        <v>#REF!</v>
      </c>
      <c r="J175" t="e">
        <f>((Experiment!#REF!+50)*(Experiment!#REF!-50)+(Experiment!#REF!^2))/((Experiment!#REF!+50)^2+(Experiment!#REF!^2))</f>
        <v>#REF!</v>
      </c>
      <c r="K175" t="e">
        <f>((Experiment!#REF!+50)*Experiment!#REF!-Experiment!#REF!*(Experiment!#REF!-50))/((Experiment!#REF!+50)^2+(Experiment!#REF!^2))</f>
        <v>#REF!</v>
      </c>
      <c r="L175" t="e">
        <f t="shared" si="30"/>
        <v>#REF!</v>
      </c>
      <c r="M175" t="e">
        <f t="shared" si="31"/>
        <v>#REF!</v>
      </c>
      <c r="N175" t="e">
        <f t="shared" si="32"/>
        <v>#REF!</v>
      </c>
      <c r="Q175">
        <f>Experiment!A175</f>
        <v>1012400000</v>
      </c>
      <c r="R175">
        <f>((Experiment!D175+50)*(Experiment!D175-50)+(Experiment!E175^2))/((Experiment!D175+50)^2+(Experiment!E175^2))</f>
        <v>5.9629296321613828E-3</v>
      </c>
      <c r="S175">
        <f>((Experiment!D175+50)*Experiment!E175-Experiment!E175*(Experiment!D175-50))/((Experiment!D175+50)^2+(Experiment!E175^2))</f>
        <v>-0.93279193890403522</v>
      </c>
      <c r="T175" t="str">
        <f t="shared" si="33"/>
        <v>0.00596292963216138-0.932791938904035i</v>
      </c>
      <c r="U175">
        <f t="shared" si="38"/>
        <v>0.93281099790587141</v>
      </c>
      <c r="V175">
        <f t="shared" si="34"/>
        <v>0.60412684386083448</v>
      </c>
      <c r="Y175" t="e">
        <f>Experiment!#REF!</f>
        <v>#REF!</v>
      </c>
      <c r="Z175" t="e">
        <f>((Experiment!#REF!+50)*(Experiment!#REF!-50)+(Experiment!#REF!^2))/((Experiment!#REF!+50)^2+(Experiment!#REF!^2))</f>
        <v>#REF!</v>
      </c>
      <c r="AA175" t="e">
        <f>((Experiment!#REF!+50)*Experiment!#REF!-Experiment!#REF!*(Experiment!#REF!-50))/((Experiment!#REF!+50)^2+(Experiment!#REF!^2))</f>
        <v>#REF!</v>
      </c>
      <c r="AB175" t="e">
        <f t="shared" si="35"/>
        <v>#REF!</v>
      </c>
      <c r="AC175" t="e">
        <f t="shared" si="36"/>
        <v>#REF!</v>
      </c>
      <c r="AD175" t="e">
        <f t="shared" si="37"/>
        <v>#REF!</v>
      </c>
    </row>
    <row r="176" spans="1:30" x14ac:dyDescent="0.15">
      <c r="A176" t="e">
        <f>Experiment!#REF!</f>
        <v>#REF!</v>
      </c>
      <c r="B176" t="e">
        <f>((Experiment!#REF!+50)*(Experiment!#REF!-50)+(Experiment!#REF!^2))/((Experiment!#REF!+50)^2+(Experiment!#REF!^2))</f>
        <v>#REF!</v>
      </c>
      <c r="C176" t="e">
        <f>((Experiment!#REF!+50)*Experiment!#REF!-Experiment!#REF!*(Experiment!#REF!-50))/((Experiment!#REF!+50)^2+(Experiment!#REF!^2))</f>
        <v>#REF!</v>
      </c>
      <c r="D176" t="e">
        <f t="shared" si="27"/>
        <v>#REF!</v>
      </c>
      <c r="E176" t="e">
        <f t="shared" si="28"/>
        <v>#REF!</v>
      </c>
      <c r="F176" t="e">
        <f t="shared" si="29"/>
        <v>#REF!</v>
      </c>
      <c r="I176" t="e">
        <f>Experiment!#REF!</f>
        <v>#REF!</v>
      </c>
      <c r="J176" t="e">
        <f>((Experiment!#REF!+50)*(Experiment!#REF!-50)+(Experiment!#REF!^2))/((Experiment!#REF!+50)^2+(Experiment!#REF!^2))</f>
        <v>#REF!</v>
      </c>
      <c r="K176" t="e">
        <f>((Experiment!#REF!+50)*Experiment!#REF!-Experiment!#REF!*(Experiment!#REF!-50))/((Experiment!#REF!+50)^2+(Experiment!#REF!^2))</f>
        <v>#REF!</v>
      </c>
      <c r="L176" t="e">
        <f t="shared" si="30"/>
        <v>#REF!</v>
      </c>
      <c r="M176" t="e">
        <f t="shared" si="31"/>
        <v>#REF!</v>
      </c>
      <c r="N176" t="e">
        <f t="shared" si="32"/>
        <v>#REF!</v>
      </c>
      <c r="Q176">
        <f>Experiment!A176</f>
        <v>1054000000</v>
      </c>
      <c r="R176">
        <f>((Experiment!D176+50)*(Experiment!D176-50)+(Experiment!E176^2))/((Experiment!D176+50)^2+(Experiment!E176^2))</f>
        <v>2.6753607745703314E-3</v>
      </c>
      <c r="S176">
        <f>((Experiment!D176+50)*Experiment!E176-Experiment!E176*(Experiment!D176-50))/((Experiment!D176+50)^2+(Experiment!E176^2))</f>
        <v>-0.93333469560200999</v>
      </c>
      <c r="T176" t="str">
        <f t="shared" si="33"/>
        <v>0.00267536077457033-0.93333469560201i</v>
      </c>
      <c r="U176">
        <f t="shared" si="38"/>
        <v>0.93333852999314826</v>
      </c>
      <c r="V176">
        <f t="shared" si="34"/>
        <v>0.59921610595460029</v>
      </c>
      <c r="Y176" t="e">
        <f>Experiment!#REF!</f>
        <v>#REF!</v>
      </c>
      <c r="Z176" t="e">
        <f>((Experiment!#REF!+50)*(Experiment!#REF!-50)+(Experiment!#REF!^2))/((Experiment!#REF!+50)^2+(Experiment!#REF!^2))</f>
        <v>#REF!</v>
      </c>
      <c r="AA176" t="e">
        <f>((Experiment!#REF!+50)*Experiment!#REF!-Experiment!#REF!*(Experiment!#REF!-50))/((Experiment!#REF!+50)^2+(Experiment!#REF!^2))</f>
        <v>#REF!</v>
      </c>
      <c r="AB176" t="e">
        <f t="shared" si="35"/>
        <v>#REF!</v>
      </c>
      <c r="AC176" t="e">
        <f t="shared" si="36"/>
        <v>#REF!</v>
      </c>
      <c r="AD176" t="e">
        <f t="shared" si="37"/>
        <v>#REF!</v>
      </c>
    </row>
    <row r="177" spans="1:30" x14ac:dyDescent="0.15">
      <c r="A177" t="e">
        <f>Experiment!#REF!</f>
        <v>#REF!</v>
      </c>
      <c r="B177" t="e">
        <f>((Experiment!#REF!+50)*(Experiment!#REF!-50)+(Experiment!#REF!^2))/((Experiment!#REF!+50)^2+(Experiment!#REF!^2))</f>
        <v>#REF!</v>
      </c>
      <c r="C177" t="e">
        <f>((Experiment!#REF!+50)*Experiment!#REF!-Experiment!#REF!*(Experiment!#REF!-50))/((Experiment!#REF!+50)^2+(Experiment!#REF!^2))</f>
        <v>#REF!</v>
      </c>
      <c r="D177" t="e">
        <f t="shared" si="27"/>
        <v>#REF!</v>
      </c>
      <c r="E177" t="e">
        <f t="shared" si="28"/>
        <v>#REF!</v>
      </c>
      <c r="F177" t="e">
        <f t="shared" si="29"/>
        <v>#REF!</v>
      </c>
      <c r="I177" t="e">
        <f>Experiment!#REF!</f>
        <v>#REF!</v>
      </c>
      <c r="J177" t="e">
        <f>((Experiment!#REF!+50)*(Experiment!#REF!-50)+(Experiment!#REF!^2))/((Experiment!#REF!+50)^2+(Experiment!#REF!^2))</f>
        <v>#REF!</v>
      </c>
      <c r="K177" t="e">
        <f>((Experiment!#REF!+50)*Experiment!#REF!-Experiment!#REF!*(Experiment!#REF!-50))/((Experiment!#REF!+50)^2+(Experiment!#REF!^2))</f>
        <v>#REF!</v>
      </c>
      <c r="L177" t="e">
        <f t="shared" si="30"/>
        <v>#REF!</v>
      </c>
      <c r="M177" t="e">
        <f t="shared" si="31"/>
        <v>#REF!</v>
      </c>
      <c r="N177" t="e">
        <f t="shared" si="32"/>
        <v>#REF!</v>
      </c>
      <c r="Q177">
        <f>Experiment!A177</f>
        <v>1097200000</v>
      </c>
      <c r="R177">
        <f>((Experiment!D177+50)*(Experiment!D177-50)+(Experiment!E177^2))/((Experiment!D177+50)^2+(Experiment!E177^2))</f>
        <v>6.3131095168440841E-4</v>
      </c>
      <c r="S177">
        <f>((Experiment!D177+50)*Experiment!E177-Experiment!E177*(Experiment!D177-50))/((Experiment!D177+50)^2+(Experiment!E177^2))</f>
        <v>-0.93377133026238335</v>
      </c>
      <c r="T177" t="str">
        <f t="shared" si="33"/>
        <v>0.000631310951684408-0.933771330262383i</v>
      </c>
      <c r="U177">
        <f t="shared" si="38"/>
        <v>0.93377154367302218</v>
      </c>
      <c r="V177">
        <f t="shared" si="34"/>
        <v>0.59518730320147406</v>
      </c>
      <c r="Y177" t="e">
        <f>Experiment!#REF!</f>
        <v>#REF!</v>
      </c>
      <c r="Z177" t="e">
        <f>((Experiment!#REF!+50)*(Experiment!#REF!-50)+(Experiment!#REF!^2))/((Experiment!#REF!+50)^2+(Experiment!#REF!^2))</f>
        <v>#REF!</v>
      </c>
      <c r="AA177" t="e">
        <f>((Experiment!#REF!+50)*Experiment!#REF!-Experiment!#REF!*(Experiment!#REF!-50))/((Experiment!#REF!+50)^2+(Experiment!#REF!^2))</f>
        <v>#REF!</v>
      </c>
      <c r="AB177" t="e">
        <f t="shared" si="35"/>
        <v>#REF!</v>
      </c>
      <c r="AC177" t="e">
        <f t="shared" si="36"/>
        <v>#REF!</v>
      </c>
      <c r="AD177" t="e">
        <f t="shared" si="37"/>
        <v>#REF!</v>
      </c>
    </row>
    <row r="178" spans="1:30" x14ac:dyDescent="0.15">
      <c r="A178" t="e">
        <f>Experiment!#REF!</f>
        <v>#REF!</v>
      </c>
      <c r="B178" t="e">
        <f>((Experiment!#REF!+50)*(Experiment!#REF!-50)+(Experiment!#REF!^2))/((Experiment!#REF!+50)^2+(Experiment!#REF!^2))</f>
        <v>#REF!</v>
      </c>
      <c r="C178" t="e">
        <f>((Experiment!#REF!+50)*Experiment!#REF!-Experiment!#REF!*(Experiment!#REF!-50))/((Experiment!#REF!+50)^2+(Experiment!#REF!^2))</f>
        <v>#REF!</v>
      </c>
      <c r="D178" t="e">
        <f t="shared" si="27"/>
        <v>#REF!</v>
      </c>
      <c r="E178" t="e">
        <f t="shared" si="28"/>
        <v>#REF!</v>
      </c>
      <c r="F178" t="e">
        <f t="shared" si="29"/>
        <v>#REF!</v>
      </c>
      <c r="I178" t="e">
        <f>Experiment!#REF!</f>
        <v>#REF!</v>
      </c>
      <c r="J178" t="e">
        <f>((Experiment!#REF!+50)*(Experiment!#REF!-50)+(Experiment!#REF!^2))/((Experiment!#REF!+50)^2+(Experiment!#REF!^2))</f>
        <v>#REF!</v>
      </c>
      <c r="K178" t="e">
        <f>((Experiment!#REF!+50)*Experiment!#REF!-Experiment!#REF!*(Experiment!#REF!-50))/((Experiment!#REF!+50)^2+(Experiment!#REF!^2))</f>
        <v>#REF!</v>
      </c>
      <c r="L178" t="e">
        <f t="shared" si="30"/>
        <v>#REF!</v>
      </c>
      <c r="M178" t="e">
        <f t="shared" si="31"/>
        <v>#REF!</v>
      </c>
      <c r="N178" t="e">
        <f t="shared" si="32"/>
        <v>#REF!</v>
      </c>
      <c r="Q178">
        <f>Experiment!A178</f>
        <v>1142300000</v>
      </c>
      <c r="R178">
        <f>((Experiment!D178+50)*(Experiment!D178-50)+(Experiment!E178^2))/((Experiment!D178+50)^2+(Experiment!E178^2))</f>
        <v>9.7513660956658258E-4</v>
      </c>
      <c r="S178">
        <f>((Experiment!D178+50)*Experiment!E178-Experiment!E178*(Experiment!D178-50))/((Experiment!D178+50)^2+(Experiment!E178^2))</f>
        <v>-0.93440094266472562</v>
      </c>
      <c r="T178" t="str">
        <f t="shared" si="33"/>
        <v>0.000975136609566583-0.934400942664726i</v>
      </c>
      <c r="U178">
        <f t="shared" si="38"/>
        <v>0.93440145148867093</v>
      </c>
      <c r="V178">
        <f t="shared" si="34"/>
        <v>0.58932991206008312</v>
      </c>
      <c r="Y178" t="e">
        <f>Experiment!#REF!</f>
        <v>#REF!</v>
      </c>
      <c r="Z178" t="e">
        <f>((Experiment!#REF!+50)*(Experiment!#REF!-50)+(Experiment!#REF!^2))/((Experiment!#REF!+50)^2+(Experiment!#REF!^2))</f>
        <v>#REF!</v>
      </c>
      <c r="AA178" t="e">
        <f>((Experiment!#REF!+50)*Experiment!#REF!-Experiment!#REF!*(Experiment!#REF!-50))/((Experiment!#REF!+50)^2+(Experiment!#REF!^2))</f>
        <v>#REF!</v>
      </c>
      <c r="AB178" t="e">
        <f t="shared" si="35"/>
        <v>#REF!</v>
      </c>
      <c r="AC178" t="e">
        <f t="shared" si="36"/>
        <v>#REF!</v>
      </c>
      <c r="AD178" t="e">
        <f t="shared" si="37"/>
        <v>#REF!</v>
      </c>
    </row>
    <row r="179" spans="1:30" x14ac:dyDescent="0.15">
      <c r="A179" t="e">
        <f>Experiment!#REF!</f>
        <v>#REF!</v>
      </c>
      <c r="B179" t="e">
        <f>((Experiment!#REF!+50)*(Experiment!#REF!-50)+(Experiment!#REF!^2))/((Experiment!#REF!+50)^2+(Experiment!#REF!^2))</f>
        <v>#REF!</v>
      </c>
      <c r="C179" t="e">
        <f>((Experiment!#REF!+50)*Experiment!#REF!-Experiment!#REF!*(Experiment!#REF!-50))/((Experiment!#REF!+50)^2+(Experiment!#REF!^2))</f>
        <v>#REF!</v>
      </c>
      <c r="D179" t="e">
        <f t="shared" si="27"/>
        <v>#REF!</v>
      </c>
      <c r="E179" t="e">
        <f t="shared" si="28"/>
        <v>#REF!</v>
      </c>
      <c r="F179" t="e">
        <f t="shared" si="29"/>
        <v>#REF!</v>
      </c>
      <c r="I179" t="e">
        <f>Experiment!#REF!</f>
        <v>#REF!</v>
      </c>
      <c r="J179" t="e">
        <f>((Experiment!#REF!+50)*(Experiment!#REF!-50)+(Experiment!#REF!^2))/((Experiment!#REF!+50)^2+(Experiment!#REF!^2))</f>
        <v>#REF!</v>
      </c>
      <c r="K179" t="e">
        <f>((Experiment!#REF!+50)*Experiment!#REF!-Experiment!#REF!*(Experiment!#REF!-50))/((Experiment!#REF!+50)^2+(Experiment!#REF!^2))</f>
        <v>#REF!</v>
      </c>
      <c r="L179" t="e">
        <f t="shared" si="30"/>
        <v>#REF!</v>
      </c>
      <c r="M179" t="e">
        <f t="shared" si="31"/>
        <v>#REF!</v>
      </c>
      <c r="N179" t="e">
        <f t="shared" si="32"/>
        <v>#REF!</v>
      </c>
      <c r="Q179">
        <f>Experiment!A179</f>
        <v>1189200000</v>
      </c>
      <c r="R179">
        <f>((Experiment!D179+50)*(Experiment!D179-50)+(Experiment!E179^2))/((Experiment!D179+50)^2+(Experiment!E179^2))</f>
        <v>3.105881891077964E-3</v>
      </c>
      <c r="S179">
        <f>((Experiment!D179+50)*Experiment!E179-Experiment!E179*(Experiment!D179-50))/((Experiment!D179+50)^2+(Experiment!E179^2))</f>
        <v>-0.935110989958859</v>
      </c>
      <c r="T179" t="str">
        <f t="shared" si="33"/>
        <v>0.00310588189107796-0.935110989958859i</v>
      </c>
      <c r="U179">
        <f t="shared" si="38"/>
        <v>0.93511614788974673</v>
      </c>
      <c r="V179">
        <f t="shared" si="34"/>
        <v>0.58268886800792496</v>
      </c>
      <c r="Y179" t="e">
        <f>Experiment!#REF!</f>
        <v>#REF!</v>
      </c>
      <c r="Z179" t="e">
        <f>((Experiment!#REF!+50)*(Experiment!#REF!-50)+(Experiment!#REF!^2))/((Experiment!#REF!+50)^2+(Experiment!#REF!^2))</f>
        <v>#REF!</v>
      </c>
      <c r="AA179" t="e">
        <f>((Experiment!#REF!+50)*Experiment!#REF!-Experiment!#REF!*(Experiment!#REF!-50))/((Experiment!#REF!+50)^2+(Experiment!#REF!^2))</f>
        <v>#REF!</v>
      </c>
      <c r="AB179" t="e">
        <f t="shared" si="35"/>
        <v>#REF!</v>
      </c>
      <c r="AC179" t="e">
        <f t="shared" si="36"/>
        <v>#REF!</v>
      </c>
      <c r="AD179" t="e">
        <f t="shared" si="37"/>
        <v>#REF!</v>
      </c>
    </row>
    <row r="180" spans="1:30" x14ac:dyDescent="0.15">
      <c r="A180" t="e">
        <f>Experiment!#REF!</f>
        <v>#REF!</v>
      </c>
      <c r="B180" t="e">
        <f>((Experiment!#REF!+50)*(Experiment!#REF!-50)+(Experiment!#REF!^2))/((Experiment!#REF!+50)^2+(Experiment!#REF!^2))</f>
        <v>#REF!</v>
      </c>
      <c r="C180" t="e">
        <f>((Experiment!#REF!+50)*Experiment!#REF!-Experiment!#REF!*(Experiment!#REF!-50))/((Experiment!#REF!+50)^2+(Experiment!#REF!^2))</f>
        <v>#REF!</v>
      </c>
      <c r="D180" t="e">
        <f t="shared" si="27"/>
        <v>#REF!</v>
      </c>
      <c r="E180" t="e">
        <f t="shared" si="28"/>
        <v>#REF!</v>
      </c>
      <c r="F180" t="e">
        <f t="shared" si="29"/>
        <v>#REF!</v>
      </c>
      <c r="I180" t="e">
        <f>Experiment!#REF!</f>
        <v>#REF!</v>
      </c>
      <c r="J180" t="e">
        <f>((Experiment!#REF!+50)*(Experiment!#REF!-50)+(Experiment!#REF!^2))/((Experiment!#REF!+50)^2+(Experiment!#REF!^2))</f>
        <v>#REF!</v>
      </c>
      <c r="K180" t="e">
        <f>((Experiment!#REF!+50)*Experiment!#REF!-Experiment!#REF!*(Experiment!#REF!-50))/((Experiment!#REF!+50)^2+(Experiment!#REF!^2))</f>
        <v>#REF!</v>
      </c>
      <c r="L180" t="e">
        <f t="shared" si="30"/>
        <v>#REF!</v>
      </c>
      <c r="M180" t="e">
        <f t="shared" si="31"/>
        <v>#REF!</v>
      </c>
      <c r="N180" t="e">
        <f t="shared" si="32"/>
        <v>#REF!</v>
      </c>
      <c r="Q180">
        <f>Experiment!A180</f>
        <v>1238000000</v>
      </c>
      <c r="R180">
        <f>((Experiment!D180+50)*(Experiment!D180-50)+(Experiment!E180^2))/((Experiment!D180+50)^2+(Experiment!E180^2))</f>
        <v>7.6628288462418943E-3</v>
      </c>
      <c r="S180">
        <f>((Experiment!D180+50)*Experiment!E180-Experiment!E180*(Experiment!D180-50))/((Experiment!D180+50)^2+(Experiment!E180^2))</f>
        <v>-0.9349710256352306</v>
      </c>
      <c r="T180" t="str">
        <f t="shared" si="33"/>
        <v>0.00766282884624189-0.934971025635231i</v>
      </c>
      <c r="U180">
        <f t="shared" si="38"/>
        <v>0.93500242658686283</v>
      </c>
      <c r="V180">
        <f t="shared" si="34"/>
        <v>0.58374524026265273</v>
      </c>
      <c r="Y180" t="e">
        <f>Experiment!#REF!</f>
        <v>#REF!</v>
      </c>
      <c r="Z180" t="e">
        <f>((Experiment!#REF!+50)*(Experiment!#REF!-50)+(Experiment!#REF!^2))/((Experiment!#REF!+50)^2+(Experiment!#REF!^2))</f>
        <v>#REF!</v>
      </c>
      <c r="AA180" t="e">
        <f>((Experiment!#REF!+50)*Experiment!#REF!-Experiment!#REF!*(Experiment!#REF!-50))/((Experiment!#REF!+50)^2+(Experiment!#REF!^2))</f>
        <v>#REF!</v>
      </c>
      <c r="AB180" t="e">
        <f t="shared" si="35"/>
        <v>#REF!</v>
      </c>
      <c r="AC180" t="e">
        <f t="shared" si="36"/>
        <v>#REF!</v>
      </c>
      <c r="AD180" t="e">
        <f t="shared" si="37"/>
        <v>#REF!</v>
      </c>
    </row>
    <row r="181" spans="1:30" x14ac:dyDescent="0.15">
      <c r="A181" t="e">
        <f>Experiment!#REF!</f>
        <v>#REF!</v>
      </c>
      <c r="B181" t="e">
        <f>((Experiment!#REF!+50)*(Experiment!#REF!-50)+(Experiment!#REF!^2))/((Experiment!#REF!+50)^2+(Experiment!#REF!^2))</f>
        <v>#REF!</v>
      </c>
      <c r="C181" t="e">
        <f>((Experiment!#REF!+50)*Experiment!#REF!-Experiment!#REF!*(Experiment!#REF!-50))/((Experiment!#REF!+50)^2+(Experiment!#REF!^2))</f>
        <v>#REF!</v>
      </c>
      <c r="D181" t="e">
        <f t="shared" si="27"/>
        <v>#REF!</v>
      </c>
      <c r="E181" t="e">
        <f t="shared" si="28"/>
        <v>#REF!</v>
      </c>
      <c r="F181" t="e">
        <f t="shared" si="29"/>
        <v>#REF!</v>
      </c>
      <c r="I181" t="e">
        <f>Experiment!#REF!</f>
        <v>#REF!</v>
      </c>
      <c r="J181" t="e">
        <f>((Experiment!#REF!+50)*(Experiment!#REF!-50)+(Experiment!#REF!^2))/((Experiment!#REF!+50)^2+(Experiment!#REF!^2))</f>
        <v>#REF!</v>
      </c>
      <c r="K181" t="e">
        <f>((Experiment!#REF!+50)*Experiment!#REF!-Experiment!#REF!*(Experiment!#REF!-50))/((Experiment!#REF!+50)^2+(Experiment!#REF!^2))</f>
        <v>#REF!</v>
      </c>
      <c r="L181" t="e">
        <f t="shared" si="30"/>
        <v>#REF!</v>
      </c>
      <c r="M181" t="e">
        <f t="shared" si="31"/>
        <v>#REF!</v>
      </c>
      <c r="N181" t="e">
        <f t="shared" si="32"/>
        <v>#REF!</v>
      </c>
      <c r="Q181">
        <f>Experiment!A181</f>
        <v>1288800000</v>
      </c>
      <c r="R181">
        <f>((Experiment!D181+50)*(Experiment!D181-50)+(Experiment!E181^2))/((Experiment!D181+50)^2+(Experiment!E181^2))</f>
        <v>1.4372988369376552E-2</v>
      </c>
      <c r="S181">
        <f>((Experiment!D181+50)*Experiment!E181-Experiment!E181*(Experiment!D181-50))/((Experiment!D181+50)^2+(Experiment!E181^2))</f>
        <v>-0.93599786850691102</v>
      </c>
      <c r="T181" t="str">
        <f t="shared" si="33"/>
        <v>0.0143729883693766-0.935997868506911i</v>
      </c>
      <c r="U181">
        <f t="shared" si="38"/>
        <v>0.93610821631056462</v>
      </c>
      <c r="V181">
        <f t="shared" si="34"/>
        <v>0.57347885793233</v>
      </c>
      <c r="Y181" t="e">
        <f>Experiment!#REF!</f>
        <v>#REF!</v>
      </c>
      <c r="Z181" t="e">
        <f>((Experiment!#REF!+50)*(Experiment!#REF!-50)+(Experiment!#REF!^2))/((Experiment!#REF!+50)^2+(Experiment!#REF!^2))</f>
        <v>#REF!</v>
      </c>
      <c r="AA181" t="e">
        <f>((Experiment!#REF!+50)*Experiment!#REF!-Experiment!#REF!*(Experiment!#REF!-50))/((Experiment!#REF!+50)^2+(Experiment!#REF!^2))</f>
        <v>#REF!</v>
      </c>
      <c r="AB181" t="e">
        <f t="shared" si="35"/>
        <v>#REF!</v>
      </c>
      <c r="AC181" t="e">
        <f t="shared" si="36"/>
        <v>#REF!</v>
      </c>
      <c r="AD181" t="e">
        <f t="shared" si="37"/>
        <v>#REF!</v>
      </c>
    </row>
    <row r="182" spans="1:30" x14ac:dyDescent="0.15">
      <c r="A182" t="e">
        <f>Experiment!#REF!</f>
        <v>#REF!</v>
      </c>
      <c r="B182" t="e">
        <f>((Experiment!#REF!+50)*(Experiment!#REF!-50)+(Experiment!#REF!^2))/((Experiment!#REF!+50)^2+(Experiment!#REF!^2))</f>
        <v>#REF!</v>
      </c>
      <c r="C182" t="e">
        <f>((Experiment!#REF!+50)*Experiment!#REF!-Experiment!#REF!*(Experiment!#REF!-50))/((Experiment!#REF!+50)^2+(Experiment!#REF!^2))</f>
        <v>#REF!</v>
      </c>
      <c r="D182" t="e">
        <f t="shared" si="27"/>
        <v>#REF!</v>
      </c>
      <c r="E182" t="e">
        <f t="shared" si="28"/>
        <v>#REF!</v>
      </c>
      <c r="F182" t="e">
        <f t="shared" si="29"/>
        <v>#REF!</v>
      </c>
      <c r="I182" t="e">
        <f>Experiment!#REF!</f>
        <v>#REF!</v>
      </c>
      <c r="J182" t="e">
        <f>((Experiment!#REF!+50)*(Experiment!#REF!-50)+(Experiment!#REF!^2))/((Experiment!#REF!+50)^2+(Experiment!#REF!^2))</f>
        <v>#REF!</v>
      </c>
      <c r="K182" t="e">
        <f>((Experiment!#REF!+50)*Experiment!#REF!-Experiment!#REF!*(Experiment!#REF!-50))/((Experiment!#REF!+50)^2+(Experiment!#REF!^2))</f>
        <v>#REF!</v>
      </c>
      <c r="L182" t="e">
        <f t="shared" si="30"/>
        <v>#REF!</v>
      </c>
      <c r="M182" t="e">
        <f t="shared" si="31"/>
        <v>#REF!</v>
      </c>
      <c r="N182" t="e">
        <f t="shared" si="32"/>
        <v>#REF!</v>
      </c>
      <c r="Q182">
        <f>Experiment!A182</f>
        <v>1341700000</v>
      </c>
      <c r="R182">
        <f>((Experiment!D182+50)*(Experiment!D182-50)+(Experiment!E182^2))/((Experiment!D182+50)^2+(Experiment!E182^2))</f>
        <v>2.206651233689385E-2</v>
      </c>
      <c r="S182">
        <f>((Experiment!D182+50)*Experiment!E182-Experiment!E182*(Experiment!D182-50))/((Experiment!D182+50)^2+(Experiment!E182^2))</f>
        <v>-0.93564225899169251</v>
      </c>
      <c r="T182" t="str">
        <f t="shared" si="33"/>
        <v>0.0220665123368938-0.935642258991693i</v>
      </c>
      <c r="U182">
        <f t="shared" si="38"/>
        <v>0.93590243496733772</v>
      </c>
      <c r="V182">
        <f t="shared" si="34"/>
        <v>0.57538845608853795</v>
      </c>
      <c r="Y182" t="e">
        <f>Experiment!#REF!</f>
        <v>#REF!</v>
      </c>
      <c r="Z182" t="e">
        <f>((Experiment!#REF!+50)*(Experiment!#REF!-50)+(Experiment!#REF!^2))/((Experiment!#REF!+50)^2+(Experiment!#REF!^2))</f>
        <v>#REF!</v>
      </c>
      <c r="AA182" t="e">
        <f>((Experiment!#REF!+50)*Experiment!#REF!-Experiment!#REF!*(Experiment!#REF!-50))/((Experiment!#REF!+50)^2+(Experiment!#REF!^2))</f>
        <v>#REF!</v>
      </c>
      <c r="AB182" t="e">
        <f t="shared" si="35"/>
        <v>#REF!</v>
      </c>
      <c r="AC182" t="e">
        <f t="shared" si="36"/>
        <v>#REF!</v>
      </c>
      <c r="AD182" t="e">
        <f t="shared" si="37"/>
        <v>#REF!</v>
      </c>
    </row>
    <row r="183" spans="1:30" x14ac:dyDescent="0.15">
      <c r="A183" t="e">
        <f>Experiment!#REF!</f>
        <v>#REF!</v>
      </c>
      <c r="B183" t="e">
        <f>((Experiment!#REF!+50)*(Experiment!#REF!-50)+(Experiment!#REF!^2))/((Experiment!#REF!+50)^2+(Experiment!#REF!^2))</f>
        <v>#REF!</v>
      </c>
      <c r="C183" t="e">
        <f>((Experiment!#REF!+50)*Experiment!#REF!-Experiment!#REF!*(Experiment!#REF!-50))/((Experiment!#REF!+50)^2+(Experiment!#REF!^2))</f>
        <v>#REF!</v>
      </c>
      <c r="D183" t="e">
        <f t="shared" si="27"/>
        <v>#REF!</v>
      </c>
      <c r="E183" t="e">
        <f t="shared" si="28"/>
        <v>#REF!</v>
      </c>
      <c r="F183" t="e">
        <f t="shared" si="29"/>
        <v>#REF!</v>
      </c>
      <c r="I183" t="e">
        <f>Experiment!#REF!</f>
        <v>#REF!</v>
      </c>
      <c r="J183" t="e">
        <f>((Experiment!#REF!+50)*(Experiment!#REF!-50)+(Experiment!#REF!^2))/((Experiment!#REF!+50)^2+(Experiment!#REF!^2))</f>
        <v>#REF!</v>
      </c>
      <c r="K183" t="e">
        <f>((Experiment!#REF!+50)*Experiment!#REF!-Experiment!#REF!*(Experiment!#REF!-50))/((Experiment!#REF!+50)^2+(Experiment!#REF!^2))</f>
        <v>#REF!</v>
      </c>
      <c r="L183" t="e">
        <f t="shared" si="30"/>
        <v>#REF!</v>
      </c>
      <c r="M183" t="e">
        <f t="shared" si="31"/>
        <v>#REF!</v>
      </c>
      <c r="N183" t="e">
        <f t="shared" si="32"/>
        <v>#REF!</v>
      </c>
      <c r="Q183">
        <f>Experiment!A183</f>
        <v>1396800000</v>
      </c>
      <c r="R183">
        <f>((Experiment!D183+50)*(Experiment!D183-50)+(Experiment!E183^2))/((Experiment!D183+50)^2+(Experiment!E183^2))</f>
        <v>3.2671109284748846E-2</v>
      </c>
      <c r="S183">
        <f>((Experiment!D183+50)*Experiment!E183-Experiment!E183*(Experiment!D183-50))/((Experiment!D183+50)^2+(Experiment!E183^2))</f>
        <v>-0.93517072094475717</v>
      </c>
      <c r="T183" t="str">
        <f t="shared" si="33"/>
        <v>0.0326711092847488-0.935170720944757i</v>
      </c>
      <c r="U183">
        <f t="shared" si="38"/>
        <v>0.93574124558781357</v>
      </c>
      <c r="V183">
        <f t="shared" si="34"/>
        <v>0.57688454551985646</v>
      </c>
      <c r="Y183" t="e">
        <f>Experiment!#REF!</f>
        <v>#REF!</v>
      </c>
      <c r="Z183" t="e">
        <f>((Experiment!#REF!+50)*(Experiment!#REF!-50)+(Experiment!#REF!^2))/((Experiment!#REF!+50)^2+(Experiment!#REF!^2))</f>
        <v>#REF!</v>
      </c>
      <c r="AA183" t="e">
        <f>((Experiment!#REF!+50)*Experiment!#REF!-Experiment!#REF!*(Experiment!#REF!-50))/((Experiment!#REF!+50)^2+(Experiment!#REF!^2))</f>
        <v>#REF!</v>
      </c>
      <c r="AB183" t="e">
        <f t="shared" si="35"/>
        <v>#REF!</v>
      </c>
      <c r="AC183" t="e">
        <f t="shared" si="36"/>
        <v>#REF!</v>
      </c>
      <c r="AD183" t="e">
        <f t="shared" si="37"/>
        <v>#REF!</v>
      </c>
    </row>
    <row r="184" spans="1:30" x14ac:dyDescent="0.15">
      <c r="A184" t="e">
        <f>Experiment!#REF!</f>
        <v>#REF!</v>
      </c>
      <c r="B184" t="e">
        <f>((Experiment!#REF!+50)*(Experiment!#REF!-50)+(Experiment!#REF!^2))/((Experiment!#REF!+50)^2+(Experiment!#REF!^2))</f>
        <v>#REF!</v>
      </c>
      <c r="C184" t="e">
        <f>((Experiment!#REF!+50)*Experiment!#REF!-Experiment!#REF!*(Experiment!#REF!-50))/((Experiment!#REF!+50)^2+(Experiment!#REF!^2))</f>
        <v>#REF!</v>
      </c>
      <c r="D184" t="e">
        <f t="shared" si="27"/>
        <v>#REF!</v>
      </c>
      <c r="E184" t="e">
        <f t="shared" si="28"/>
        <v>#REF!</v>
      </c>
      <c r="F184" t="e">
        <f t="shared" si="29"/>
        <v>#REF!</v>
      </c>
      <c r="I184" t="e">
        <f>Experiment!#REF!</f>
        <v>#REF!</v>
      </c>
      <c r="J184" t="e">
        <f>((Experiment!#REF!+50)*(Experiment!#REF!-50)+(Experiment!#REF!^2))/((Experiment!#REF!+50)^2+(Experiment!#REF!^2))</f>
        <v>#REF!</v>
      </c>
      <c r="K184" t="e">
        <f>((Experiment!#REF!+50)*Experiment!#REF!-Experiment!#REF!*(Experiment!#REF!-50))/((Experiment!#REF!+50)^2+(Experiment!#REF!^2))</f>
        <v>#REF!</v>
      </c>
      <c r="L184" t="e">
        <f t="shared" si="30"/>
        <v>#REF!</v>
      </c>
      <c r="M184" t="e">
        <f t="shared" si="31"/>
        <v>#REF!</v>
      </c>
      <c r="N184" t="e">
        <f t="shared" si="32"/>
        <v>#REF!</v>
      </c>
      <c r="Q184">
        <f>Experiment!A184</f>
        <v>1454100000</v>
      </c>
      <c r="R184">
        <f>((Experiment!D184+50)*(Experiment!D184-50)+(Experiment!E184^2))/((Experiment!D184+50)^2+(Experiment!E184^2))</f>
        <v>4.4876183641800273E-2</v>
      </c>
      <c r="S184">
        <f>((Experiment!D184+50)*Experiment!E184-Experiment!E184*(Experiment!D184-50))/((Experiment!D184+50)^2+(Experiment!E184^2))</f>
        <v>-0.93562496316011079</v>
      </c>
      <c r="T184" t="str">
        <f t="shared" si="33"/>
        <v>0.0448761836418003-0.935624963160111i</v>
      </c>
      <c r="U184">
        <f t="shared" si="38"/>
        <v>0.93670056237124755</v>
      </c>
      <c r="V184">
        <f t="shared" si="34"/>
        <v>0.56798438060953305</v>
      </c>
      <c r="Y184" t="e">
        <f>Experiment!#REF!</f>
        <v>#REF!</v>
      </c>
      <c r="Z184" t="e">
        <f>((Experiment!#REF!+50)*(Experiment!#REF!-50)+(Experiment!#REF!^2))/((Experiment!#REF!+50)^2+(Experiment!#REF!^2))</f>
        <v>#REF!</v>
      </c>
      <c r="AA184" t="e">
        <f>((Experiment!#REF!+50)*Experiment!#REF!-Experiment!#REF!*(Experiment!#REF!-50))/((Experiment!#REF!+50)^2+(Experiment!#REF!^2))</f>
        <v>#REF!</v>
      </c>
      <c r="AB184" t="e">
        <f t="shared" si="35"/>
        <v>#REF!</v>
      </c>
      <c r="AC184" t="e">
        <f t="shared" si="36"/>
        <v>#REF!</v>
      </c>
      <c r="AD184" t="e">
        <f t="shared" si="37"/>
        <v>#REF!</v>
      </c>
    </row>
    <row r="185" spans="1:30" x14ac:dyDescent="0.15">
      <c r="A185" t="e">
        <f>Experiment!#REF!</f>
        <v>#REF!</v>
      </c>
      <c r="B185" t="e">
        <f>((Experiment!#REF!+50)*(Experiment!#REF!-50)+(Experiment!#REF!^2))/((Experiment!#REF!+50)^2+(Experiment!#REF!^2))</f>
        <v>#REF!</v>
      </c>
      <c r="C185" t="e">
        <f>((Experiment!#REF!+50)*Experiment!#REF!-Experiment!#REF!*(Experiment!#REF!-50))/((Experiment!#REF!+50)^2+(Experiment!#REF!^2))</f>
        <v>#REF!</v>
      </c>
      <c r="D185" t="e">
        <f t="shared" si="27"/>
        <v>#REF!</v>
      </c>
      <c r="E185" t="e">
        <f t="shared" si="28"/>
        <v>#REF!</v>
      </c>
      <c r="F185" t="e">
        <f t="shared" si="29"/>
        <v>#REF!</v>
      </c>
      <c r="I185" t="e">
        <f>Experiment!#REF!</f>
        <v>#REF!</v>
      </c>
      <c r="J185" t="e">
        <f>((Experiment!#REF!+50)*(Experiment!#REF!-50)+(Experiment!#REF!^2))/((Experiment!#REF!+50)^2+(Experiment!#REF!^2))</f>
        <v>#REF!</v>
      </c>
      <c r="K185" t="e">
        <f>((Experiment!#REF!+50)*Experiment!#REF!-Experiment!#REF!*(Experiment!#REF!-50))/((Experiment!#REF!+50)^2+(Experiment!#REF!^2))</f>
        <v>#REF!</v>
      </c>
      <c r="L185" t="e">
        <f t="shared" si="30"/>
        <v>#REF!</v>
      </c>
      <c r="M185" t="e">
        <f t="shared" si="31"/>
        <v>#REF!</v>
      </c>
      <c r="N185" t="e">
        <f t="shared" si="32"/>
        <v>#REF!</v>
      </c>
      <c r="Q185">
        <f>Experiment!A185</f>
        <v>1513800000</v>
      </c>
      <c r="R185">
        <f>((Experiment!D185+50)*(Experiment!D185-50)+(Experiment!E185^2))/((Experiment!D185+50)^2+(Experiment!E185^2))</f>
        <v>5.8595178058310625E-2</v>
      </c>
      <c r="S185">
        <f>((Experiment!D185+50)*Experiment!E185-Experiment!E185*(Experiment!D185-50))/((Experiment!D185+50)^2+(Experiment!E185^2))</f>
        <v>-0.93480653545361425</v>
      </c>
      <c r="T185" t="str">
        <f t="shared" si="33"/>
        <v>0.0585951780583106-0.934806535453614i</v>
      </c>
      <c r="U185">
        <f t="shared" si="38"/>
        <v>0.93664115520218016</v>
      </c>
      <c r="V185">
        <f t="shared" si="34"/>
        <v>0.56853527221629296</v>
      </c>
      <c r="Y185" t="e">
        <f>Experiment!#REF!</f>
        <v>#REF!</v>
      </c>
      <c r="Z185" t="e">
        <f>((Experiment!#REF!+50)*(Experiment!#REF!-50)+(Experiment!#REF!^2))/((Experiment!#REF!+50)^2+(Experiment!#REF!^2))</f>
        <v>#REF!</v>
      </c>
      <c r="AA185" t="e">
        <f>((Experiment!#REF!+50)*Experiment!#REF!-Experiment!#REF!*(Experiment!#REF!-50))/((Experiment!#REF!+50)^2+(Experiment!#REF!^2))</f>
        <v>#REF!</v>
      </c>
      <c r="AB185" t="e">
        <f t="shared" si="35"/>
        <v>#REF!</v>
      </c>
      <c r="AC185" t="e">
        <f t="shared" si="36"/>
        <v>#REF!</v>
      </c>
      <c r="AD185" t="e">
        <f t="shared" si="37"/>
        <v>#REF!</v>
      </c>
    </row>
    <row r="186" spans="1:30" x14ac:dyDescent="0.15">
      <c r="A186" t="e">
        <f>Experiment!#REF!</f>
        <v>#REF!</v>
      </c>
      <c r="B186" t="e">
        <f>((Experiment!#REF!+50)*(Experiment!#REF!-50)+(Experiment!#REF!^2))/((Experiment!#REF!+50)^2+(Experiment!#REF!^2))</f>
        <v>#REF!</v>
      </c>
      <c r="C186" t="e">
        <f>((Experiment!#REF!+50)*Experiment!#REF!-Experiment!#REF!*(Experiment!#REF!-50))/((Experiment!#REF!+50)^2+(Experiment!#REF!^2))</f>
        <v>#REF!</v>
      </c>
      <c r="D186" t="e">
        <f t="shared" si="27"/>
        <v>#REF!</v>
      </c>
      <c r="E186" t="e">
        <f t="shared" si="28"/>
        <v>#REF!</v>
      </c>
      <c r="F186" t="e">
        <f t="shared" si="29"/>
        <v>#REF!</v>
      </c>
      <c r="I186" t="e">
        <f>Experiment!#REF!</f>
        <v>#REF!</v>
      </c>
      <c r="J186" t="e">
        <f>((Experiment!#REF!+50)*(Experiment!#REF!-50)+(Experiment!#REF!^2))/((Experiment!#REF!+50)^2+(Experiment!#REF!^2))</f>
        <v>#REF!</v>
      </c>
      <c r="K186" t="e">
        <f>((Experiment!#REF!+50)*Experiment!#REF!-Experiment!#REF!*(Experiment!#REF!-50))/((Experiment!#REF!+50)^2+(Experiment!#REF!^2))</f>
        <v>#REF!</v>
      </c>
      <c r="L186" t="e">
        <f t="shared" si="30"/>
        <v>#REF!</v>
      </c>
      <c r="M186" t="e">
        <f t="shared" si="31"/>
        <v>#REF!</v>
      </c>
      <c r="N186" t="e">
        <f t="shared" si="32"/>
        <v>#REF!</v>
      </c>
      <c r="Q186">
        <f>Experiment!A186</f>
        <v>1576000000</v>
      </c>
      <c r="R186">
        <f>((Experiment!D186+50)*(Experiment!D186-50)+(Experiment!E186^2))/((Experiment!D186+50)^2+(Experiment!E186^2))</f>
        <v>7.3435869711890048E-2</v>
      </c>
      <c r="S186">
        <f>((Experiment!D186+50)*Experiment!E186-Experiment!E186*(Experiment!D186-50))/((Experiment!D186+50)^2+(Experiment!E186^2))</f>
        <v>-0.93351149593072458</v>
      </c>
      <c r="T186" t="str">
        <f t="shared" si="33"/>
        <v>0.07343586971189-0.933511495930725i</v>
      </c>
      <c r="U186">
        <f t="shared" si="38"/>
        <v>0.93639550404471772</v>
      </c>
      <c r="V186">
        <f t="shared" si="34"/>
        <v>0.57081360333691633</v>
      </c>
      <c r="Y186" t="e">
        <f>Experiment!#REF!</f>
        <v>#REF!</v>
      </c>
      <c r="Z186" t="e">
        <f>((Experiment!#REF!+50)*(Experiment!#REF!-50)+(Experiment!#REF!^2))/((Experiment!#REF!+50)^2+(Experiment!#REF!^2))</f>
        <v>#REF!</v>
      </c>
      <c r="AA186" t="e">
        <f>((Experiment!#REF!+50)*Experiment!#REF!-Experiment!#REF!*(Experiment!#REF!-50))/((Experiment!#REF!+50)^2+(Experiment!#REF!^2))</f>
        <v>#REF!</v>
      </c>
      <c r="AB186" t="e">
        <f t="shared" si="35"/>
        <v>#REF!</v>
      </c>
      <c r="AC186" t="e">
        <f t="shared" si="36"/>
        <v>#REF!</v>
      </c>
      <c r="AD186" t="e">
        <f t="shared" si="37"/>
        <v>#REF!</v>
      </c>
    </row>
    <row r="187" spans="1:30" x14ac:dyDescent="0.15">
      <c r="A187" t="e">
        <f>Experiment!#REF!</f>
        <v>#REF!</v>
      </c>
      <c r="B187" t="e">
        <f>((Experiment!#REF!+50)*(Experiment!#REF!-50)+(Experiment!#REF!^2))/((Experiment!#REF!+50)^2+(Experiment!#REF!^2))</f>
        <v>#REF!</v>
      </c>
      <c r="C187" t="e">
        <f>((Experiment!#REF!+50)*Experiment!#REF!-Experiment!#REF!*(Experiment!#REF!-50))/((Experiment!#REF!+50)^2+(Experiment!#REF!^2))</f>
        <v>#REF!</v>
      </c>
      <c r="D187" t="e">
        <f t="shared" si="27"/>
        <v>#REF!</v>
      </c>
      <c r="E187" t="e">
        <f t="shared" si="28"/>
        <v>#REF!</v>
      </c>
      <c r="F187" t="e">
        <f t="shared" si="29"/>
        <v>#REF!</v>
      </c>
      <c r="I187" t="e">
        <f>Experiment!#REF!</f>
        <v>#REF!</v>
      </c>
      <c r="J187" t="e">
        <f>((Experiment!#REF!+50)*(Experiment!#REF!-50)+(Experiment!#REF!^2))/((Experiment!#REF!+50)^2+(Experiment!#REF!^2))</f>
        <v>#REF!</v>
      </c>
      <c r="K187" t="e">
        <f>((Experiment!#REF!+50)*Experiment!#REF!-Experiment!#REF!*(Experiment!#REF!-50))/((Experiment!#REF!+50)^2+(Experiment!#REF!^2))</f>
        <v>#REF!</v>
      </c>
      <c r="L187" t="e">
        <f t="shared" si="30"/>
        <v>#REF!</v>
      </c>
      <c r="M187" t="e">
        <f t="shared" si="31"/>
        <v>#REF!</v>
      </c>
      <c r="N187" t="e">
        <f t="shared" si="32"/>
        <v>#REF!</v>
      </c>
      <c r="Q187">
        <f>Experiment!A187</f>
        <v>1640700000</v>
      </c>
      <c r="R187">
        <f>((Experiment!D187+50)*(Experiment!D187-50)+(Experiment!E187^2))/((Experiment!D187+50)^2+(Experiment!E187^2))</f>
        <v>9.0243625303505187E-2</v>
      </c>
      <c r="S187">
        <f>((Experiment!D187+50)*Experiment!E187-Experiment!E187*(Experiment!D187-50))/((Experiment!D187+50)^2+(Experiment!E187^2))</f>
        <v>-0.93258117195979517</v>
      </c>
      <c r="T187" t="str">
        <f t="shared" si="33"/>
        <v>0.0902436253035052-0.932581171959795i</v>
      </c>
      <c r="U187">
        <f t="shared" si="38"/>
        <v>0.93693732672032259</v>
      </c>
      <c r="V187">
        <f t="shared" si="34"/>
        <v>0.56578917626485825</v>
      </c>
      <c r="Y187" t="e">
        <f>Experiment!#REF!</f>
        <v>#REF!</v>
      </c>
      <c r="Z187" t="e">
        <f>((Experiment!#REF!+50)*(Experiment!#REF!-50)+(Experiment!#REF!^2))/((Experiment!#REF!+50)^2+(Experiment!#REF!^2))</f>
        <v>#REF!</v>
      </c>
      <c r="AA187" t="e">
        <f>((Experiment!#REF!+50)*Experiment!#REF!-Experiment!#REF!*(Experiment!#REF!-50))/((Experiment!#REF!+50)^2+(Experiment!#REF!^2))</f>
        <v>#REF!</v>
      </c>
      <c r="AB187" t="e">
        <f t="shared" si="35"/>
        <v>#REF!</v>
      </c>
      <c r="AC187" t="e">
        <f t="shared" si="36"/>
        <v>#REF!</v>
      </c>
      <c r="AD187" t="e">
        <f t="shared" si="37"/>
        <v>#REF!</v>
      </c>
    </row>
    <row r="188" spans="1:30" x14ac:dyDescent="0.15">
      <c r="A188" t="e">
        <f>Experiment!#REF!</f>
        <v>#REF!</v>
      </c>
      <c r="B188" t="e">
        <f>((Experiment!#REF!+50)*(Experiment!#REF!-50)+(Experiment!#REF!^2))/((Experiment!#REF!+50)^2+(Experiment!#REF!^2))</f>
        <v>#REF!</v>
      </c>
      <c r="C188" t="e">
        <f>((Experiment!#REF!+50)*Experiment!#REF!-Experiment!#REF!*(Experiment!#REF!-50))/((Experiment!#REF!+50)^2+(Experiment!#REF!^2))</f>
        <v>#REF!</v>
      </c>
      <c r="D188" t="e">
        <f t="shared" si="27"/>
        <v>#REF!</v>
      </c>
      <c r="E188" t="e">
        <f t="shared" si="28"/>
        <v>#REF!</v>
      </c>
      <c r="F188" t="e">
        <f t="shared" si="29"/>
        <v>#REF!</v>
      </c>
      <c r="I188" t="e">
        <f>Experiment!#REF!</f>
        <v>#REF!</v>
      </c>
      <c r="J188" t="e">
        <f>((Experiment!#REF!+50)*(Experiment!#REF!-50)+(Experiment!#REF!^2))/((Experiment!#REF!+50)^2+(Experiment!#REF!^2))</f>
        <v>#REF!</v>
      </c>
      <c r="K188" t="e">
        <f>((Experiment!#REF!+50)*Experiment!#REF!-Experiment!#REF!*(Experiment!#REF!-50))/((Experiment!#REF!+50)^2+(Experiment!#REF!^2))</f>
        <v>#REF!</v>
      </c>
      <c r="L188" t="e">
        <f t="shared" si="30"/>
        <v>#REF!</v>
      </c>
      <c r="M188" t="e">
        <f t="shared" si="31"/>
        <v>#REF!</v>
      </c>
      <c r="N188" t="e">
        <f t="shared" si="32"/>
        <v>#REF!</v>
      </c>
      <c r="Q188">
        <f>Experiment!A188</f>
        <v>1708000000</v>
      </c>
      <c r="R188">
        <f>((Experiment!D188+50)*(Experiment!D188-50)+(Experiment!E188^2))/((Experiment!D188+50)^2+(Experiment!E188^2))</f>
        <v>0.11002004419093632</v>
      </c>
      <c r="S188">
        <f>((Experiment!D188+50)*Experiment!E188-Experiment!E188*(Experiment!D188-50))/((Experiment!D188+50)^2+(Experiment!E188^2))</f>
        <v>-0.9320387151759908</v>
      </c>
      <c r="T188" t="str">
        <f t="shared" si="33"/>
        <v>0.110020044190936-0.932038715175991i</v>
      </c>
      <c r="U188">
        <f t="shared" si="38"/>
        <v>0.93850976378015771</v>
      </c>
      <c r="V188">
        <f t="shared" si="34"/>
        <v>0.55122409678689732</v>
      </c>
      <c r="Y188" t="e">
        <f>Experiment!#REF!</f>
        <v>#REF!</v>
      </c>
      <c r="Z188" t="e">
        <f>((Experiment!#REF!+50)*(Experiment!#REF!-50)+(Experiment!#REF!^2))/((Experiment!#REF!+50)^2+(Experiment!#REF!^2))</f>
        <v>#REF!</v>
      </c>
      <c r="AA188" t="e">
        <f>((Experiment!#REF!+50)*Experiment!#REF!-Experiment!#REF!*(Experiment!#REF!-50))/((Experiment!#REF!+50)^2+(Experiment!#REF!^2))</f>
        <v>#REF!</v>
      </c>
      <c r="AB188" t="e">
        <f t="shared" si="35"/>
        <v>#REF!</v>
      </c>
      <c r="AC188" t="e">
        <f t="shared" si="36"/>
        <v>#REF!</v>
      </c>
      <c r="AD188" t="e">
        <f t="shared" si="37"/>
        <v>#REF!</v>
      </c>
    </row>
    <row r="189" spans="1:30" x14ac:dyDescent="0.15">
      <c r="A189" t="e">
        <f>Experiment!#REF!</f>
        <v>#REF!</v>
      </c>
      <c r="B189" t="e">
        <f>((Experiment!#REF!+50)*(Experiment!#REF!-50)+(Experiment!#REF!^2))/((Experiment!#REF!+50)^2+(Experiment!#REF!^2))</f>
        <v>#REF!</v>
      </c>
      <c r="C189" t="e">
        <f>((Experiment!#REF!+50)*Experiment!#REF!-Experiment!#REF!*(Experiment!#REF!-50))/((Experiment!#REF!+50)^2+(Experiment!#REF!^2))</f>
        <v>#REF!</v>
      </c>
      <c r="D189" t="e">
        <f t="shared" si="27"/>
        <v>#REF!</v>
      </c>
      <c r="E189" t="e">
        <f t="shared" si="28"/>
        <v>#REF!</v>
      </c>
      <c r="F189" t="e">
        <f t="shared" si="29"/>
        <v>#REF!</v>
      </c>
      <c r="I189" t="e">
        <f>Experiment!#REF!</f>
        <v>#REF!</v>
      </c>
      <c r="J189" t="e">
        <f>((Experiment!#REF!+50)*(Experiment!#REF!-50)+(Experiment!#REF!^2))/((Experiment!#REF!+50)^2+(Experiment!#REF!^2))</f>
        <v>#REF!</v>
      </c>
      <c r="K189" t="e">
        <f>((Experiment!#REF!+50)*Experiment!#REF!-Experiment!#REF!*(Experiment!#REF!-50))/((Experiment!#REF!+50)^2+(Experiment!#REF!^2))</f>
        <v>#REF!</v>
      </c>
      <c r="L189" t="e">
        <f t="shared" si="30"/>
        <v>#REF!</v>
      </c>
      <c r="M189" t="e">
        <f t="shared" si="31"/>
        <v>#REF!</v>
      </c>
      <c r="N189" t="e">
        <f t="shared" si="32"/>
        <v>#REF!</v>
      </c>
      <c r="Q189">
        <f>Experiment!A189</f>
        <v>1778200000</v>
      </c>
      <c r="R189">
        <f>((Experiment!D189+50)*(Experiment!D189-50)+(Experiment!E189^2))/((Experiment!D189+50)^2+(Experiment!E189^2))</f>
        <v>0.13244544988404408</v>
      </c>
      <c r="S189">
        <f>((Experiment!D189+50)*Experiment!E189-Experiment!E189*(Experiment!D189-50))/((Experiment!D189+50)^2+(Experiment!E189^2))</f>
        <v>-0.9300295628539148</v>
      </c>
      <c r="T189" t="str">
        <f t="shared" si="33"/>
        <v>0.132445449884044-0.930029562853915i</v>
      </c>
      <c r="U189">
        <f t="shared" si="38"/>
        <v>0.93941300021727969</v>
      </c>
      <c r="V189">
        <f t="shared" si="34"/>
        <v>0.54286868114860787</v>
      </c>
      <c r="Y189" t="e">
        <f>Experiment!#REF!</f>
        <v>#REF!</v>
      </c>
      <c r="Z189" t="e">
        <f>((Experiment!#REF!+50)*(Experiment!#REF!-50)+(Experiment!#REF!^2))/((Experiment!#REF!+50)^2+(Experiment!#REF!^2))</f>
        <v>#REF!</v>
      </c>
      <c r="AA189" t="e">
        <f>((Experiment!#REF!+50)*Experiment!#REF!-Experiment!#REF!*(Experiment!#REF!-50))/((Experiment!#REF!+50)^2+(Experiment!#REF!^2))</f>
        <v>#REF!</v>
      </c>
      <c r="AB189" t="e">
        <f t="shared" si="35"/>
        <v>#REF!</v>
      </c>
      <c r="AC189" t="e">
        <f t="shared" si="36"/>
        <v>#REF!</v>
      </c>
      <c r="AD189" t="e">
        <f t="shared" si="37"/>
        <v>#REF!</v>
      </c>
    </row>
    <row r="190" spans="1:30" x14ac:dyDescent="0.15">
      <c r="A190" t="e">
        <f>Experiment!#REF!</f>
        <v>#REF!</v>
      </c>
      <c r="B190" t="e">
        <f>((Experiment!#REF!+50)*(Experiment!#REF!-50)+(Experiment!#REF!^2))/((Experiment!#REF!+50)^2+(Experiment!#REF!^2))</f>
        <v>#REF!</v>
      </c>
      <c r="C190" t="e">
        <f>((Experiment!#REF!+50)*Experiment!#REF!-Experiment!#REF!*(Experiment!#REF!-50))/((Experiment!#REF!+50)^2+(Experiment!#REF!^2))</f>
        <v>#REF!</v>
      </c>
      <c r="D190" t="e">
        <f t="shared" si="27"/>
        <v>#REF!</v>
      </c>
      <c r="E190" t="e">
        <f t="shared" si="28"/>
        <v>#REF!</v>
      </c>
      <c r="F190" t="e">
        <f t="shared" si="29"/>
        <v>#REF!</v>
      </c>
      <c r="I190" t="e">
        <f>Experiment!#REF!</f>
        <v>#REF!</v>
      </c>
      <c r="J190" t="e">
        <f>((Experiment!#REF!+50)*(Experiment!#REF!-50)+(Experiment!#REF!^2))/((Experiment!#REF!+50)^2+(Experiment!#REF!^2))</f>
        <v>#REF!</v>
      </c>
      <c r="K190" t="e">
        <f>((Experiment!#REF!+50)*Experiment!#REF!-Experiment!#REF!*(Experiment!#REF!-50))/((Experiment!#REF!+50)^2+(Experiment!#REF!^2))</f>
        <v>#REF!</v>
      </c>
      <c r="L190" t="e">
        <f t="shared" si="30"/>
        <v>#REF!</v>
      </c>
      <c r="M190" t="e">
        <f t="shared" si="31"/>
        <v>#REF!</v>
      </c>
      <c r="N190" t="e">
        <f t="shared" si="32"/>
        <v>#REF!</v>
      </c>
      <c r="Q190">
        <f>Experiment!A190</f>
        <v>1851200000</v>
      </c>
      <c r="R190">
        <f>((Experiment!D190+50)*(Experiment!D190-50)+(Experiment!E190^2))/((Experiment!D190+50)^2+(Experiment!E190^2))</f>
        <v>0.15875802755020768</v>
      </c>
      <c r="S190">
        <f>((Experiment!D190+50)*Experiment!E190-Experiment!E190*(Experiment!D190-50))/((Experiment!D190+50)^2+(Experiment!E190^2))</f>
        <v>-0.92613517953202462</v>
      </c>
      <c r="T190" t="str">
        <f t="shared" si="33"/>
        <v>0.158758027550208-0.926135179532025i</v>
      </c>
      <c r="U190">
        <f t="shared" si="38"/>
        <v>0.93964380595970931</v>
      </c>
      <c r="V190">
        <f t="shared" si="34"/>
        <v>0.54073489444235479</v>
      </c>
      <c r="Y190" t="e">
        <f>Experiment!#REF!</f>
        <v>#REF!</v>
      </c>
      <c r="Z190" t="e">
        <f>((Experiment!#REF!+50)*(Experiment!#REF!-50)+(Experiment!#REF!^2))/((Experiment!#REF!+50)^2+(Experiment!#REF!^2))</f>
        <v>#REF!</v>
      </c>
      <c r="AA190" t="e">
        <f>((Experiment!#REF!+50)*Experiment!#REF!-Experiment!#REF!*(Experiment!#REF!-50))/((Experiment!#REF!+50)^2+(Experiment!#REF!^2))</f>
        <v>#REF!</v>
      </c>
      <c r="AB190" t="e">
        <f t="shared" si="35"/>
        <v>#REF!</v>
      </c>
      <c r="AC190" t="e">
        <f t="shared" si="36"/>
        <v>#REF!</v>
      </c>
      <c r="AD190" t="e">
        <f t="shared" si="37"/>
        <v>#REF!</v>
      </c>
    </row>
    <row r="191" spans="1:30" x14ac:dyDescent="0.15">
      <c r="A191" t="e">
        <f>Experiment!#REF!</f>
        <v>#REF!</v>
      </c>
      <c r="B191" t="e">
        <f>((Experiment!#REF!+50)*(Experiment!#REF!-50)+(Experiment!#REF!^2))/((Experiment!#REF!+50)^2+(Experiment!#REF!^2))</f>
        <v>#REF!</v>
      </c>
      <c r="C191" t="e">
        <f>((Experiment!#REF!+50)*Experiment!#REF!-Experiment!#REF!*(Experiment!#REF!-50))/((Experiment!#REF!+50)^2+(Experiment!#REF!^2))</f>
        <v>#REF!</v>
      </c>
      <c r="D191" t="e">
        <f t="shared" si="27"/>
        <v>#REF!</v>
      </c>
      <c r="E191" t="e">
        <f t="shared" si="28"/>
        <v>#REF!</v>
      </c>
      <c r="F191" t="e">
        <f t="shared" si="29"/>
        <v>#REF!</v>
      </c>
      <c r="I191" t="e">
        <f>Experiment!#REF!</f>
        <v>#REF!</v>
      </c>
      <c r="J191" t="e">
        <f>((Experiment!#REF!+50)*(Experiment!#REF!-50)+(Experiment!#REF!^2))/((Experiment!#REF!+50)^2+(Experiment!#REF!^2))</f>
        <v>#REF!</v>
      </c>
      <c r="K191" t="e">
        <f>((Experiment!#REF!+50)*Experiment!#REF!-Experiment!#REF!*(Experiment!#REF!-50))/((Experiment!#REF!+50)^2+(Experiment!#REF!^2))</f>
        <v>#REF!</v>
      </c>
      <c r="L191" t="e">
        <f t="shared" si="30"/>
        <v>#REF!</v>
      </c>
      <c r="M191" t="e">
        <f t="shared" si="31"/>
        <v>#REF!</v>
      </c>
      <c r="N191" t="e">
        <f t="shared" si="32"/>
        <v>#REF!</v>
      </c>
      <c r="Q191">
        <f>Experiment!A191</f>
        <v>1927200000</v>
      </c>
      <c r="R191">
        <f>((Experiment!D191+50)*(Experiment!D191-50)+(Experiment!E191^2))/((Experiment!D191+50)^2+(Experiment!E191^2))</f>
        <v>0.18657760702623391</v>
      </c>
      <c r="S191">
        <f>((Experiment!D191+50)*Experiment!E191-Experiment!E191*(Experiment!D191-50))/((Experiment!D191+50)^2+(Experiment!E191^2))</f>
        <v>-0.92036787685079968</v>
      </c>
      <c r="T191" t="str">
        <f t="shared" si="33"/>
        <v>0.186577607026234-0.9203678768508i</v>
      </c>
      <c r="U191">
        <f t="shared" si="38"/>
        <v>0.93908904379855507</v>
      </c>
      <c r="V191">
        <f t="shared" si="34"/>
        <v>0.54586452535058139</v>
      </c>
      <c r="Y191" t="e">
        <f>Experiment!#REF!</f>
        <v>#REF!</v>
      </c>
      <c r="Z191" t="e">
        <f>((Experiment!#REF!+50)*(Experiment!#REF!-50)+(Experiment!#REF!^2))/((Experiment!#REF!+50)^2+(Experiment!#REF!^2))</f>
        <v>#REF!</v>
      </c>
      <c r="AA191" t="e">
        <f>((Experiment!#REF!+50)*Experiment!#REF!-Experiment!#REF!*(Experiment!#REF!-50))/((Experiment!#REF!+50)^2+(Experiment!#REF!^2))</f>
        <v>#REF!</v>
      </c>
      <c r="AB191" t="e">
        <f t="shared" si="35"/>
        <v>#REF!</v>
      </c>
      <c r="AC191" t="e">
        <f t="shared" si="36"/>
        <v>#REF!</v>
      </c>
      <c r="AD191" t="e">
        <f t="shared" si="37"/>
        <v>#REF!</v>
      </c>
    </row>
    <row r="192" spans="1:30" x14ac:dyDescent="0.15">
      <c r="A192" t="e">
        <f>Experiment!#REF!</f>
        <v>#REF!</v>
      </c>
      <c r="B192" t="e">
        <f>((Experiment!#REF!+50)*(Experiment!#REF!-50)+(Experiment!#REF!^2))/((Experiment!#REF!+50)^2+(Experiment!#REF!^2))</f>
        <v>#REF!</v>
      </c>
      <c r="C192" t="e">
        <f>((Experiment!#REF!+50)*Experiment!#REF!-Experiment!#REF!*(Experiment!#REF!-50))/((Experiment!#REF!+50)^2+(Experiment!#REF!^2))</f>
        <v>#REF!</v>
      </c>
      <c r="D192" t="e">
        <f t="shared" si="27"/>
        <v>#REF!</v>
      </c>
      <c r="E192" t="e">
        <f t="shared" si="28"/>
        <v>#REF!</v>
      </c>
      <c r="F192" t="e">
        <f t="shared" si="29"/>
        <v>#REF!</v>
      </c>
      <c r="I192" t="e">
        <f>Experiment!#REF!</f>
        <v>#REF!</v>
      </c>
      <c r="J192" t="e">
        <f>((Experiment!#REF!+50)*(Experiment!#REF!-50)+(Experiment!#REF!^2))/((Experiment!#REF!+50)^2+(Experiment!#REF!^2))</f>
        <v>#REF!</v>
      </c>
      <c r="K192" t="e">
        <f>((Experiment!#REF!+50)*Experiment!#REF!-Experiment!#REF!*(Experiment!#REF!-50))/((Experiment!#REF!+50)^2+(Experiment!#REF!^2))</f>
        <v>#REF!</v>
      </c>
      <c r="L192" t="e">
        <f t="shared" si="30"/>
        <v>#REF!</v>
      </c>
      <c r="M192" t="e">
        <f t="shared" si="31"/>
        <v>#REF!</v>
      </c>
      <c r="N192" t="e">
        <f t="shared" si="32"/>
        <v>#REF!</v>
      </c>
      <c r="Q192">
        <f>Experiment!A192</f>
        <v>2006300000</v>
      </c>
      <c r="R192">
        <f>((Experiment!D192+50)*(Experiment!D192-50)+(Experiment!E192^2))/((Experiment!D192+50)^2+(Experiment!E192^2))</f>
        <v>0.21629395379260888</v>
      </c>
      <c r="S192">
        <f>((Experiment!D192+50)*Experiment!E192-Experiment!E192*(Experiment!D192-50))/((Experiment!D192+50)^2+(Experiment!E192^2))</f>
        <v>-0.91437583391003752</v>
      </c>
      <c r="T192" t="str">
        <f t="shared" si="33"/>
        <v>0.216293953792609-0.914375833910038i</v>
      </c>
      <c r="U192">
        <f t="shared" si="38"/>
        <v>0.93960962111182944</v>
      </c>
      <c r="V192">
        <f t="shared" si="34"/>
        <v>0.54105089845941179</v>
      </c>
      <c r="Y192" t="e">
        <f>Experiment!#REF!</f>
        <v>#REF!</v>
      </c>
      <c r="Z192" t="e">
        <f>((Experiment!#REF!+50)*(Experiment!#REF!-50)+(Experiment!#REF!^2))/((Experiment!#REF!+50)^2+(Experiment!#REF!^2))</f>
        <v>#REF!</v>
      </c>
      <c r="AA192" t="e">
        <f>((Experiment!#REF!+50)*Experiment!#REF!-Experiment!#REF!*(Experiment!#REF!-50))/((Experiment!#REF!+50)^2+(Experiment!#REF!^2))</f>
        <v>#REF!</v>
      </c>
      <c r="AB192" t="e">
        <f t="shared" si="35"/>
        <v>#REF!</v>
      </c>
      <c r="AC192" t="e">
        <f t="shared" si="36"/>
        <v>#REF!</v>
      </c>
      <c r="AD192" t="e">
        <f t="shared" si="37"/>
        <v>#REF!</v>
      </c>
    </row>
    <row r="193" spans="1:30" x14ac:dyDescent="0.15">
      <c r="A193" t="e">
        <f>Experiment!#REF!</f>
        <v>#REF!</v>
      </c>
      <c r="B193" t="e">
        <f>((Experiment!#REF!+50)*(Experiment!#REF!-50)+(Experiment!#REF!^2))/((Experiment!#REF!+50)^2+(Experiment!#REF!^2))</f>
        <v>#REF!</v>
      </c>
      <c r="C193" t="e">
        <f>((Experiment!#REF!+50)*Experiment!#REF!-Experiment!#REF!*(Experiment!#REF!-50))/((Experiment!#REF!+50)^2+(Experiment!#REF!^2))</f>
        <v>#REF!</v>
      </c>
      <c r="D193" t="e">
        <f t="shared" si="27"/>
        <v>#REF!</v>
      </c>
      <c r="E193" t="e">
        <f t="shared" si="28"/>
        <v>#REF!</v>
      </c>
      <c r="F193" t="e">
        <f t="shared" si="29"/>
        <v>#REF!</v>
      </c>
      <c r="I193" t="e">
        <f>Experiment!#REF!</f>
        <v>#REF!</v>
      </c>
      <c r="J193" t="e">
        <f>((Experiment!#REF!+50)*(Experiment!#REF!-50)+(Experiment!#REF!^2))/((Experiment!#REF!+50)^2+(Experiment!#REF!^2))</f>
        <v>#REF!</v>
      </c>
      <c r="K193" t="e">
        <f>((Experiment!#REF!+50)*Experiment!#REF!-Experiment!#REF!*(Experiment!#REF!-50))/((Experiment!#REF!+50)^2+(Experiment!#REF!^2))</f>
        <v>#REF!</v>
      </c>
      <c r="L193" t="e">
        <f t="shared" si="30"/>
        <v>#REF!</v>
      </c>
      <c r="M193" t="e">
        <f t="shared" si="31"/>
        <v>#REF!</v>
      </c>
      <c r="N193" t="e">
        <f t="shared" si="32"/>
        <v>#REF!</v>
      </c>
      <c r="Q193">
        <f>Experiment!A193</f>
        <v>2088600000</v>
      </c>
      <c r="R193">
        <f>((Experiment!D193+50)*(Experiment!D193-50)+(Experiment!E193^2))/((Experiment!D193+50)^2+(Experiment!E193^2))</f>
        <v>0.24689175101189639</v>
      </c>
      <c r="S193">
        <f>((Experiment!D193+50)*Experiment!E193-Experiment!E193*(Experiment!D193-50))/((Experiment!D193+50)^2+(Experiment!E193^2))</f>
        <v>-0.90613646716855256</v>
      </c>
      <c r="T193" t="str">
        <f t="shared" si="33"/>
        <v>0.246891751011896-0.906136467168553i</v>
      </c>
      <c r="U193">
        <f t="shared" si="38"/>
        <v>0.93916922535314451</v>
      </c>
      <c r="V193">
        <f t="shared" si="34"/>
        <v>0.54512293603239881</v>
      </c>
      <c r="Y193" t="e">
        <f>Experiment!#REF!</f>
        <v>#REF!</v>
      </c>
      <c r="Z193" t="e">
        <f>((Experiment!#REF!+50)*(Experiment!#REF!-50)+(Experiment!#REF!^2))/((Experiment!#REF!+50)^2+(Experiment!#REF!^2))</f>
        <v>#REF!</v>
      </c>
      <c r="AA193" t="e">
        <f>((Experiment!#REF!+50)*Experiment!#REF!-Experiment!#REF!*(Experiment!#REF!-50))/((Experiment!#REF!+50)^2+(Experiment!#REF!^2))</f>
        <v>#REF!</v>
      </c>
      <c r="AB193" t="e">
        <f t="shared" si="35"/>
        <v>#REF!</v>
      </c>
      <c r="AC193" t="e">
        <f t="shared" si="36"/>
        <v>#REF!</v>
      </c>
      <c r="AD193" t="e">
        <f t="shared" si="37"/>
        <v>#REF!</v>
      </c>
    </row>
    <row r="194" spans="1:30" x14ac:dyDescent="0.15">
      <c r="A194" t="e">
        <f>Experiment!#REF!</f>
        <v>#REF!</v>
      </c>
      <c r="B194" t="e">
        <f>((Experiment!#REF!+50)*(Experiment!#REF!-50)+(Experiment!#REF!^2))/((Experiment!#REF!+50)^2+(Experiment!#REF!^2))</f>
        <v>#REF!</v>
      </c>
      <c r="C194" t="e">
        <f>((Experiment!#REF!+50)*Experiment!#REF!-Experiment!#REF!*(Experiment!#REF!-50))/((Experiment!#REF!+50)^2+(Experiment!#REF!^2))</f>
        <v>#REF!</v>
      </c>
      <c r="D194" t="e">
        <f t="shared" si="27"/>
        <v>#REF!</v>
      </c>
      <c r="E194" t="e">
        <f t="shared" si="28"/>
        <v>#REF!</v>
      </c>
      <c r="F194" t="e">
        <f t="shared" si="29"/>
        <v>#REF!</v>
      </c>
      <c r="I194" t="e">
        <f>Experiment!#REF!</f>
        <v>#REF!</v>
      </c>
      <c r="J194" t="e">
        <f>((Experiment!#REF!+50)*(Experiment!#REF!-50)+(Experiment!#REF!^2))/((Experiment!#REF!+50)^2+(Experiment!#REF!^2))</f>
        <v>#REF!</v>
      </c>
      <c r="K194" t="e">
        <f>((Experiment!#REF!+50)*Experiment!#REF!-Experiment!#REF!*(Experiment!#REF!-50))/((Experiment!#REF!+50)^2+(Experiment!#REF!^2))</f>
        <v>#REF!</v>
      </c>
      <c r="L194" t="e">
        <f t="shared" si="30"/>
        <v>#REF!</v>
      </c>
      <c r="M194" t="e">
        <f t="shared" si="31"/>
        <v>#REF!</v>
      </c>
      <c r="N194" t="e">
        <f t="shared" si="32"/>
        <v>#REF!</v>
      </c>
      <c r="Q194">
        <f>Experiment!A194</f>
        <v>2174400000</v>
      </c>
      <c r="R194">
        <f>((Experiment!D194+50)*(Experiment!D194-50)+(Experiment!E194^2))/((Experiment!D194+50)^2+(Experiment!E194^2))</f>
        <v>0.27841765398658314</v>
      </c>
      <c r="S194">
        <f>((Experiment!D194+50)*Experiment!E194-Experiment!E194*(Experiment!D194-50))/((Experiment!D194+50)^2+(Experiment!E194^2))</f>
        <v>-0.89725940290811002</v>
      </c>
      <c r="T194" t="str">
        <f t="shared" si="33"/>
        <v>0.278417653986583-0.89725940290811i</v>
      </c>
      <c r="U194">
        <f t="shared" si="38"/>
        <v>0.93946305204537495</v>
      </c>
      <c r="V194">
        <f t="shared" si="34"/>
        <v>0.54240591016954509</v>
      </c>
      <c r="Y194" t="e">
        <f>Experiment!#REF!</f>
        <v>#REF!</v>
      </c>
      <c r="Z194" t="e">
        <f>((Experiment!#REF!+50)*(Experiment!#REF!-50)+(Experiment!#REF!^2))/((Experiment!#REF!+50)^2+(Experiment!#REF!^2))</f>
        <v>#REF!</v>
      </c>
      <c r="AA194" t="e">
        <f>((Experiment!#REF!+50)*Experiment!#REF!-Experiment!#REF!*(Experiment!#REF!-50))/((Experiment!#REF!+50)^2+(Experiment!#REF!^2))</f>
        <v>#REF!</v>
      </c>
      <c r="AB194" t="e">
        <f t="shared" si="35"/>
        <v>#REF!</v>
      </c>
      <c r="AC194" t="e">
        <f t="shared" si="36"/>
        <v>#REF!</v>
      </c>
      <c r="AD194" t="e">
        <f t="shared" si="37"/>
        <v>#REF!</v>
      </c>
    </row>
    <row r="195" spans="1:30" x14ac:dyDescent="0.15">
      <c r="A195" t="e">
        <f>Experiment!#REF!</f>
        <v>#REF!</v>
      </c>
      <c r="B195" t="e">
        <f>((Experiment!#REF!+50)*(Experiment!#REF!-50)+(Experiment!#REF!^2))/((Experiment!#REF!+50)^2+(Experiment!#REF!^2))</f>
        <v>#REF!</v>
      </c>
      <c r="C195" t="e">
        <f>((Experiment!#REF!+50)*Experiment!#REF!-Experiment!#REF!*(Experiment!#REF!-50))/((Experiment!#REF!+50)^2+(Experiment!#REF!^2))</f>
        <v>#REF!</v>
      </c>
      <c r="D195" t="e">
        <f t="shared" si="27"/>
        <v>#REF!</v>
      </c>
      <c r="E195" t="e">
        <f t="shared" si="28"/>
        <v>#REF!</v>
      </c>
      <c r="F195" t="e">
        <f t="shared" si="29"/>
        <v>#REF!</v>
      </c>
      <c r="I195" t="e">
        <f>Experiment!#REF!</f>
        <v>#REF!</v>
      </c>
      <c r="J195" t="e">
        <f>((Experiment!#REF!+50)*(Experiment!#REF!-50)+(Experiment!#REF!^2))/((Experiment!#REF!+50)^2+(Experiment!#REF!^2))</f>
        <v>#REF!</v>
      </c>
      <c r="K195" t="e">
        <f>((Experiment!#REF!+50)*Experiment!#REF!-Experiment!#REF!*(Experiment!#REF!-50))/((Experiment!#REF!+50)^2+(Experiment!#REF!^2))</f>
        <v>#REF!</v>
      </c>
      <c r="L195" t="e">
        <f t="shared" si="30"/>
        <v>#REF!</v>
      </c>
      <c r="M195" t="e">
        <f t="shared" si="31"/>
        <v>#REF!</v>
      </c>
      <c r="N195" t="e">
        <f t="shared" si="32"/>
        <v>#REF!</v>
      </c>
      <c r="Q195">
        <f>Experiment!A195</f>
        <v>2263700000</v>
      </c>
      <c r="R195">
        <f>((Experiment!D195+50)*(Experiment!D195-50)+(Experiment!E195^2))/((Experiment!D195+50)^2+(Experiment!E195^2))</f>
        <v>0.31284039941706848</v>
      </c>
      <c r="S195">
        <f>((Experiment!D195+50)*Experiment!E195-Experiment!E195*(Experiment!D195-50))/((Experiment!D195+50)^2+(Experiment!E195^2))</f>
        <v>-0.88591654643036144</v>
      </c>
      <c r="T195" t="str">
        <f t="shared" si="33"/>
        <v>0.312840399417068-0.885916546430361i</v>
      </c>
      <c r="U195">
        <f t="shared" ref="U195:U202" si="39">SQRT(R195^2+S195^2)</f>
        <v>0.93953033093483984</v>
      </c>
      <c r="V195">
        <f t="shared" si="34"/>
        <v>0.54178389945422634</v>
      </c>
      <c r="Y195" t="e">
        <f>Experiment!#REF!</f>
        <v>#REF!</v>
      </c>
      <c r="Z195" t="e">
        <f>((Experiment!#REF!+50)*(Experiment!#REF!-50)+(Experiment!#REF!^2))/((Experiment!#REF!+50)^2+(Experiment!#REF!^2))</f>
        <v>#REF!</v>
      </c>
      <c r="AA195" t="e">
        <f>((Experiment!#REF!+50)*Experiment!#REF!-Experiment!#REF!*(Experiment!#REF!-50))/((Experiment!#REF!+50)^2+(Experiment!#REF!^2))</f>
        <v>#REF!</v>
      </c>
      <c r="AB195" t="e">
        <f t="shared" si="35"/>
        <v>#REF!</v>
      </c>
      <c r="AC195" t="e">
        <f t="shared" si="36"/>
        <v>#REF!</v>
      </c>
      <c r="AD195" t="e">
        <f t="shared" si="37"/>
        <v>#REF!</v>
      </c>
    </row>
    <row r="196" spans="1:30" x14ac:dyDescent="0.15">
      <c r="A196" t="e">
        <f>Experiment!#REF!</f>
        <v>#REF!</v>
      </c>
      <c r="B196" t="e">
        <f>((Experiment!#REF!+50)*(Experiment!#REF!-50)+(Experiment!#REF!^2))/((Experiment!#REF!+50)^2+(Experiment!#REF!^2))</f>
        <v>#REF!</v>
      </c>
      <c r="C196" t="e">
        <f>((Experiment!#REF!+50)*Experiment!#REF!-Experiment!#REF!*(Experiment!#REF!-50))/((Experiment!#REF!+50)^2+(Experiment!#REF!^2))</f>
        <v>#REF!</v>
      </c>
      <c r="D196" t="e">
        <f t="shared" ref="D196:D202" si="40">IMSUM(B196,IMPRODUCT(C196,$C$1))</f>
        <v>#REF!</v>
      </c>
      <c r="E196" t="e">
        <f t="shared" ref="E196:E202" si="41">SQRT(B196^2+C196^2)</f>
        <v>#REF!</v>
      </c>
      <c r="F196" t="e">
        <f t="shared" ref="F196:F202" si="42">-20*LOG(ABS(E196))</f>
        <v>#REF!</v>
      </c>
      <c r="I196" t="e">
        <f>Experiment!#REF!</f>
        <v>#REF!</v>
      </c>
      <c r="J196" t="e">
        <f>((Experiment!#REF!+50)*(Experiment!#REF!-50)+(Experiment!#REF!^2))/((Experiment!#REF!+50)^2+(Experiment!#REF!^2))</f>
        <v>#REF!</v>
      </c>
      <c r="K196" t="e">
        <f>((Experiment!#REF!+50)*Experiment!#REF!-Experiment!#REF!*(Experiment!#REF!-50))/((Experiment!#REF!+50)^2+(Experiment!#REF!^2))</f>
        <v>#REF!</v>
      </c>
      <c r="L196" t="e">
        <f t="shared" ref="L196:L202" si="43">IMSUM(J196,IMPRODUCT(K196,$K$1))</f>
        <v>#REF!</v>
      </c>
      <c r="M196" t="e">
        <f t="shared" ref="M196:M202" si="44">SQRT(J196^2+K196^2)</f>
        <v>#REF!</v>
      </c>
      <c r="N196" t="e">
        <f t="shared" ref="N196:N202" si="45">-20*LOG(ABS(M196))</f>
        <v>#REF!</v>
      </c>
      <c r="Q196">
        <f>Experiment!A196</f>
        <v>2356600000</v>
      </c>
      <c r="R196">
        <f>((Experiment!D196+50)*(Experiment!D196-50)+(Experiment!E196^2))/((Experiment!D196+50)^2+(Experiment!E196^2))</f>
        <v>0.3499335296080448</v>
      </c>
      <c r="S196">
        <f>((Experiment!D196+50)*Experiment!E196-Experiment!E196*(Experiment!D196-50))/((Experiment!D196+50)^2+(Experiment!E196^2))</f>
        <v>-0.87405628155783133</v>
      </c>
      <c r="T196" t="str">
        <f t="shared" ref="T196:T202" si="46">IMSUM(R196,IMPRODUCT(S196,$S$1))</f>
        <v>0.349933529608045-0.874056281557831i</v>
      </c>
      <c r="U196">
        <f t="shared" si="39"/>
        <v>0.94150297847359321</v>
      </c>
      <c r="V196">
        <f t="shared" ref="V196:V202" si="47">-20*LOG(ABS(U196))</f>
        <v>0.52356603482418318</v>
      </c>
      <c r="Y196" t="e">
        <f>Experiment!#REF!</f>
        <v>#REF!</v>
      </c>
      <c r="Z196" t="e">
        <f>((Experiment!#REF!+50)*(Experiment!#REF!-50)+(Experiment!#REF!^2))/((Experiment!#REF!+50)^2+(Experiment!#REF!^2))</f>
        <v>#REF!</v>
      </c>
      <c r="AA196" t="e">
        <f>((Experiment!#REF!+50)*Experiment!#REF!-Experiment!#REF!*(Experiment!#REF!-50))/((Experiment!#REF!+50)^2+(Experiment!#REF!^2))</f>
        <v>#REF!</v>
      </c>
      <c r="AB196" t="e">
        <f t="shared" ref="AB196:AB202" si="48">IMSUM(Z196,IMPRODUCT(AA196,$AA$1))</f>
        <v>#REF!</v>
      </c>
      <c r="AC196" t="e">
        <f t="shared" ref="AC196:AC202" si="49">SQRT(Z196^2+AA196^2)</f>
        <v>#REF!</v>
      </c>
      <c r="AD196" t="e">
        <f t="shared" ref="AD196:AD202" si="50">-20*LOG(ABS(AC196))</f>
        <v>#REF!</v>
      </c>
    </row>
    <row r="197" spans="1:30" x14ac:dyDescent="0.15">
      <c r="A197" t="e">
        <f>Experiment!#REF!</f>
        <v>#REF!</v>
      </c>
      <c r="B197" t="e">
        <f>((Experiment!#REF!+50)*(Experiment!#REF!-50)+(Experiment!#REF!^2))/((Experiment!#REF!+50)^2+(Experiment!#REF!^2))</f>
        <v>#REF!</v>
      </c>
      <c r="C197" t="e">
        <f>((Experiment!#REF!+50)*Experiment!#REF!-Experiment!#REF!*(Experiment!#REF!-50))/((Experiment!#REF!+50)^2+(Experiment!#REF!^2))</f>
        <v>#REF!</v>
      </c>
      <c r="D197" t="e">
        <f t="shared" si="40"/>
        <v>#REF!</v>
      </c>
      <c r="E197" t="e">
        <f t="shared" si="41"/>
        <v>#REF!</v>
      </c>
      <c r="F197" t="e">
        <f t="shared" si="42"/>
        <v>#REF!</v>
      </c>
      <c r="I197" t="e">
        <f>Experiment!#REF!</f>
        <v>#REF!</v>
      </c>
      <c r="J197" t="e">
        <f>((Experiment!#REF!+50)*(Experiment!#REF!-50)+(Experiment!#REF!^2))/((Experiment!#REF!+50)^2+(Experiment!#REF!^2))</f>
        <v>#REF!</v>
      </c>
      <c r="K197" t="e">
        <f>((Experiment!#REF!+50)*Experiment!#REF!-Experiment!#REF!*(Experiment!#REF!-50))/((Experiment!#REF!+50)^2+(Experiment!#REF!^2))</f>
        <v>#REF!</v>
      </c>
      <c r="L197" t="e">
        <f t="shared" si="43"/>
        <v>#REF!</v>
      </c>
      <c r="M197" t="e">
        <f t="shared" si="44"/>
        <v>#REF!</v>
      </c>
      <c r="N197" t="e">
        <f t="shared" si="45"/>
        <v>#REF!</v>
      </c>
      <c r="Q197">
        <f>Experiment!A197</f>
        <v>2453300000</v>
      </c>
      <c r="R197">
        <f>((Experiment!D197+50)*(Experiment!D197-50)+(Experiment!E197^2))/((Experiment!D197+50)^2+(Experiment!E197^2))</f>
        <v>0.38891477573610156</v>
      </c>
      <c r="S197">
        <f>((Experiment!D197+50)*Experiment!E197-Experiment!E197*(Experiment!D197-50))/((Experiment!D197+50)^2+(Experiment!E197^2))</f>
        <v>-0.8569339246419706</v>
      </c>
      <c r="T197" t="str">
        <f t="shared" si="46"/>
        <v>0.388914775736102-0.856933924641971i</v>
      </c>
      <c r="U197">
        <f t="shared" si="39"/>
        <v>0.94105815653877245</v>
      </c>
      <c r="V197">
        <f t="shared" si="47"/>
        <v>0.52767073478264936</v>
      </c>
      <c r="Y197" t="e">
        <f>Experiment!#REF!</f>
        <v>#REF!</v>
      </c>
      <c r="Z197" t="e">
        <f>((Experiment!#REF!+50)*(Experiment!#REF!-50)+(Experiment!#REF!^2))/((Experiment!#REF!+50)^2+(Experiment!#REF!^2))</f>
        <v>#REF!</v>
      </c>
      <c r="AA197" t="e">
        <f>((Experiment!#REF!+50)*Experiment!#REF!-Experiment!#REF!*(Experiment!#REF!-50))/((Experiment!#REF!+50)^2+(Experiment!#REF!^2))</f>
        <v>#REF!</v>
      </c>
      <c r="AB197" t="e">
        <f t="shared" si="48"/>
        <v>#REF!</v>
      </c>
      <c r="AC197" t="e">
        <f t="shared" si="49"/>
        <v>#REF!</v>
      </c>
      <c r="AD197" t="e">
        <f t="shared" si="50"/>
        <v>#REF!</v>
      </c>
    </row>
    <row r="198" spans="1:30" x14ac:dyDescent="0.15">
      <c r="A198" t="e">
        <f>Experiment!#REF!</f>
        <v>#REF!</v>
      </c>
      <c r="B198" t="e">
        <f>((Experiment!#REF!+50)*(Experiment!#REF!-50)+(Experiment!#REF!^2))/((Experiment!#REF!+50)^2+(Experiment!#REF!^2))</f>
        <v>#REF!</v>
      </c>
      <c r="C198" t="e">
        <f>((Experiment!#REF!+50)*Experiment!#REF!-Experiment!#REF!*(Experiment!#REF!-50))/((Experiment!#REF!+50)^2+(Experiment!#REF!^2))</f>
        <v>#REF!</v>
      </c>
      <c r="D198" t="e">
        <f t="shared" si="40"/>
        <v>#REF!</v>
      </c>
      <c r="E198" t="e">
        <f t="shared" si="41"/>
        <v>#REF!</v>
      </c>
      <c r="F198" t="e">
        <f t="shared" si="42"/>
        <v>#REF!</v>
      </c>
      <c r="I198" t="e">
        <f>Experiment!#REF!</f>
        <v>#REF!</v>
      </c>
      <c r="J198" t="e">
        <f>((Experiment!#REF!+50)*(Experiment!#REF!-50)+(Experiment!#REF!^2))/((Experiment!#REF!+50)^2+(Experiment!#REF!^2))</f>
        <v>#REF!</v>
      </c>
      <c r="K198" t="e">
        <f>((Experiment!#REF!+50)*Experiment!#REF!-Experiment!#REF!*(Experiment!#REF!-50))/((Experiment!#REF!+50)^2+(Experiment!#REF!^2))</f>
        <v>#REF!</v>
      </c>
      <c r="L198" t="e">
        <f t="shared" si="43"/>
        <v>#REF!</v>
      </c>
      <c r="M198" t="e">
        <f t="shared" si="44"/>
        <v>#REF!</v>
      </c>
      <c r="N198" t="e">
        <f t="shared" si="45"/>
        <v>#REF!</v>
      </c>
      <c r="Q198">
        <f>Experiment!A198</f>
        <v>2554000000</v>
      </c>
      <c r="R198">
        <f>((Experiment!D198+50)*(Experiment!D198-50)+(Experiment!E198^2))/((Experiment!D198+50)^2+(Experiment!E198^2))</f>
        <v>0.42962843595789618</v>
      </c>
      <c r="S198">
        <f>((Experiment!D198+50)*Experiment!E198-Experiment!E198*(Experiment!D198-50))/((Experiment!D198+50)^2+(Experiment!E198^2))</f>
        <v>-0.83810932087842271</v>
      </c>
      <c r="T198" t="str">
        <f t="shared" si="46"/>
        <v>0.429628435957896-0.838109320878423i</v>
      </c>
      <c r="U198">
        <f t="shared" si="39"/>
        <v>0.94181092939449318</v>
      </c>
      <c r="V198">
        <f t="shared" si="47"/>
        <v>0.52072548049540979</v>
      </c>
      <c r="Y198" t="e">
        <f>Experiment!#REF!</f>
        <v>#REF!</v>
      </c>
      <c r="Z198" t="e">
        <f>((Experiment!#REF!+50)*(Experiment!#REF!-50)+(Experiment!#REF!^2))/((Experiment!#REF!+50)^2+(Experiment!#REF!^2))</f>
        <v>#REF!</v>
      </c>
      <c r="AA198" t="e">
        <f>((Experiment!#REF!+50)*Experiment!#REF!-Experiment!#REF!*(Experiment!#REF!-50))/((Experiment!#REF!+50)^2+(Experiment!#REF!^2))</f>
        <v>#REF!</v>
      </c>
      <c r="AB198" t="e">
        <f t="shared" si="48"/>
        <v>#REF!</v>
      </c>
      <c r="AC198" t="e">
        <f t="shared" si="49"/>
        <v>#REF!</v>
      </c>
      <c r="AD198" t="e">
        <f t="shared" si="50"/>
        <v>#REF!</v>
      </c>
    </row>
    <row r="199" spans="1:30" x14ac:dyDescent="0.15">
      <c r="A199" t="e">
        <f>Experiment!#REF!</f>
        <v>#REF!</v>
      </c>
      <c r="B199" t="e">
        <f>((Experiment!#REF!+50)*(Experiment!#REF!-50)+(Experiment!#REF!^2))/((Experiment!#REF!+50)^2+(Experiment!#REF!^2))</f>
        <v>#REF!</v>
      </c>
      <c r="C199" t="e">
        <f>((Experiment!#REF!+50)*Experiment!#REF!-Experiment!#REF!*(Experiment!#REF!-50))/((Experiment!#REF!+50)^2+(Experiment!#REF!^2))</f>
        <v>#REF!</v>
      </c>
      <c r="D199" t="e">
        <f t="shared" si="40"/>
        <v>#REF!</v>
      </c>
      <c r="E199" t="e">
        <f t="shared" si="41"/>
        <v>#REF!</v>
      </c>
      <c r="F199" t="e">
        <f t="shared" si="42"/>
        <v>#REF!</v>
      </c>
      <c r="I199" t="e">
        <f>Experiment!#REF!</f>
        <v>#REF!</v>
      </c>
      <c r="J199" t="e">
        <f>((Experiment!#REF!+50)*(Experiment!#REF!-50)+(Experiment!#REF!^2))/((Experiment!#REF!+50)^2+(Experiment!#REF!^2))</f>
        <v>#REF!</v>
      </c>
      <c r="K199" t="e">
        <f>((Experiment!#REF!+50)*Experiment!#REF!-Experiment!#REF!*(Experiment!#REF!-50))/((Experiment!#REF!+50)^2+(Experiment!#REF!^2))</f>
        <v>#REF!</v>
      </c>
      <c r="L199" t="e">
        <f t="shared" si="43"/>
        <v>#REF!</v>
      </c>
      <c r="M199" t="e">
        <f t="shared" si="44"/>
        <v>#REF!</v>
      </c>
      <c r="N199" t="e">
        <f t="shared" si="45"/>
        <v>#REF!</v>
      </c>
      <c r="Q199">
        <f>Experiment!A199</f>
        <v>2658900000</v>
      </c>
      <c r="R199">
        <f>((Experiment!D199+50)*(Experiment!D199-50)+(Experiment!E199^2))/((Experiment!D199+50)^2+(Experiment!E199^2))</f>
        <v>0.46971086327212097</v>
      </c>
      <c r="S199">
        <f>((Experiment!D199+50)*Experiment!E199-Experiment!E199*(Experiment!D199-50))/((Experiment!D199+50)^2+(Experiment!E199^2))</f>
        <v>-0.81418336450626183</v>
      </c>
      <c r="T199" t="str">
        <f t="shared" si="46"/>
        <v>0.469710863272121-0.814183364506262i</v>
      </c>
      <c r="U199">
        <f t="shared" si="39"/>
        <v>0.93995895980334032</v>
      </c>
      <c r="V199">
        <f t="shared" si="47"/>
        <v>0.53782216034735875</v>
      </c>
      <c r="Y199" t="e">
        <f>Experiment!#REF!</f>
        <v>#REF!</v>
      </c>
      <c r="Z199" t="e">
        <f>((Experiment!#REF!+50)*(Experiment!#REF!-50)+(Experiment!#REF!^2))/((Experiment!#REF!+50)^2+(Experiment!#REF!^2))</f>
        <v>#REF!</v>
      </c>
      <c r="AA199" t="e">
        <f>((Experiment!#REF!+50)*Experiment!#REF!-Experiment!#REF!*(Experiment!#REF!-50))/((Experiment!#REF!+50)^2+(Experiment!#REF!^2))</f>
        <v>#REF!</v>
      </c>
      <c r="AB199" t="e">
        <f t="shared" si="48"/>
        <v>#REF!</v>
      </c>
      <c r="AC199" t="e">
        <f t="shared" si="49"/>
        <v>#REF!</v>
      </c>
      <c r="AD199" t="e">
        <f t="shared" si="50"/>
        <v>#REF!</v>
      </c>
    </row>
    <row r="200" spans="1:30" x14ac:dyDescent="0.15">
      <c r="A200" t="e">
        <f>Experiment!#REF!</f>
        <v>#REF!</v>
      </c>
      <c r="B200" t="e">
        <f>((Experiment!#REF!+50)*(Experiment!#REF!-50)+(Experiment!#REF!^2))/((Experiment!#REF!+50)^2+(Experiment!#REF!^2))</f>
        <v>#REF!</v>
      </c>
      <c r="C200" t="e">
        <f>((Experiment!#REF!+50)*Experiment!#REF!-Experiment!#REF!*(Experiment!#REF!-50))/((Experiment!#REF!+50)^2+(Experiment!#REF!^2))</f>
        <v>#REF!</v>
      </c>
      <c r="D200" t="e">
        <f t="shared" si="40"/>
        <v>#REF!</v>
      </c>
      <c r="E200" t="e">
        <f t="shared" si="41"/>
        <v>#REF!</v>
      </c>
      <c r="F200" t="e">
        <f t="shared" si="42"/>
        <v>#REF!</v>
      </c>
      <c r="I200" t="e">
        <f>Experiment!#REF!</f>
        <v>#REF!</v>
      </c>
      <c r="J200" t="e">
        <f>((Experiment!#REF!+50)*(Experiment!#REF!-50)+(Experiment!#REF!^2))/((Experiment!#REF!+50)^2+(Experiment!#REF!^2))</f>
        <v>#REF!</v>
      </c>
      <c r="K200" t="e">
        <f>((Experiment!#REF!+50)*Experiment!#REF!-Experiment!#REF!*(Experiment!#REF!-50))/((Experiment!#REF!+50)^2+(Experiment!#REF!^2))</f>
        <v>#REF!</v>
      </c>
      <c r="L200" t="e">
        <f t="shared" si="43"/>
        <v>#REF!</v>
      </c>
      <c r="M200" t="e">
        <f t="shared" si="44"/>
        <v>#REF!</v>
      </c>
      <c r="N200" t="e">
        <f t="shared" si="45"/>
        <v>#REF!</v>
      </c>
      <c r="Q200">
        <f>Experiment!A200</f>
        <v>2768100000</v>
      </c>
      <c r="R200">
        <f>((Experiment!D200+50)*(Experiment!D200-50)+(Experiment!E200^2))/((Experiment!D200+50)^2+(Experiment!E200^2))</f>
        <v>0.50887903565724246</v>
      </c>
      <c r="S200">
        <f>((Experiment!D200+50)*Experiment!E200-Experiment!E200*(Experiment!D200-50))/((Experiment!D200+50)^2+(Experiment!E200^2))</f>
        <v>-0.78432391988179107</v>
      </c>
      <c r="T200" t="str">
        <f t="shared" si="46"/>
        <v>0.508879035657242-0.784323919881791i</v>
      </c>
      <c r="U200">
        <f t="shared" si="39"/>
        <v>0.93494485625098944</v>
      </c>
      <c r="V200">
        <f t="shared" si="47"/>
        <v>0.58428006772925567</v>
      </c>
      <c r="Y200" t="e">
        <f>Experiment!#REF!</f>
        <v>#REF!</v>
      </c>
      <c r="Z200" t="e">
        <f>((Experiment!#REF!+50)*(Experiment!#REF!-50)+(Experiment!#REF!^2))/((Experiment!#REF!+50)^2+(Experiment!#REF!^2))</f>
        <v>#REF!</v>
      </c>
      <c r="AA200" t="e">
        <f>((Experiment!#REF!+50)*Experiment!#REF!-Experiment!#REF!*(Experiment!#REF!-50))/((Experiment!#REF!+50)^2+(Experiment!#REF!^2))</f>
        <v>#REF!</v>
      </c>
      <c r="AB200" t="e">
        <f t="shared" si="48"/>
        <v>#REF!</v>
      </c>
      <c r="AC200" t="e">
        <f t="shared" si="49"/>
        <v>#REF!</v>
      </c>
      <c r="AD200" t="e">
        <f t="shared" si="50"/>
        <v>#REF!</v>
      </c>
    </row>
    <row r="201" spans="1:30" x14ac:dyDescent="0.15">
      <c r="A201" t="e">
        <f>Experiment!#REF!</f>
        <v>#REF!</v>
      </c>
      <c r="B201" t="e">
        <f>((Experiment!#REF!+50)*(Experiment!#REF!-50)+(Experiment!#REF!^2))/((Experiment!#REF!+50)^2+(Experiment!#REF!^2))</f>
        <v>#REF!</v>
      </c>
      <c r="C201" t="e">
        <f>((Experiment!#REF!+50)*Experiment!#REF!-Experiment!#REF!*(Experiment!#REF!-50))/((Experiment!#REF!+50)^2+(Experiment!#REF!^2))</f>
        <v>#REF!</v>
      </c>
      <c r="D201" t="e">
        <f t="shared" si="40"/>
        <v>#REF!</v>
      </c>
      <c r="E201" t="e">
        <f t="shared" si="41"/>
        <v>#REF!</v>
      </c>
      <c r="F201" t="e">
        <f t="shared" si="42"/>
        <v>#REF!</v>
      </c>
      <c r="I201" t="e">
        <f>Experiment!#REF!</f>
        <v>#REF!</v>
      </c>
      <c r="J201" t="e">
        <f>((Experiment!#REF!+50)*(Experiment!#REF!-50)+(Experiment!#REF!^2))/((Experiment!#REF!+50)^2+(Experiment!#REF!^2))</f>
        <v>#REF!</v>
      </c>
      <c r="K201" t="e">
        <f>((Experiment!#REF!+50)*Experiment!#REF!-Experiment!#REF!*(Experiment!#REF!-50))/((Experiment!#REF!+50)^2+(Experiment!#REF!^2))</f>
        <v>#REF!</v>
      </c>
      <c r="L201" t="e">
        <f t="shared" si="43"/>
        <v>#REF!</v>
      </c>
      <c r="M201" t="e">
        <f t="shared" si="44"/>
        <v>#REF!</v>
      </c>
      <c r="N201" t="e">
        <f t="shared" si="45"/>
        <v>#REF!</v>
      </c>
      <c r="Q201">
        <f>Experiment!A201</f>
        <v>2881700000</v>
      </c>
      <c r="R201">
        <f>((Experiment!D201+50)*(Experiment!D201-50)+(Experiment!E201^2))/((Experiment!D201+50)^2+(Experiment!E201^2))</f>
        <v>0.55329225529444659</v>
      </c>
      <c r="S201">
        <f>((Experiment!D201+50)*Experiment!E201-Experiment!E201*(Experiment!D201-50))/((Experiment!D201+50)^2+(Experiment!E201^2))</f>
        <v>-0.7466824539157676</v>
      </c>
      <c r="T201" t="str">
        <f t="shared" si="46"/>
        <v>0.553292255294447-0.746682453915768i</v>
      </c>
      <c r="U201">
        <f t="shared" si="39"/>
        <v>0.92933686398124093</v>
      </c>
      <c r="V201">
        <f t="shared" si="47"/>
        <v>0.63653670720829281</v>
      </c>
      <c r="Y201" t="e">
        <f>Experiment!#REF!</f>
        <v>#REF!</v>
      </c>
      <c r="Z201" t="e">
        <f>((Experiment!#REF!+50)*(Experiment!#REF!-50)+(Experiment!#REF!^2))/((Experiment!#REF!+50)^2+(Experiment!#REF!^2))</f>
        <v>#REF!</v>
      </c>
      <c r="AA201" t="e">
        <f>((Experiment!#REF!+50)*Experiment!#REF!-Experiment!#REF!*(Experiment!#REF!-50))/((Experiment!#REF!+50)^2+(Experiment!#REF!^2))</f>
        <v>#REF!</v>
      </c>
      <c r="AB201" t="e">
        <f t="shared" si="48"/>
        <v>#REF!</v>
      </c>
      <c r="AC201" t="e">
        <f t="shared" si="49"/>
        <v>#REF!</v>
      </c>
      <c r="AD201" t="e">
        <f t="shared" si="50"/>
        <v>#REF!</v>
      </c>
    </row>
    <row r="202" spans="1:30" x14ac:dyDescent="0.15">
      <c r="A202" t="e">
        <f>Experiment!#REF!</f>
        <v>#REF!</v>
      </c>
      <c r="B202" t="e">
        <f>((Experiment!#REF!+50)*(Experiment!#REF!-50)+(Experiment!#REF!^2))/((Experiment!#REF!+50)^2+(Experiment!#REF!^2))</f>
        <v>#REF!</v>
      </c>
      <c r="C202" t="e">
        <f>((Experiment!#REF!+50)*Experiment!#REF!-Experiment!#REF!*(Experiment!#REF!-50))/((Experiment!#REF!+50)^2+(Experiment!#REF!^2))</f>
        <v>#REF!</v>
      </c>
      <c r="D202" t="e">
        <f t="shared" si="40"/>
        <v>#REF!</v>
      </c>
      <c r="E202" t="e">
        <f t="shared" si="41"/>
        <v>#REF!</v>
      </c>
      <c r="F202" t="e">
        <f t="shared" si="42"/>
        <v>#REF!</v>
      </c>
      <c r="I202" t="e">
        <f>Experiment!#REF!</f>
        <v>#REF!</v>
      </c>
      <c r="J202" t="e">
        <f>((Experiment!#REF!+50)*(Experiment!#REF!-50)+(Experiment!#REF!^2))/((Experiment!#REF!+50)^2+(Experiment!#REF!^2))</f>
        <v>#REF!</v>
      </c>
      <c r="K202" t="e">
        <f>((Experiment!#REF!+50)*Experiment!#REF!-Experiment!#REF!*(Experiment!#REF!-50))/((Experiment!#REF!+50)^2+(Experiment!#REF!^2))</f>
        <v>#REF!</v>
      </c>
      <c r="L202" t="e">
        <f t="shared" si="43"/>
        <v>#REF!</v>
      </c>
      <c r="M202" t="e">
        <f t="shared" si="44"/>
        <v>#REF!</v>
      </c>
      <c r="N202" t="e">
        <f t="shared" si="45"/>
        <v>#REF!</v>
      </c>
      <c r="Q202">
        <f>Experiment!A202</f>
        <v>3000000000</v>
      </c>
      <c r="R202">
        <f>((Experiment!D202+50)*(Experiment!D202-50)+(Experiment!E202^2))/((Experiment!D202+50)^2+(Experiment!E202^2))</f>
        <v>0.6086674043264434</v>
      </c>
      <c r="S202">
        <f>((Experiment!D202+50)*Experiment!E202-Experiment!E202*(Experiment!D202-50))/((Experiment!D202+50)^2+(Experiment!E202^2))</f>
        <v>-0.71840844330538667</v>
      </c>
      <c r="T202" t="str">
        <f t="shared" si="46"/>
        <v>0.608667404326443-0.718408443305387i</v>
      </c>
      <c r="U202">
        <f t="shared" si="39"/>
        <v>0.9415873302577723</v>
      </c>
      <c r="V202">
        <f t="shared" si="47"/>
        <v>0.52278787746736777</v>
      </c>
      <c r="Y202" t="e">
        <f>Experiment!#REF!</f>
        <v>#REF!</v>
      </c>
      <c r="Z202" t="e">
        <f>((Experiment!#REF!+50)*(Experiment!#REF!-50)+(Experiment!#REF!^2))/((Experiment!#REF!+50)^2+(Experiment!#REF!^2))</f>
        <v>#REF!</v>
      </c>
      <c r="AA202" t="e">
        <f>((Experiment!#REF!+50)*Experiment!#REF!-Experiment!#REF!*(Experiment!#REF!-50))/((Experiment!#REF!+50)^2+(Experiment!#REF!^2))</f>
        <v>#REF!</v>
      </c>
      <c r="AB202" t="e">
        <f t="shared" si="48"/>
        <v>#REF!</v>
      </c>
      <c r="AC202" t="e">
        <f t="shared" si="49"/>
        <v>#REF!</v>
      </c>
      <c r="AD202" t="e">
        <f t="shared" si="50"/>
        <v>#REF!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02"/>
  <sheetViews>
    <sheetView zoomScale="85" zoomScaleNormal="85" workbookViewId="0">
      <selection activeCell="T2" sqref="T2"/>
    </sheetView>
  </sheetViews>
  <sheetFormatPr defaultRowHeight="13.5" x14ac:dyDescent="0.15"/>
  <cols>
    <col min="3" max="3" width="33.5" customWidth="1"/>
    <col min="4" max="4" width="12" customWidth="1"/>
    <col min="5" max="5" width="13.875" customWidth="1"/>
    <col min="6" max="6" width="12" bestFit="1" customWidth="1"/>
    <col min="7" max="7" width="16" customWidth="1"/>
    <col min="13" max="14" width="9.125" customWidth="1"/>
    <col min="17" max="17" width="12" bestFit="1" customWidth="1"/>
    <col min="22" max="22" width="33.5" customWidth="1"/>
    <col min="23" max="23" width="12" customWidth="1"/>
    <col min="24" max="24" width="13.875" customWidth="1"/>
    <col min="25" max="25" width="12" bestFit="1" customWidth="1"/>
    <col min="26" max="26" width="16" customWidth="1"/>
    <col min="31" max="32" width="10.75" customWidth="1"/>
    <col min="33" max="33" width="34.125" customWidth="1"/>
    <col min="34" max="34" width="18.5" customWidth="1"/>
    <col min="37" max="37" width="10.75" customWidth="1"/>
  </cols>
  <sheetData>
    <row r="1" spans="1:38" x14ac:dyDescent="0.15">
      <c r="A1">
        <v>0.1</v>
      </c>
      <c r="B1" t="e">
        <f>Experiment!#REF!</f>
        <v>#REF!</v>
      </c>
      <c r="C1">
        <v>25</v>
      </c>
      <c r="D1">
        <f>5.77-0.0274*C1</f>
        <v>5.0849999999999991</v>
      </c>
      <c r="E1">
        <f>(10^(1.94404-C1*0.001991))*(1-0.0003742*C1*A1+0.034*(A1^2)-0.178*A1+C1*0.0001515-0.000004929*(C1^2))</f>
        <v>77.004157413355927</v>
      </c>
      <c r="F1">
        <f>(0.000000000000003745*(1+(0.00007)*(C1-27.5)^2)*EXP(2295.7/(C1+273.15)))*(1.012-C1*A1*0.005282+0.032*(A1^2)-0.01*A1-C1*0.001724+0.00003766*(C1^2))</f>
        <v>8.0949339794273715E-12</v>
      </c>
      <c r="G1">
        <f>-0.0006348*C1*A1-0.051*(A1^2)+0.09*A1</f>
        <v>6.9029999999999994E-3</v>
      </c>
      <c r="H1">
        <f>0.174*C1*A1-1.582*(A1^2)+5.923*A1</f>
        <v>1.0114800000000002</v>
      </c>
      <c r="I1" t="s">
        <v>14</v>
      </c>
      <c r="J1" t="s">
        <v>13</v>
      </c>
      <c r="L1" t="e">
        <f>Reflection!I1</f>
        <v>#REF!</v>
      </c>
      <c r="M1" t="s">
        <v>14</v>
      </c>
      <c r="N1" t="s">
        <v>13</v>
      </c>
      <c r="T1">
        <v>1.0999999999999999E-2</v>
      </c>
      <c r="U1" t="str">
        <f>Reflection!Q1</f>
        <v>NaCl 0.01mol/L</v>
      </c>
      <c r="V1">
        <v>25</v>
      </c>
      <c r="W1">
        <f>5.77-0.0274*V1</f>
        <v>5.0849999999999991</v>
      </c>
      <c r="X1">
        <f>(10^(1.94404-V1*0.001991))*(1-0.0003742*V1*T1+0.034*(T1^2)-0.178*T1+V1*0.0001515-0.000004929*(V1^2))</f>
        <v>78.284961598044319</v>
      </c>
      <c r="Y1">
        <f>(0.000000000000003745*(1+(0.00007)*(V1-27.5)^2)*EXP(2295.7/(V1+273.15)))*(1.012-V1*T1*0.005282+0.032*(T1^2)-0.01*T1-V1*0.001724+0.00003766*(V1^2))</f>
        <v>8.1969016948020323E-12</v>
      </c>
      <c r="Z1">
        <f>-0.0006348*V1*T1-0.051*(T1^2)+0.09*T1</f>
        <v>8.09259E-4</v>
      </c>
      <c r="AA1">
        <f>0.174*V1*T1-1.582*(T1^2)+5.923*T1</f>
        <v>0.112811578</v>
      </c>
      <c r="AB1" t="s">
        <v>14</v>
      </c>
      <c r="AC1" t="s">
        <v>13</v>
      </c>
      <c r="AE1" t="e">
        <f>Reflection!Y1</f>
        <v>#REF!</v>
      </c>
      <c r="AF1" t="s">
        <v>14</v>
      </c>
      <c r="AG1" t="s">
        <v>13</v>
      </c>
    </row>
    <row r="2" spans="1:38" x14ac:dyDescent="0.15">
      <c r="B2" t="s">
        <v>0</v>
      </c>
      <c r="C2" t="s">
        <v>29</v>
      </c>
      <c r="D2" t="s">
        <v>15</v>
      </c>
      <c r="E2" t="s">
        <v>12</v>
      </c>
      <c r="F2" t="s">
        <v>11</v>
      </c>
      <c r="G2" t="s">
        <v>10</v>
      </c>
      <c r="H2" t="s">
        <v>9</v>
      </c>
      <c r="L2" t="s">
        <v>0</v>
      </c>
      <c r="M2" t="s">
        <v>16</v>
      </c>
      <c r="N2" t="s">
        <v>15</v>
      </c>
      <c r="O2" t="s">
        <v>12</v>
      </c>
      <c r="P2" t="s">
        <v>11</v>
      </c>
      <c r="Q2" t="s">
        <v>10</v>
      </c>
      <c r="R2" t="s">
        <v>9</v>
      </c>
      <c r="U2" t="s">
        <v>0</v>
      </c>
      <c r="V2" t="s">
        <v>29</v>
      </c>
      <c r="W2" t="s">
        <v>15</v>
      </c>
      <c r="X2" t="s">
        <v>12</v>
      </c>
      <c r="Y2" t="s">
        <v>11</v>
      </c>
      <c r="Z2" t="s">
        <v>10</v>
      </c>
      <c r="AA2" t="s">
        <v>9</v>
      </c>
      <c r="AE2" t="s">
        <v>0</v>
      </c>
      <c r="AF2" t="s">
        <v>23</v>
      </c>
      <c r="AG2" t="s">
        <v>16</v>
      </c>
      <c r="AH2" t="s">
        <v>15</v>
      </c>
      <c r="AI2" t="s">
        <v>12</v>
      </c>
      <c r="AJ2" t="s">
        <v>11</v>
      </c>
      <c r="AK2" t="s">
        <v>10</v>
      </c>
      <c r="AL2" t="s">
        <v>9</v>
      </c>
    </row>
    <row r="3" spans="1:38" x14ac:dyDescent="0.15">
      <c r="B3" t="e">
        <f>Experiment!#REF!</f>
        <v>#REF!</v>
      </c>
      <c r="C3" t="e">
        <f>IMSUM($D$1,IMDIV(($E$1-$D$1),IMSUM(IMPOWER(IMPRODUCT($J$1,2*PI()*B3*$F$1),(1-$G$1)),1)),IMDIV($H$1,IMPRODUCT($J$1,2*PI()*B3*0.000000000008854)))</f>
        <v>#REF!</v>
      </c>
      <c r="D3" t="e">
        <f>IMPRODUCT(C3,$J$1,2*PI()*B3*0.0000000000088542)</f>
        <v>#REF!</v>
      </c>
      <c r="E3" t="e">
        <f>IMREAL(C3)</f>
        <v>#REF!</v>
      </c>
      <c r="F3" t="e">
        <f>-IMAGINARY(C3)</f>
        <v>#REF!</v>
      </c>
      <c r="G3" t="e">
        <f>IMREAL(D3)</f>
        <v>#REF!</v>
      </c>
      <c r="H3" t="e">
        <f>IMAGINARY(D3)</f>
        <v>#REF!</v>
      </c>
      <c r="L3" t="e">
        <f>Reflection!I3</f>
        <v>#REF!</v>
      </c>
      <c r="M3" t="e">
        <f>IMSUM(2.6,IMDIV(19.94,IMSUM(1,IMPOWER(IMPRODUCT($N$1,2*PI()*L3,0.0000000001649),1))),IMDIV(0.74,IMSUM(1,IMPRODUCT($N$1,2*PI()*L3*0.0000000000104))),IMDIV(1.19,IMSUM(1,IMPRODUCT($N$1,2*PI()*L3*0.00000000000169))))</f>
        <v>#REF!</v>
      </c>
      <c r="N3" t="e">
        <f>IMPRODUCT(M3,$N$1,2*PI()*L3*0.0000000000088542)</f>
        <v>#REF!</v>
      </c>
      <c r="O3" t="e">
        <f>IMREAL(M3)</f>
        <v>#REF!</v>
      </c>
      <c r="P3" t="e">
        <f>-IMAGINARY(M3)</f>
        <v>#REF!</v>
      </c>
      <c r="Q3" t="e">
        <f>IMREAL(N3)</f>
        <v>#REF!</v>
      </c>
      <c r="R3" t="e">
        <f>IMAGINARY(N3)</f>
        <v>#REF!</v>
      </c>
      <c r="U3">
        <f>Reflection!Q3</f>
        <v>1000000</v>
      </c>
      <c r="V3" t="str">
        <f>IMSUM($W$1,IMDIV(($X$1-$W$1),IMSUM(IMPOWER(IMPRODUCT($AC$1,2*PI()*U3*$Y$1),(1-$Z$1)),1)),IMDIV($AA$1,IMPRODUCT($AC$1,2*PI()*U3*0.000000000008854)))</f>
        <v>78.2849565699642-2027.84661440751i</v>
      </c>
      <c r="W3" t="str">
        <f>IMPRODUCT(V3,$N$1,2*PI()*U3*0.0000000000088542)</f>
        <v>0.112814337679225+0.00435519405804163i</v>
      </c>
      <c r="X3">
        <f>IMREAL(V3)</f>
        <v>78.284956569964194</v>
      </c>
      <c r="Y3">
        <f>-IMAGINARY(V3)</f>
        <v>2027.8466144075101</v>
      </c>
      <c r="Z3">
        <f>IMREAL(W3)</f>
        <v>0.112814337679225</v>
      </c>
      <c r="AA3">
        <f>IMAGINARY(W3)</f>
        <v>4.3551940580416303E-3</v>
      </c>
      <c r="AE3" t="e">
        <f>Reflection!Y3</f>
        <v>#REF!</v>
      </c>
      <c r="AF3" t="e">
        <f>IMDIV(IMPRODUCT(IMSUB(C3,V3),IMSUB(Reflection!AB3,Reflection!D3),IMSUB(Reflection!L3,Reflection!T3)),IMPRODUCT(IMSUB(Permitivity!M3,Permitivity!V3),IMSUB(Reflection!AB3,Reflection!L3),IMSUB(Reflection!D3,Reflection!T3)))</f>
        <v>#REF!</v>
      </c>
      <c r="AG3" t="e">
        <f>IMDIV(IMSUB(C3,IMPRODUCT(AF3,M3)),IMSUB(1,AF3))</f>
        <v>#REF!</v>
      </c>
      <c r="AH3" t="e">
        <f t="shared" ref="AH3:AH66" si="0">IMPRODUCT(IMPRODUCT(AG3,$AG$1),2*PI()*AE3*0.0000000000088542)</f>
        <v>#REF!</v>
      </c>
      <c r="AI3" t="e">
        <f>IMREAL(AG3)</f>
        <v>#REF!</v>
      </c>
      <c r="AJ3" t="e">
        <f>-IMAGINARY(AG3)</f>
        <v>#REF!</v>
      </c>
      <c r="AK3" t="e">
        <f>IMREAL(AH3)</f>
        <v>#REF!</v>
      </c>
      <c r="AL3" t="e">
        <f>IMAGINARY(AH3)</f>
        <v>#REF!</v>
      </c>
    </row>
    <row r="4" spans="1:38" x14ac:dyDescent="0.15">
      <c r="B4" t="e">
        <f>Experiment!#REF!</f>
        <v>#REF!</v>
      </c>
      <c r="C4" t="e">
        <f t="shared" ref="C4:C67" si="1">IMSUM($D$1,IMDIV(($E$1-$D$1),IMSUM(IMPOWER(IMPRODUCT($J$1,2*PI()*B4*$F$1),(1-$G$1)),1)),IMDIV($H$1,IMPRODUCT($J$1,2*PI()*B4*0.000000000008854)))</f>
        <v>#REF!</v>
      </c>
      <c r="D4" t="e">
        <f t="shared" ref="D4:D67" si="2">IMPRODUCT(C4,$J$1,2*PI()*B4*0.0000000000088542)</f>
        <v>#REF!</v>
      </c>
      <c r="E4" t="e">
        <f t="shared" ref="E4:E67" si="3">IMREAL(C4)</f>
        <v>#REF!</v>
      </c>
      <c r="F4" t="e">
        <f t="shared" ref="F4:F67" si="4">-IMAGINARY(C4)</f>
        <v>#REF!</v>
      </c>
      <c r="G4" t="e">
        <f t="shared" ref="G4:G67" si="5">IMREAL(D4)</f>
        <v>#REF!</v>
      </c>
      <c r="H4" t="e">
        <f t="shared" ref="H4:H67" si="6">IMAGINARY(D4)</f>
        <v>#REF!</v>
      </c>
      <c r="L4" t="e">
        <f>Reflection!I4</f>
        <v>#REF!</v>
      </c>
      <c r="M4" t="e">
        <f t="shared" ref="M4:M67" si="7">IMSUM(2.6,IMDIV(19.94,IMSUM(1,IMPOWER(IMPRODUCT($N$1,2*PI()*L4,0.0000000001649),1))),IMDIV(0.74,IMSUM(1,IMPRODUCT($N$1,2*PI()*L4*0.0000000000104))),IMDIV(1.19,IMSUM(1,IMPRODUCT($N$1,2*PI()*L4*0.00000000000169))))</f>
        <v>#REF!</v>
      </c>
      <c r="N4" t="e">
        <f t="shared" ref="N4:N67" si="8">IMPRODUCT(M4,$N$1,2*PI()*L4*0.0000000000088542)</f>
        <v>#REF!</v>
      </c>
      <c r="O4" t="e">
        <f t="shared" ref="O4:O67" si="9">IMREAL(M4)</f>
        <v>#REF!</v>
      </c>
      <c r="P4" t="e">
        <f t="shared" ref="P4:P67" si="10">-IMAGINARY(M4)</f>
        <v>#REF!</v>
      </c>
      <c r="Q4" t="e">
        <f t="shared" ref="Q4:Q67" si="11">IMREAL(N4)</f>
        <v>#REF!</v>
      </c>
      <c r="R4" t="e">
        <f t="shared" ref="R4:R67" si="12">IMAGINARY(N4)</f>
        <v>#REF!</v>
      </c>
      <c r="U4">
        <f>Reflection!Q4</f>
        <v>1000000</v>
      </c>
      <c r="V4" t="str">
        <f t="shared" ref="V4:V67" si="13">IMSUM($W$1,IMDIV(($X$1-$W$1),IMSUM(IMPOWER(IMPRODUCT($AC$1,2*PI()*U4*$Y$1),(1-$Z$1)),1)),IMDIV($AA$1,IMPRODUCT($AC$1,2*PI()*U4*0.000000000008854)))</f>
        <v>78.2849565699642-2027.84661440751i</v>
      </c>
      <c r="W4" t="str">
        <f t="shared" ref="W4:W67" si="14">IMPRODUCT(V4,$N$1,2*PI()*U4*0.0000000000088542)</f>
        <v>0.112814337679225+0.00435519405804163i</v>
      </c>
      <c r="X4">
        <f t="shared" ref="X4:X67" si="15">IMREAL(V4)</f>
        <v>78.284956569964194</v>
      </c>
      <c r="Y4">
        <f t="shared" ref="Y4:Y67" si="16">-IMAGINARY(V4)</f>
        <v>2027.8466144075101</v>
      </c>
      <c r="Z4">
        <f t="shared" ref="Z4:Z67" si="17">IMREAL(W4)</f>
        <v>0.112814337679225</v>
      </c>
      <c r="AA4">
        <f t="shared" ref="AA4:AA67" si="18">IMAGINARY(W4)</f>
        <v>4.3551940580416303E-3</v>
      </c>
      <c r="AE4" t="e">
        <f>Reflection!Y4</f>
        <v>#REF!</v>
      </c>
      <c r="AF4" t="e">
        <f>IMDIV(IMPRODUCT(IMSUB(C4,V4),IMSUB(Reflection!AB4,Reflection!D4),IMSUB(Reflection!L4,Reflection!T4)),IMPRODUCT(IMSUB(Permitivity!M4,Permitivity!V4),IMSUB(Reflection!AB4,Reflection!L4),IMSUB(Reflection!D4,Reflection!T4)))</f>
        <v>#REF!</v>
      </c>
      <c r="AG4" t="e">
        <f t="shared" ref="AG4:AG67" si="19">IMDIV(IMSUB(C4,IMPRODUCT(AF4,M4)),IMSUB(1,AF4))</f>
        <v>#REF!</v>
      </c>
      <c r="AH4" t="e">
        <f t="shared" si="0"/>
        <v>#REF!</v>
      </c>
      <c r="AI4" t="e">
        <f t="shared" ref="AI4:AI67" si="20">IMREAL(AG4)</f>
        <v>#REF!</v>
      </c>
      <c r="AJ4" t="e">
        <f t="shared" ref="AJ4:AJ67" si="21">-IMAGINARY(AG4)</f>
        <v>#REF!</v>
      </c>
      <c r="AK4" t="e">
        <f t="shared" ref="AK4:AK67" si="22">IMREAL(AH4)</f>
        <v>#REF!</v>
      </c>
      <c r="AL4" t="e">
        <f t="shared" ref="AL4:AL67" si="23">IMAGINARY(AH4)</f>
        <v>#REF!</v>
      </c>
    </row>
    <row r="5" spans="1:38" x14ac:dyDescent="0.15">
      <c r="B5" t="e">
        <f>Experiment!#REF!</f>
        <v>#REF!</v>
      </c>
      <c r="C5" t="e">
        <f t="shared" si="1"/>
        <v>#REF!</v>
      </c>
      <c r="D5" t="e">
        <f t="shared" si="2"/>
        <v>#REF!</v>
      </c>
      <c r="E5" t="e">
        <f t="shared" si="3"/>
        <v>#REF!</v>
      </c>
      <c r="F5" t="e">
        <f t="shared" si="4"/>
        <v>#REF!</v>
      </c>
      <c r="G5" t="e">
        <f t="shared" si="5"/>
        <v>#REF!</v>
      </c>
      <c r="H5" t="e">
        <f t="shared" si="6"/>
        <v>#REF!</v>
      </c>
      <c r="L5" t="e">
        <f>Reflection!I5</f>
        <v>#REF!</v>
      </c>
      <c r="M5" t="e">
        <f t="shared" si="7"/>
        <v>#REF!</v>
      </c>
      <c r="N5" t="e">
        <f t="shared" si="8"/>
        <v>#REF!</v>
      </c>
      <c r="O5" t="e">
        <f t="shared" si="9"/>
        <v>#REF!</v>
      </c>
      <c r="P5" t="e">
        <f t="shared" si="10"/>
        <v>#REF!</v>
      </c>
      <c r="Q5" t="e">
        <f t="shared" si="11"/>
        <v>#REF!</v>
      </c>
      <c r="R5" t="e">
        <f t="shared" si="12"/>
        <v>#REF!</v>
      </c>
      <c r="U5">
        <f>Reflection!Q5</f>
        <v>1100000</v>
      </c>
      <c r="V5" t="str">
        <f t="shared" si="13"/>
        <v>78.284956045901-1843.49764736529i</v>
      </c>
      <c r="W5" t="str">
        <f t="shared" si="14"/>
        <v>0.112814382057017+0.00479071343177531i</v>
      </c>
      <c r="X5">
        <f t="shared" si="15"/>
        <v>78.284956045900998</v>
      </c>
      <c r="Y5">
        <f t="shared" si="16"/>
        <v>1843.49764736529</v>
      </c>
      <c r="Z5">
        <f t="shared" si="17"/>
        <v>0.11281438205701699</v>
      </c>
      <c r="AA5">
        <f t="shared" si="18"/>
        <v>4.7907134317753102E-3</v>
      </c>
      <c r="AE5" t="e">
        <f>Reflection!Y5</f>
        <v>#REF!</v>
      </c>
      <c r="AF5" t="e">
        <f>IMDIV(IMPRODUCT(IMSUB(C5,V5),IMSUB(Reflection!AB5,Reflection!D5),IMSUB(Reflection!L5,Reflection!T5)),IMPRODUCT(IMSUB(Permitivity!M5,Permitivity!V5),IMSUB(Reflection!AB5,Reflection!L5),IMSUB(Reflection!D5,Reflection!T5)))</f>
        <v>#REF!</v>
      </c>
      <c r="AG5" t="e">
        <f t="shared" si="19"/>
        <v>#REF!</v>
      </c>
      <c r="AH5" t="e">
        <f t="shared" si="0"/>
        <v>#REF!</v>
      </c>
      <c r="AI5" t="e">
        <f t="shared" si="20"/>
        <v>#REF!</v>
      </c>
      <c r="AJ5" t="e">
        <f t="shared" si="21"/>
        <v>#REF!</v>
      </c>
      <c r="AK5" t="e">
        <f t="shared" si="22"/>
        <v>#REF!</v>
      </c>
      <c r="AL5" t="e">
        <f t="shared" si="23"/>
        <v>#REF!</v>
      </c>
    </row>
    <row r="6" spans="1:38" x14ac:dyDescent="0.15">
      <c r="B6" t="e">
        <f>Experiment!#REF!</f>
        <v>#REF!</v>
      </c>
      <c r="C6" t="e">
        <f t="shared" si="1"/>
        <v>#REF!</v>
      </c>
      <c r="D6" t="e">
        <f t="shared" si="2"/>
        <v>#REF!</v>
      </c>
      <c r="E6" t="e">
        <f t="shared" si="3"/>
        <v>#REF!</v>
      </c>
      <c r="F6" t="e">
        <f t="shared" si="4"/>
        <v>#REF!</v>
      </c>
      <c r="G6" t="e">
        <f t="shared" si="5"/>
        <v>#REF!</v>
      </c>
      <c r="H6" t="e">
        <f t="shared" si="6"/>
        <v>#REF!</v>
      </c>
      <c r="L6" t="e">
        <f>Reflection!I6</f>
        <v>#REF!</v>
      </c>
      <c r="M6" t="e">
        <f t="shared" si="7"/>
        <v>#REF!</v>
      </c>
      <c r="N6" t="e">
        <f t="shared" si="8"/>
        <v>#REF!</v>
      </c>
      <c r="O6" t="e">
        <f t="shared" si="9"/>
        <v>#REF!</v>
      </c>
      <c r="P6" t="e">
        <f t="shared" si="10"/>
        <v>#REF!</v>
      </c>
      <c r="Q6" t="e">
        <f t="shared" si="11"/>
        <v>#REF!</v>
      </c>
      <c r="R6" t="e">
        <f t="shared" si="12"/>
        <v>#REF!</v>
      </c>
      <c r="U6">
        <f>Reflection!Q6</f>
        <v>1100000</v>
      </c>
      <c r="V6" t="str">
        <f t="shared" si="13"/>
        <v>78.284956045901-1843.49764736529i</v>
      </c>
      <c r="W6" t="str">
        <f t="shared" si="14"/>
        <v>0.112814382057017+0.00479071343177531i</v>
      </c>
      <c r="X6">
        <f t="shared" si="15"/>
        <v>78.284956045900998</v>
      </c>
      <c r="Y6">
        <f t="shared" si="16"/>
        <v>1843.49764736529</v>
      </c>
      <c r="Z6">
        <f t="shared" si="17"/>
        <v>0.11281438205701699</v>
      </c>
      <c r="AA6">
        <f t="shared" si="18"/>
        <v>4.7907134317753102E-3</v>
      </c>
      <c r="AE6" t="e">
        <f>Reflection!Y6</f>
        <v>#REF!</v>
      </c>
      <c r="AF6" t="e">
        <f>IMDIV(IMPRODUCT(IMSUB(C6,V6),IMSUB(Reflection!AB6,Reflection!D6),IMSUB(Reflection!L6,Reflection!T6)),IMPRODUCT(IMSUB(Permitivity!M6,Permitivity!V6),IMSUB(Reflection!AB6,Reflection!L6),IMSUB(Reflection!D6,Reflection!T6)))</f>
        <v>#REF!</v>
      </c>
      <c r="AG6" t="e">
        <f t="shared" si="19"/>
        <v>#REF!</v>
      </c>
      <c r="AH6" t="e">
        <f t="shared" si="0"/>
        <v>#REF!</v>
      </c>
      <c r="AI6" t="e">
        <f t="shared" si="20"/>
        <v>#REF!</v>
      </c>
      <c r="AJ6" t="e">
        <f t="shared" si="21"/>
        <v>#REF!</v>
      </c>
      <c r="AK6" t="e">
        <f t="shared" si="22"/>
        <v>#REF!</v>
      </c>
      <c r="AL6" t="e">
        <f t="shared" si="23"/>
        <v>#REF!</v>
      </c>
    </row>
    <row r="7" spans="1:38" x14ac:dyDescent="0.15">
      <c r="B7" t="e">
        <f>Experiment!#REF!</f>
        <v>#REF!</v>
      </c>
      <c r="C7" t="e">
        <f t="shared" si="1"/>
        <v>#REF!</v>
      </c>
      <c r="D7" t="e">
        <f t="shared" si="2"/>
        <v>#REF!</v>
      </c>
      <c r="E7" t="e">
        <f t="shared" si="3"/>
        <v>#REF!</v>
      </c>
      <c r="F7" t="e">
        <f t="shared" si="4"/>
        <v>#REF!</v>
      </c>
      <c r="G7" t="e">
        <f t="shared" si="5"/>
        <v>#REF!</v>
      </c>
      <c r="H7" t="e">
        <f t="shared" si="6"/>
        <v>#REF!</v>
      </c>
      <c r="L7" t="e">
        <f>Reflection!I7</f>
        <v>#REF!</v>
      </c>
      <c r="M7" t="e">
        <f t="shared" si="7"/>
        <v>#REF!</v>
      </c>
      <c r="N7" t="e">
        <f t="shared" si="8"/>
        <v>#REF!</v>
      </c>
      <c r="O7" t="e">
        <f t="shared" si="9"/>
        <v>#REF!</v>
      </c>
      <c r="P7" t="e">
        <f t="shared" si="10"/>
        <v>#REF!</v>
      </c>
      <c r="Q7" t="e">
        <f t="shared" si="11"/>
        <v>#REF!</v>
      </c>
      <c r="R7" t="e">
        <f t="shared" si="12"/>
        <v>#REF!</v>
      </c>
      <c r="U7">
        <f>Reflection!Q7</f>
        <v>1200000</v>
      </c>
      <c r="V7" t="str">
        <f t="shared" si="13"/>
        <v>78.2849555179372-1689.87357141895i</v>
      </c>
      <c r="W7" t="str">
        <f t="shared" si="14"/>
        <v>0.11281443065769+0.00522623279941759i</v>
      </c>
      <c r="X7">
        <f t="shared" si="15"/>
        <v>78.284955517937206</v>
      </c>
      <c r="Y7">
        <f t="shared" si="16"/>
        <v>1689.87357141895</v>
      </c>
      <c r="Z7">
        <f t="shared" si="17"/>
        <v>0.11281443065769001</v>
      </c>
      <c r="AA7">
        <f t="shared" si="18"/>
        <v>5.2262327994175902E-3</v>
      </c>
      <c r="AE7" t="e">
        <f>Reflection!Y7</f>
        <v>#REF!</v>
      </c>
      <c r="AF7" t="e">
        <f>IMDIV(IMPRODUCT(IMSUB(C7,V7),IMSUB(Reflection!AB7,Reflection!D7),IMSUB(Reflection!L7,Reflection!T7)),IMPRODUCT(IMSUB(Permitivity!M7,Permitivity!V7),IMSUB(Reflection!AB7,Reflection!L7),IMSUB(Reflection!D7,Reflection!T7)))</f>
        <v>#REF!</v>
      </c>
      <c r="AG7" t="e">
        <f t="shared" si="19"/>
        <v>#REF!</v>
      </c>
      <c r="AH7" t="e">
        <f t="shared" si="0"/>
        <v>#REF!</v>
      </c>
      <c r="AI7" t="e">
        <f t="shared" si="20"/>
        <v>#REF!</v>
      </c>
      <c r="AJ7" t="e">
        <f t="shared" si="21"/>
        <v>#REF!</v>
      </c>
      <c r="AK7" t="e">
        <f t="shared" si="22"/>
        <v>#REF!</v>
      </c>
      <c r="AL7" t="e">
        <f t="shared" si="23"/>
        <v>#REF!</v>
      </c>
    </row>
    <row r="8" spans="1:38" x14ac:dyDescent="0.15">
      <c r="B8" t="e">
        <f>Experiment!#REF!</f>
        <v>#REF!</v>
      </c>
      <c r="C8" t="e">
        <f t="shared" si="1"/>
        <v>#REF!</v>
      </c>
      <c r="D8" t="e">
        <f t="shared" si="2"/>
        <v>#REF!</v>
      </c>
      <c r="E8" t="e">
        <f t="shared" si="3"/>
        <v>#REF!</v>
      </c>
      <c r="F8" t="e">
        <f t="shared" si="4"/>
        <v>#REF!</v>
      </c>
      <c r="G8" t="e">
        <f t="shared" si="5"/>
        <v>#REF!</v>
      </c>
      <c r="H8" t="e">
        <f t="shared" si="6"/>
        <v>#REF!</v>
      </c>
      <c r="L8" t="e">
        <f>Reflection!I8</f>
        <v>#REF!</v>
      </c>
      <c r="M8" t="e">
        <f t="shared" si="7"/>
        <v>#REF!</v>
      </c>
      <c r="N8" t="e">
        <f t="shared" si="8"/>
        <v>#REF!</v>
      </c>
      <c r="O8" t="e">
        <f t="shared" si="9"/>
        <v>#REF!</v>
      </c>
      <c r="P8" t="e">
        <f t="shared" si="10"/>
        <v>#REF!</v>
      </c>
      <c r="Q8" t="e">
        <f t="shared" si="11"/>
        <v>#REF!</v>
      </c>
      <c r="R8" t="e">
        <f t="shared" si="12"/>
        <v>#REF!</v>
      </c>
      <c r="U8">
        <f>Reflection!Q8</f>
        <v>1200000</v>
      </c>
      <c r="V8" t="str">
        <f t="shared" si="13"/>
        <v>78.2849555179372-1689.87357141895i</v>
      </c>
      <c r="W8" t="str">
        <f t="shared" si="14"/>
        <v>0.11281443065769+0.00522623279941759i</v>
      </c>
      <c r="X8">
        <f t="shared" si="15"/>
        <v>78.284955517937206</v>
      </c>
      <c r="Y8">
        <f t="shared" si="16"/>
        <v>1689.87357141895</v>
      </c>
      <c r="Z8">
        <f t="shared" si="17"/>
        <v>0.11281443065769001</v>
      </c>
      <c r="AA8">
        <f t="shared" si="18"/>
        <v>5.2262327994175902E-3</v>
      </c>
      <c r="AE8" t="e">
        <f>Reflection!Y8</f>
        <v>#REF!</v>
      </c>
      <c r="AF8" t="e">
        <f>IMDIV(IMPRODUCT(IMSUB(C8,V8),IMSUB(Reflection!AB8,Reflection!D8),IMSUB(Reflection!L8,Reflection!T8)),IMPRODUCT(IMSUB(Permitivity!M8,Permitivity!V8),IMSUB(Reflection!AB8,Reflection!L8),IMSUB(Reflection!D8,Reflection!T8)))</f>
        <v>#REF!</v>
      </c>
      <c r="AG8" t="e">
        <f t="shared" si="19"/>
        <v>#REF!</v>
      </c>
      <c r="AH8" t="e">
        <f t="shared" si="0"/>
        <v>#REF!</v>
      </c>
      <c r="AI8" t="e">
        <f t="shared" si="20"/>
        <v>#REF!</v>
      </c>
      <c r="AJ8" t="e">
        <f t="shared" si="21"/>
        <v>#REF!</v>
      </c>
      <c r="AK8" t="e">
        <f t="shared" si="22"/>
        <v>#REF!</v>
      </c>
      <c r="AL8" t="e">
        <f t="shared" si="23"/>
        <v>#REF!</v>
      </c>
    </row>
    <row r="9" spans="1:38" x14ac:dyDescent="0.15">
      <c r="B9" t="e">
        <f>Experiment!#REF!</f>
        <v>#REF!</v>
      </c>
      <c r="C9" t="e">
        <f t="shared" si="1"/>
        <v>#REF!</v>
      </c>
      <c r="D9" t="e">
        <f t="shared" si="2"/>
        <v>#REF!</v>
      </c>
      <c r="E9" t="e">
        <f t="shared" si="3"/>
        <v>#REF!</v>
      </c>
      <c r="F9" t="e">
        <f t="shared" si="4"/>
        <v>#REF!</v>
      </c>
      <c r="G9" t="e">
        <f t="shared" si="5"/>
        <v>#REF!</v>
      </c>
      <c r="H9" t="e">
        <f t="shared" si="6"/>
        <v>#REF!</v>
      </c>
      <c r="L9" t="e">
        <f>Reflection!I9</f>
        <v>#REF!</v>
      </c>
      <c r="M9" t="e">
        <f t="shared" si="7"/>
        <v>#REF!</v>
      </c>
      <c r="N9" t="e">
        <f t="shared" si="8"/>
        <v>#REF!</v>
      </c>
      <c r="O9" t="e">
        <f t="shared" si="9"/>
        <v>#REF!</v>
      </c>
      <c r="P9" t="e">
        <f t="shared" si="10"/>
        <v>#REF!</v>
      </c>
      <c r="Q9" t="e">
        <f t="shared" si="11"/>
        <v>#REF!</v>
      </c>
      <c r="R9" t="e">
        <f t="shared" si="12"/>
        <v>#REF!</v>
      </c>
      <c r="U9">
        <f>Reflection!Q9</f>
        <v>1300000</v>
      </c>
      <c r="V9" t="str">
        <f t="shared" si="13"/>
        <v>78.2849549860712-1559.88402708068i</v>
      </c>
      <c r="W9" t="str">
        <f t="shared" si="14"/>
        <v>0.112814483480943+0.00566175216090326i</v>
      </c>
      <c r="X9">
        <f t="shared" si="15"/>
        <v>78.284954986071199</v>
      </c>
      <c r="Y9">
        <f t="shared" si="16"/>
        <v>1559.88402708068</v>
      </c>
      <c r="Z9">
        <f t="shared" si="17"/>
        <v>0.112814483480943</v>
      </c>
      <c r="AA9">
        <f t="shared" si="18"/>
        <v>5.6617521609032603E-3</v>
      </c>
      <c r="AE9" t="e">
        <f>Reflection!Y9</f>
        <v>#REF!</v>
      </c>
      <c r="AF9" t="e">
        <f>IMDIV(IMPRODUCT(IMSUB(C9,V9),IMSUB(Reflection!AB9,Reflection!D9),IMSUB(Reflection!L9,Reflection!T9)),IMPRODUCT(IMSUB(Permitivity!M9,Permitivity!V9),IMSUB(Reflection!AB9,Reflection!L9),IMSUB(Reflection!D9,Reflection!T9)))</f>
        <v>#REF!</v>
      </c>
      <c r="AG9" t="e">
        <f t="shared" si="19"/>
        <v>#REF!</v>
      </c>
      <c r="AH9" t="e">
        <f t="shared" si="0"/>
        <v>#REF!</v>
      </c>
      <c r="AI9" t="e">
        <f t="shared" si="20"/>
        <v>#REF!</v>
      </c>
      <c r="AJ9" t="e">
        <f t="shared" si="21"/>
        <v>#REF!</v>
      </c>
      <c r="AK9" t="e">
        <f t="shared" si="22"/>
        <v>#REF!</v>
      </c>
      <c r="AL9" t="e">
        <f t="shared" si="23"/>
        <v>#REF!</v>
      </c>
    </row>
    <row r="10" spans="1:38" x14ac:dyDescent="0.15">
      <c r="B10" t="e">
        <f>Experiment!#REF!</f>
        <v>#REF!</v>
      </c>
      <c r="C10" t="e">
        <f t="shared" si="1"/>
        <v>#REF!</v>
      </c>
      <c r="D10" t="e">
        <f t="shared" si="2"/>
        <v>#REF!</v>
      </c>
      <c r="E10" t="e">
        <f t="shared" si="3"/>
        <v>#REF!</v>
      </c>
      <c r="F10" t="e">
        <f t="shared" si="4"/>
        <v>#REF!</v>
      </c>
      <c r="G10" t="e">
        <f t="shared" si="5"/>
        <v>#REF!</v>
      </c>
      <c r="H10" t="e">
        <f t="shared" si="6"/>
        <v>#REF!</v>
      </c>
      <c r="L10" t="e">
        <f>Reflection!I10</f>
        <v>#REF!</v>
      </c>
      <c r="M10" t="e">
        <f t="shared" si="7"/>
        <v>#REF!</v>
      </c>
      <c r="N10" t="e">
        <f t="shared" si="8"/>
        <v>#REF!</v>
      </c>
      <c r="O10" t="e">
        <f t="shared" si="9"/>
        <v>#REF!</v>
      </c>
      <c r="P10" t="e">
        <f t="shared" si="10"/>
        <v>#REF!</v>
      </c>
      <c r="Q10" t="e">
        <f t="shared" si="11"/>
        <v>#REF!</v>
      </c>
      <c r="R10" t="e">
        <f t="shared" si="12"/>
        <v>#REF!</v>
      </c>
      <c r="U10">
        <f>Reflection!Q10</f>
        <v>1300000</v>
      </c>
      <c r="V10" t="str">
        <f t="shared" si="13"/>
        <v>78.2849549860712-1559.88402708068i</v>
      </c>
      <c r="W10" t="str">
        <f t="shared" si="14"/>
        <v>0.112814483480943+0.00566175216090326i</v>
      </c>
      <c r="X10">
        <f t="shared" si="15"/>
        <v>78.284954986071199</v>
      </c>
      <c r="Y10">
        <f t="shared" si="16"/>
        <v>1559.88402708068</v>
      </c>
      <c r="Z10">
        <f t="shared" si="17"/>
        <v>0.112814483480943</v>
      </c>
      <c r="AA10">
        <f t="shared" si="18"/>
        <v>5.6617521609032603E-3</v>
      </c>
      <c r="AE10" t="e">
        <f>Reflection!Y10</f>
        <v>#REF!</v>
      </c>
      <c r="AF10" t="e">
        <f>IMDIV(IMPRODUCT(IMSUB(C10,V10),IMSUB(Reflection!AB10,Reflection!D10),IMSUB(Reflection!L10,Reflection!T10)),IMPRODUCT(IMSUB(Permitivity!M10,Permitivity!V10),IMSUB(Reflection!AB10,Reflection!L10),IMSUB(Reflection!D10,Reflection!T10)))</f>
        <v>#REF!</v>
      </c>
      <c r="AG10" t="e">
        <f t="shared" si="19"/>
        <v>#REF!</v>
      </c>
      <c r="AH10" t="e">
        <f t="shared" si="0"/>
        <v>#REF!</v>
      </c>
      <c r="AI10" t="e">
        <f t="shared" si="20"/>
        <v>#REF!</v>
      </c>
      <c r="AJ10" t="e">
        <f t="shared" si="21"/>
        <v>#REF!</v>
      </c>
      <c r="AK10" t="e">
        <f t="shared" si="22"/>
        <v>#REF!</v>
      </c>
      <c r="AL10" t="e">
        <f t="shared" si="23"/>
        <v>#REF!</v>
      </c>
    </row>
    <row r="11" spans="1:38" x14ac:dyDescent="0.15">
      <c r="B11" t="e">
        <f>Experiment!#REF!</f>
        <v>#REF!</v>
      </c>
      <c r="C11" t="e">
        <f t="shared" si="1"/>
        <v>#REF!</v>
      </c>
      <c r="D11" t="e">
        <f t="shared" si="2"/>
        <v>#REF!</v>
      </c>
      <c r="E11" t="e">
        <f t="shared" si="3"/>
        <v>#REF!</v>
      </c>
      <c r="F11" t="e">
        <f t="shared" si="4"/>
        <v>#REF!</v>
      </c>
      <c r="G11" t="e">
        <f t="shared" si="5"/>
        <v>#REF!</v>
      </c>
      <c r="H11" t="e">
        <f t="shared" si="6"/>
        <v>#REF!</v>
      </c>
      <c r="L11" t="e">
        <f>Reflection!I11</f>
        <v>#REF!</v>
      </c>
      <c r="M11" t="e">
        <f t="shared" si="7"/>
        <v>#REF!</v>
      </c>
      <c r="N11" t="e">
        <f t="shared" si="8"/>
        <v>#REF!</v>
      </c>
      <c r="O11" t="e">
        <f t="shared" si="9"/>
        <v>#REF!</v>
      </c>
      <c r="P11" t="e">
        <f t="shared" si="10"/>
        <v>#REF!</v>
      </c>
      <c r="Q11" t="e">
        <f t="shared" si="11"/>
        <v>#REF!</v>
      </c>
      <c r="R11" t="e">
        <f t="shared" si="12"/>
        <v>#REF!</v>
      </c>
      <c r="U11">
        <f>Reflection!Q11</f>
        <v>1400000</v>
      </c>
      <c r="V11" t="str">
        <f t="shared" si="13"/>
        <v>78.2849544503006-1448.46447185953i</v>
      </c>
      <c r="W11" t="str">
        <f t="shared" si="14"/>
        <v>0.112814540526504+0.00609727151616699i</v>
      </c>
      <c r="X11">
        <f t="shared" si="15"/>
        <v>78.284954450300603</v>
      </c>
      <c r="Y11">
        <f t="shared" si="16"/>
        <v>1448.46447185953</v>
      </c>
      <c r="Z11">
        <f t="shared" si="17"/>
        <v>0.112814540526504</v>
      </c>
      <c r="AA11">
        <f t="shared" si="18"/>
        <v>6.0972715161669898E-3</v>
      </c>
      <c r="AE11" t="e">
        <f>Reflection!Y11</f>
        <v>#REF!</v>
      </c>
      <c r="AF11" t="e">
        <f>IMDIV(IMPRODUCT(IMSUB(C11,V11),IMSUB(Reflection!AB11,Reflection!D11),IMSUB(Reflection!L11,Reflection!T11)),IMPRODUCT(IMSUB(Permitivity!M11,Permitivity!V11),IMSUB(Reflection!AB11,Reflection!L11),IMSUB(Reflection!D11,Reflection!T11)))</f>
        <v>#REF!</v>
      </c>
      <c r="AG11" t="e">
        <f t="shared" si="19"/>
        <v>#REF!</v>
      </c>
      <c r="AH11" t="e">
        <f t="shared" si="0"/>
        <v>#REF!</v>
      </c>
      <c r="AI11" t="e">
        <f t="shared" si="20"/>
        <v>#REF!</v>
      </c>
      <c r="AJ11" t="e">
        <f t="shared" si="21"/>
        <v>#REF!</v>
      </c>
      <c r="AK11" t="e">
        <f t="shared" si="22"/>
        <v>#REF!</v>
      </c>
      <c r="AL11" t="e">
        <f t="shared" si="23"/>
        <v>#REF!</v>
      </c>
    </row>
    <row r="12" spans="1:38" x14ac:dyDescent="0.15">
      <c r="B12" t="e">
        <f>Experiment!#REF!</f>
        <v>#REF!</v>
      </c>
      <c r="C12" t="e">
        <f t="shared" si="1"/>
        <v>#REF!</v>
      </c>
      <c r="D12" t="e">
        <f t="shared" si="2"/>
        <v>#REF!</v>
      </c>
      <c r="E12" t="e">
        <f t="shared" si="3"/>
        <v>#REF!</v>
      </c>
      <c r="F12" t="e">
        <f t="shared" si="4"/>
        <v>#REF!</v>
      </c>
      <c r="G12" t="e">
        <f t="shared" si="5"/>
        <v>#REF!</v>
      </c>
      <c r="H12" t="e">
        <f t="shared" si="6"/>
        <v>#REF!</v>
      </c>
      <c r="L12" t="e">
        <f>Reflection!I12</f>
        <v>#REF!</v>
      </c>
      <c r="M12" t="e">
        <f t="shared" si="7"/>
        <v>#REF!</v>
      </c>
      <c r="N12" t="e">
        <f t="shared" si="8"/>
        <v>#REF!</v>
      </c>
      <c r="O12" t="e">
        <f t="shared" si="9"/>
        <v>#REF!</v>
      </c>
      <c r="P12" t="e">
        <f t="shared" si="10"/>
        <v>#REF!</v>
      </c>
      <c r="Q12" t="e">
        <f t="shared" si="11"/>
        <v>#REF!</v>
      </c>
      <c r="R12" t="e">
        <f t="shared" si="12"/>
        <v>#REF!</v>
      </c>
      <c r="U12">
        <f>Reflection!Q12</f>
        <v>1400000</v>
      </c>
      <c r="V12" t="str">
        <f t="shared" si="13"/>
        <v>78.2849544503006-1448.46447185953i</v>
      </c>
      <c r="W12" t="str">
        <f t="shared" si="14"/>
        <v>0.112814540526504+0.00609727151616699i</v>
      </c>
      <c r="X12">
        <f t="shared" si="15"/>
        <v>78.284954450300603</v>
      </c>
      <c r="Y12">
        <f t="shared" si="16"/>
        <v>1448.46447185953</v>
      </c>
      <c r="Z12">
        <f t="shared" si="17"/>
        <v>0.112814540526504</v>
      </c>
      <c r="AA12">
        <f t="shared" si="18"/>
        <v>6.0972715161669898E-3</v>
      </c>
      <c r="AE12" t="e">
        <f>Reflection!Y12</f>
        <v>#REF!</v>
      </c>
      <c r="AF12" t="e">
        <f>IMDIV(IMPRODUCT(IMSUB(C12,V12),IMSUB(Reflection!AB12,Reflection!D12),IMSUB(Reflection!L12,Reflection!T12)),IMPRODUCT(IMSUB(Permitivity!M12,Permitivity!V12),IMSUB(Reflection!AB12,Reflection!L12),IMSUB(Reflection!D12,Reflection!T12)))</f>
        <v>#REF!</v>
      </c>
      <c r="AG12" t="e">
        <f t="shared" si="19"/>
        <v>#REF!</v>
      </c>
      <c r="AH12" t="e">
        <f t="shared" si="0"/>
        <v>#REF!</v>
      </c>
      <c r="AI12" t="e">
        <f t="shared" si="20"/>
        <v>#REF!</v>
      </c>
      <c r="AJ12" t="e">
        <f t="shared" si="21"/>
        <v>#REF!</v>
      </c>
      <c r="AK12" t="e">
        <f t="shared" si="22"/>
        <v>#REF!</v>
      </c>
      <c r="AL12" t="e">
        <f t="shared" si="23"/>
        <v>#REF!</v>
      </c>
    </row>
    <row r="13" spans="1:38" x14ac:dyDescent="0.15">
      <c r="B13" t="e">
        <f>Experiment!#REF!</f>
        <v>#REF!</v>
      </c>
      <c r="C13" t="e">
        <f t="shared" si="1"/>
        <v>#REF!</v>
      </c>
      <c r="D13" t="e">
        <f t="shared" si="2"/>
        <v>#REF!</v>
      </c>
      <c r="E13" t="e">
        <f t="shared" si="3"/>
        <v>#REF!</v>
      </c>
      <c r="F13" t="e">
        <f t="shared" si="4"/>
        <v>#REF!</v>
      </c>
      <c r="G13" t="e">
        <f t="shared" si="5"/>
        <v>#REF!</v>
      </c>
      <c r="H13" t="e">
        <f t="shared" si="6"/>
        <v>#REF!</v>
      </c>
      <c r="L13" t="e">
        <f>Reflection!I13</f>
        <v>#REF!</v>
      </c>
      <c r="M13" t="e">
        <f t="shared" si="7"/>
        <v>#REF!</v>
      </c>
      <c r="N13" t="e">
        <f t="shared" si="8"/>
        <v>#REF!</v>
      </c>
      <c r="O13" t="e">
        <f t="shared" si="9"/>
        <v>#REF!</v>
      </c>
      <c r="P13" t="e">
        <f t="shared" si="10"/>
        <v>#REF!</v>
      </c>
      <c r="Q13" t="e">
        <f t="shared" si="11"/>
        <v>#REF!</v>
      </c>
      <c r="R13" t="e">
        <f t="shared" si="12"/>
        <v>#REF!</v>
      </c>
      <c r="U13">
        <f>Reflection!Q13</f>
        <v>1500000</v>
      </c>
      <c r="V13" t="str">
        <f t="shared" si="13"/>
        <v>78.2849539106245-1351.90090792905i</v>
      </c>
      <c r="W13" t="str">
        <f t="shared" si="14"/>
        <v>0.112814601794121+0.00653279086514356i</v>
      </c>
      <c r="X13">
        <f t="shared" si="15"/>
        <v>78.284953910624495</v>
      </c>
      <c r="Y13">
        <f t="shared" si="16"/>
        <v>1351.9009079290499</v>
      </c>
      <c r="Z13">
        <f t="shared" si="17"/>
        <v>0.11281460179412101</v>
      </c>
      <c r="AA13">
        <f t="shared" si="18"/>
        <v>6.5327908651435602E-3</v>
      </c>
      <c r="AE13" t="e">
        <f>Reflection!Y13</f>
        <v>#REF!</v>
      </c>
      <c r="AF13" t="e">
        <f>IMDIV(IMPRODUCT(IMSUB(C13,V13),IMSUB(Reflection!AB13,Reflection!D13),IMSUB(Reflection!L13,Reflection!T13)),IMPRODUCT(IMSUB(Permitivity!M13,Permitivity!V13),IMSUB(Reflection!AB13,Reflection!L13),IMSUB(Reflection!D13,Reflection!T13)))</f>
        <v>#REF!</v>
      </c>
      <c r="AG13" t="e">
        <f t="shared" si="19"/>
        <v>#REF!</v>
      </c>
      <c r="AH13" t="e">
        <f t="shared" si="0"/>
        <v>#REF!</v>
      </c>
      <c r="AI13" t="e">
        <f t="shared" si="20"/>
        <v>#REF!</v>
      </c>
      <c r="AJ13" t="e">
        <f t="shared" si="21"/>
        <v>#REF!</v>
      </c>
      <c r="AK13" t="e">
        <f t="shared" si="22"/>
        <v>#REF!</v>
      </c>
      <c r="AL13" t="e">
        <f t="shared" si="23"/>
        <v>#REF!</v>
      </c>
    </row>
    <row r="14" spans="1:38" x14ac:dyDescent="0.15">
      <c r="B14" t="e">
        <f>Experiment!#REF!</f>
        <v>#REF!</v>
      </c>
      <c r="C14" t="e">
        <f t="shared" si="1"/>
        <v>#REF!</v>
      </c>
      <c r="D14" t="e">
        <f t="shared" si="2"/>
        <v>#REF!</v>
      </c>
      <c r="E14" t="e">
        <f t="shared" si="3"/>
        <v>#REF!</v>
      </c>
      <c r="F14" t="e">
        <f t="shared" si="4"/>
        <v>#REF!</v>
      </c>
      <c r="G14" t="e">
        <f t="shared" si="5"/>
        <v>#REF!</v>
      </c>
      <c r="H14" t="e">
        <f t="shared" si="6"/>
        <v>#REF!</v>
      </c>
      <c r="L14" t="e">
        <f>Reflection!I14</f>
        <v>#REF!</v>
      </c>
      <c r="M14" t="e">
        <f t="shared" si="7"/>
        <v>#REF!</v>
      </c>
      <c r="N14" t="e">
        <f t="shared" si="8"/>
        <v>#REF!</v>
      </c>
      <c r="O14" t="e">
        <f t="shared" si="9"/>
        <v>#REF!</v>
      </c>
      <c r="P14" t="e">
        <f t="shared" si="10"/>
        <v>#REF!</v>
      </c>
      <c r="Q14" t="e">
        <f t="shared" si="11"/>
        <v>#REF!</v>
      </c>
      <c r="R14" t="e">
        <f t="shared" si="12"/>
        <v>#REF!</v>
      </c>
      <c r="U14">
        <f>Reflection!Q14</f>
        <v>1600000</v>
      </c>
      <c r="V14" t="str">
        <f t="shared" si="13"/>
        <v>78.2849533670396-1267.40783691957i</v>
      </c>
      <c r="W14" t="str">
        <f t="shared" si="14"/>
        <v>0.112814667283554+0.00696831020776748i</v>
      </c>
      <c r="X14">
        <f t="shared" si="15"/>
        <v>78.284953367039606</v>
      </c>
      <c r="Y14">
        <f t="shared" si="16"/>
        <v>1267.4078369195699</v>
      </c>
      <c r="Z14">
        <f t="shared" si="17"/>
        <v>0.11281466728355399</v>
      </c>
      <c r="AA14">
        <f t="shared" si="18"/>
        <v>6.9683102077674804E-3</v>
      </c>
      <c r="AE14" t="e">
        <f>Reflection!Y14</f>
        <v>#REF!</v>
      </c>
      <c r="AF14" t="e">
        <f>IMDIV(IMPRODUCT(IMSUB(C14,V14),IMSUB(Reflection!AB14,Reflection!D14),IMSUB(Reflection!L14,Reflection!T14)),IMPRODUCT(IMSUB(Permitivity!M14,Permitivity!V14),IMSUB(Reflection!AB14,Reflection!L14),IMSUB(Reflection!D14,Reflection!T14)))</f>
        <v>#REF!</v>
      </c>
      <c r="AG14" t="e">
        <f t="shared" si="19"/>
        <v>#REF!</v>
      </c>
      <c r="AH14" t="e">
        <f t="shared" si="0"/>
        <v>#REF!</v>
      </c>
      <c r="AI14" t="e">
        <f t="shared" si="20"/>
        <v>#REF!</v>
      </c>
      <c r="AJ14" t="e">
        <f t="shared" si="21"/>
        <v>#REF!</v>
      </c>
      <c r="AK14" t="e">
        <f t="shared" si="22"/>
        <v>#REF!</v>
      </c>
      <c r="AL14" t="e">
        <f t="shared" si="23"/>
        <v>#REF!</v>
      </c>
    </row>
    <row r="15" spans="1:38" x14ac:dyDescent="0.15">
      <c r="B15" t="e">
        <f>Experiment!#REF!</f>
        <v>#REF!</v>
      </c>
      <c r="C15" t="e">
        <f t="shared" si="1"/>
        <v>#REF!</v>
      </c>
      <c r="D15" t="e">
        <f t="shared" si="2"/>
        <v>#REF!</v>
      </c>
      <c r="E15" t="e">
        <f t="shared" si="3"/>
        <v>#REF!</v>
      </c>
      <c r="F15" t="e">
        <f t="shared" si="4"/>
        <v>#REF!</v>
      </c>
      <c r="G15" t="e">
        <f t="shared" si="5"/>
        <v>#REF!</v>
      </c>
      <c r="H15" t="e">
        <f t="shared" si="6"/>
        <v>#REF!</v>
      </c>
      <c r="L15" t="e">
        <f>Reflection!I15</f>
        <v>#REF!</v>
      </c>
      <c r="M15" t="e">
        <f t="shared" si="7"/>
        <v>#REF!</v>
      </c>
      <c r="N15" t="e">
        <f t="shared" si="8"/>
        <v>#REF!</v>
      </c>
      <c r="O15" t="e">
        <f t="shared" si="9"/>
        <v>#REF!</v>
      </c>
      <c r="P15" t="e">
        <f t="shared" si="10"/>
        <v>#REF!</v>
      </c>
      <c r="Q15" t="e">
        <f t="shared" si="11"/>
        <v>#REF!</v>
      </c>
      <c r="R15" t="e">
        <f t="shared" si="12"/>
        <v>#REF!</v>
      </c>
      <c r="U15">
        <f>Reflection!Q15</f>
        <v>1600000</v>
      </c>
      <c r="V15" t="str">
        <f t="shared" si="13"/>
        <v>78.2849533670396-1267.40783691957i</v>
      </c>
      <c r="W15" t="str">
        <f t="shared" si="14"/>
        <v>0.112814667283554+0.00696831020776748i</v>
      </c>
      <c r="X15">
        <f t="shared" si="15"/>
        <v>78.284953367039606</v>
      </c>
      <c r="Y15">
        <f t="shared" si="16"/>
        <v>1267.4078369195699</v>
      </c>
      <c r="Z15">
        <f t="shared" si="17"/>
        <v>0.11281466728355399</v>
      </c>
      <c r="AA15">
        <f t="shared" si="18"/>
        <v>6.9683102077674804E-3</v>
      </c>
      <c r="AE15" t="e">
        <f>Reflection!Y15</f>
        <v>#REF!</v>
      </c>
      <c r="AF15" t="e">
        <f>IMDIV(IMPRODUCT(IMSUB(C15,V15),IMSUB(Reflection!AB15,Reflection!D15),IMSUB(Reflection!L15,Reflection!T15)),IMPRODUCT(IMSUB(Permitivity!M15,Permitivity!V15),IMSUB(Reflection!AB15,Reflection!L15),IMSUB(Reflection!D15,Reflection!T15)))</f>
        <v>#REF!</v>
      </c>
      <c r="AG15" t="e">
        <f t="shared" si="19"/>
        <v>#REF!</v>
      </c>
      <c r="AH15" t="e">
        <f t="shared" si="0"/>
        <v>#REF!</v>
      </c>
      <c r="AI15" t="e">
        <f t="shared" si="20"/>
        <v>#REF!</v>
      </c>
      <c r="AJ15" t="e">
        <f t="shared" si="21"/>
        <v>#REF!</v>
      </c>
      <c r="AK15" t="e">
        <f t="shared" si="22"/>
        <v>#REF!</v>
      </c>
      <c r="AL15" t="e">
        <f t="shared" si="23"/>
        <v>#REF!</v>
      </c>
    </row>
    <row r="16" spans="1:38" x14ac:dyDescent="0.15">
      <c r="B16" t="e">
        <f>Experiment!#REF!</f>
        <v>#REF!</v>
      </c>
      <c r="C16" t="e">
        <f t="shared" si="1"/>
        <v>#REF!</v>
      </c>
      <c r="D16" t="e">
        <f t="shared" si="2"/>
        <v>#REF!</v>
      </c>
      <c r="E16" t="e">
        <f t="shared" si="3"/>
        <v>#REF!</v>
      </c>
      <c r="F16" t="e">
        <f t="shared" si="4"/>
        <v>#REF!</v>
      </c>
      <c r="G16" t="e">
        <f t="shared" si="5"/>
        <v>#REF!</v>
      </c>
      <c r="H16" t="e">
        <f t="shared" si="6"/>
        <v>#REF!</v>
      </c>
      <c r="L16" t="e">
        <f>Reflection!I16</f>
        <v>#REF!</v>
      </c>
      <c r="M16" t="e">
        <f t="shared" si="7"/>
        <v>#REF!</v>
      </c>
      <c r="N16" t="e">
        <f t="shared" si="8"/>
        <v>#REF!</v>
      </c>
      <c r="O16" t="e">
        <f t="shared" si="9"/>
        <v>#REF!</v>
      </c>
      <c r="P16" t="e">
        <f t="shared" si="10"/>
        <v>#REF!</v>
      </c>
      <c r="Q16" t="e">
        <f t="shared" si="11"/>
        <v>#REF!</v>
      </c>
      <c r="R16" t="e">
        <f t="shared" si="12"/>
        <v>#REF!</v>
      </c>
      <c r="U16">
        <f>Reflection!Q16</f>
        <v>1700000</v>
      </c>
      <c r="V16" t="str">
        <f t="shared" si="13"/>
        <v>78.2849528195463-1192.8551718427i</v>
      </c>
      <c r="W16" t="str">
        <f t="shared" si="14"/>
        <v>0.112814736994585+0.00740382954397356i</v>
      </c>
      <c r="X16">
        <f t="shared" si="15"/>
        <v>78.284952819546305</v>
      </c>
      <c r="Y16">
        <f t="shared" si="16"/>
        <v>1192.8551718427</v>
      </c>
      <c r="Z16">
        <f t="shared" si="17"/>
        <v>0.112814736994585</v>
      </c>
      <c r="AA16">
        <f t="shared" si="18"/>
        <v>7.4038295439735604E-3</v>
      </c>
      <c r="AE16" t="e">
        <f>Reflection!Y16</f>
        <v>#REF!</v>
      </c>
      <c r="AF16" t="e">
        <f>IMDIV(IMPRODUCT(IMSUB(C16,V16),IMSUB(Reflection!AB16,Reflection!D16),IMSUB(Reflection!L16,Reflection!T16)),IMPRODUCT(IMSUB(Permitivity!M16,Permitivity!V16),IMSUB(Reflection!AB16,Reflection!L16),IMSUB(Reflection!D16,Reflection!T16)))</f>
        <v>#REF!</v>
      </c>
      <c r="AG16" t="e">
        <f t="shared" si="19"/>
        <v>#REF!</v>
      </c>
      <c r="AH16" t="e">
        <f t="shared" si="0"/>
        <v>#REF!</v>
      </c>
      <c r="AI16" t="e">
        <f t="shared" si="20"/>
        <v>#REF!</v>
      </c>
      <c r="AJ16" t="e">
        <f t="shared" si="21"/>
        <v>#REF!</v>
      </c>
      <c r="AK16" t="e">
        <f t="shared" si="22"/>
        <v>#REF!</v>
      </c>
      <c r="AL16" t="e">
        <f t="shared" si="23"/>
        <v>#REF!</v>
      </c>
    </row>
    <row r="17" spans="2:38" x14ac:dyDescent="0.15">
      <c r="B17" t="e">
        <f>Experiment!#REF!</f>
        <v>#REF!</v>
      </c>
      <c r="C17" t="e">
        <f t="shared" si="1"/>
        <v>#REF!</v>
      </c>
      <c r="D17" t="e">
        <f t="shared" si="2"/>
        <v>#REF!</v>
      </c>
      <c r="E17" t="e">
        <f t="shared" si="3"/>
        <v>#REF!</v>
      </c>
      <c r="F17" t="e">
        <f t="shared" si="4"/>
        <v>#REF!</v>
      </c>
      <c r="G17" t="e">
        <f t="shared" si="5"/>
        <v>#REF!</v>
      </c>
      <c r="H17" t="e">
        <f t="shared" si="6"/>
        <v>#REF!</v>
      </c>
      <c r="L17" t="e">
        <f>Reflection!I17</f>
        <v>#REF!</v>
      </c>
      <c r="M17" t="e">
        <f t="shared" si="7"/>
        <v>#REF!</v>
      </c>
      <c r="N17" t="e">
        <f t="shared" si="8"/>
        <v>#REF!</v>
      </c>
      <c r="O17" t="e">
        <f t="shared" si="9"/>
        <v>#REF!</v>
      </c>
      <c r="P17" t="e">
        <f t="shared" si="10"/>
        <v>#REF!</v>
      </c>
      <c r="Q17" t="e">
        <f t="shared" si="11"/>
        <v>#REF!</v>
      </c>
      <c r="R17" t="e">
        <f t="shared" si="12"/>
        <v>#REF!</v>
      </c>
      <c r="U17">
        <f>Reflection!Q17</f>
        <v>1800000</v>
      </c>
      <c r="V17" t="str">
        <f t="shared" si="13"/>
        <v>78.2849522681436-1126.58617837427i</v>
      </c>
      <c r="W17" t="str">
        <f t="shared" si="14"/>
        <v>0.112814810927006+0.00783934887369647i</v>
      </c>
      <c r="X17">
        <f t="shared" si="15"/>
        <v>78.284952268143599</v>
      </c>
      <c r="Y17">
        <f t="shared" si="16"/>
        <v>1126.58617837427</v>
      </c>
      <c r="Z17">
        <f t="shared" si="17"/>
        <v>0.112814810927006</v>
      </c>
      <c r="AA17">
        <f t="shared" si="18"/>
        <v>7.8393488736964705E-3</v>
      </c>
      <c r="AE17" t="e">
        <f>Reflection!Y17</f>
        <v>#REF!</v>
      </c>
      <c r="AF17" t="e">
        <f>IMDIV(IMPRODUCT(IMSUB(C17,V17),IMSUB(Reflection!AB17,Reflection!D17),IMSUB(Reflection!L17,Reflection!T17)),IMPRODUCT(IMSUB(Permitivity!M17,Permitivity!V17),IMSUB(Reflection!AB17,Reflection!L17),IMSUB(Reflection!D17,Reflection!T17)))</f>
        <v>#REF!</v>
      </c>
      <c r="AG17" t="e">
        <f t="shared" si="19"/>
        <v>#REF!</v>
      </c>
      <c r="AH17" t="e">
        <f t="shared" si="0"/>
        <v>#REF!</v>
      </c>
      <c r="AI17" t="e">
        <f t="shared" si="20"/>
        <v>#REF!</v>
      </c>
      <c r="AJ17" t="e">
        <f t="shared" si="21"/>
        <v>#REF!</v>
      </c>
      <c r="AK17" t="e">
        <f t="shared" si="22"/>
        <v>#REF!</v>
      </c>
      <c r="AL17" t="e">
        <f t="shared" si="23"/>
        <v>#REF!</v>
      </c>
    </row>
    <row r="18" spans="2:38" x14ac:dyDescent="0.15">
      <c r="B18" t="e">
        <f>Experiment!#REF!</f>
        <v>#REF!</v>
      </c>
      <c r="C18" t="e">
        <f t="shared" si="1"/>
        <v>#REF!</v>
      </c>
      <c r="D18" t="e">
        <f t="shared" si="2"/>
        <v>#REF!</v>
      </c>
      <c r="E18" t="e">
        <f t="shared" si="3"/>
        <v>#REF!</v>
      </c>
      <c r="F18" t="e">
        <f t="shared" si="4"/>
        <v>#REF!</v>
      </c>
      <c r="G18" t="e">
        <f t="shared" si="5"/>
        <v>#REF!</v>
      </c>
      <c r="H18" t="e">
        <f t="shared" si="6"/>
        <v>#REF!</v>
      </c>
      <c r="L18" t="e">
        <f>Reflection!I18</f>
        <v>#REF!</v>
      </c>
      <c r="M18" t="e">
        <f t="shared" si="7"/>
        <v>#REF!</v>
      </c>
      <c r="N18" t="e">
        <f t="shared" si="8"/>
        <v>#REF!</v>
      </c>
      <c r="O18" t="e">
        <f t="shared" si="9"/>
        <v>#REF!</v>
      </c>
      <c r="P18" t="e">
        <f t="shared" si="10"/>
        <v>#REF!</v>
      </c>
      <c r="Q18" t="e">
        <f t="shared" si="11"/>
        <v>#REF!</v>
      </c>
      <c r="R18" t="e">
        <f t="shared" si="12"/>
        <v>#REF!</v>
      </c>
      <c r="U18">
        <f>Reflection!Q18</f>
        <v>1800000</v>
      </c>
      <c r="V18" t="str">
        <f t="shared" si="13"/>
        <v>78.2849522681436-1126.58617837427i</v>
      </c>
      <c r="W18" t="str">
        <f t="shared" si="14"/>
        <v>0.112814810927006+0.00783934887369647i</v>
      </c>
      <c r="X18">
        <f t="shared" si="15"/>
        <v>78.284952268143599</v>
      </c>
      <c r="Y18">
        <f t="shared" si="16"/>
        <v>1126.58617837427</v>
      </c>
      <c r="Z18">
        <f t="shared" si="17"/>
        <v>0.112814810927006</v>
      </c>
      <c r="AA18">
        <f t="shared" si="18"/>
        <v>7.8393488736964705E-3</v>
      </c>
      <c r="AE18" t="e">
        <f>Reflection!Y18</f>
        <v>#REF!</v>
      </c>
      <c r="AF18" t="e">
        <f>IMDIV(IMPRODUCT(IMSUB(C18,V18),IMSUB(Reflection!AB18,Reflection!D18),IMSUB(Reflection!L18,Reflection!T18)),IMPRODUCT(IMSUB(Permitivity!M18,Permitivity!V18),IMSUB(Reflection!AB18,Reflection!L18),IMSUB(Reflection!D18,Reflection!T18)))</f>
        <v>#REF!</v>
      </c>
      <c r="AG18" t="e">
        <f t="shared" si="19"/>
        <v>#REF!</v>
      </c>
      <c r="AH18" t="e">
        <f t="shared" si="0"/>
        <v>#REF!</v>
      </c>
      <c r="AI18" t="e">
        <f t="shared" si="20"/>
        <v>#REF!</v>
      </c>
      <c r="AJ18" t="e">
        <f t="shared" si="21"/>
        <v>#REF!</v>
      </c>
      <c r="AK18" t="e">
        <f t="shared" si="22"/>
        <v>#REF!</v>
      </c>
      <c r="AL18" t="e">
        <f t="shared" si="23"/>
        <v>#REF!</v>
      </c>
    </row>
    <row r="19" spans="2:38" x14ac:dyDescent="0.15">
      <c r="B19" t="e">
        <f>Experiment!#REF!</f>
        <v>#REF!</v>
      </c>
      <c r="C19" t="e">
        <f t="shared" si="1"/>
        <v>#REF!</v>
      </c>
      <c r="D19" t="e">
        <f t="shared" si="2"/>
        <v>#REF!</v>
      </c>
      <c r="E19" t="e">
        <f t="shared" si="3"/>
        <v>#REF!</v>
      </c>
      <c r="F19" t="e">
        <f t="shared" si="4"/>
        <v>#REF!</v>
      </c>
      <c r="G19" t="e">
        <f t="shared" si="5"/>
        <v>#REF!</v>
      </c>
      <c r="H19" t="e">
        <f t="shared" si="6"/>
        <v>#REF!</v>
      </c>
      <c r="L19" t="e">
        <f>Reflection!I19</f>
        <v>#REF!</v>
      </c>
      <c r="M19" t="e">
        <f t="shared" si="7"/>
        <v>#REF!</v>
      </c>
      <c r="N19" t="e">
        <f t="shared" si="8"/>
        <v>#REF!</v>
      </c>
      <c r="O19" t="e">
        <f t="shared" si="9"/>
        <v>#REF!</v>
      </c>
      <c r="P19" t="e">
        <f t="shared" si="10"/>
        <v>#REF!</v>
      </c>
      <c r="Q19" t="e">
        <f t="shared" si="11"/>
        <v>#REF!</v>
      </c>
      <c r="R19" t="e">
        <f t="shared" si="12"/>
        <v>#REF!</v>
      </c>
      <c r="U19">
        <f>Reflection!Q19</f>
        <v>1900000</v>
      </c>
      <c r="V19" t="str">
        <f t="shared" si="13"/>
        <v>78.2849517128295-1067.29290836374i</v>
      </c>
      <c r="W19" t="str">
        <f t="shared" si="14"/>
        <v>0.112814889080623+0.00827486819687073i</v>
      </c>
      <c r="X19">
        <f t="shared" si="15"/>
        <v>78.284951712829496</v>
      </c>
      <c r="Y19">
        <f t="shared" si="16"/>
        <v>1067.29290836374</v>
      </c>
      <c r="Z19">
        <f t="shared" si="17"/>
        <v>0.112814889080623</v>
      </c>
      <c r="AA19">
        <f t="shared" si="18"/>
        <v>8.2748681968707292E-3</v>
      </c>
      <c r="AE19" t="e">
        <f>Reflection!Y19</f>
        <v>#REF!</v>
      </c>
      <c r="AF19" t="e">
        <f>IMDIV(IMPRODUCT(IMSUB(C19,V19),IMSUB(Reflection!AB19,Reflection!D19),IMSUB(Reflection!L19,Reflection!T19)),IMPRODUCT(IMSUB(Permitivity!M19,Permitivity!V19),IMSUB(Reflection!AB19,Reflection!L19),IMSUB(Reflection!D19,Reflection!T19)))</f>
        <v>#REF!</v>
      </c>
      <c r="AG19" t="e">
        <f t="shared" si="19"/>
        <v>#REF!</v>
      </c>
      <c r="AH19" t="e">
        <f t="shared" si="0"/>
        <v>#REF!</v>
      </c>
      <c r="AI19" t="e">
        <f t="shared" si="20"/>
        <v>#REF!</v>
      </c>
      <c r="AJ19" t="e">
        <f t="shared" si="21"/>
        <v>#REF!</v>
      </c>
      <c r="AK19" t="e">
        <f t="shared" si="22"/>
        <v>#REF!</v>
      </c>
      <c r="AL19" t="e">
        <f t="shared" si="23"/>
        <v>#REF!</v>
      </c>
    </row>
    <row r="20" spans="2:38" x14ac:dyDescent="0.15">
      <c r="B20" t="e">
        <f>Experiment!#REF!</f>
        <v>#REF!</v>
      </c>
      <c r="C20" t="e">
        <f t="shared" si="1"/>
        <v>#REF!</v>
      </c>
      <c r="D20" t="e">
        <f t="shared" si="2"/>
        <v>#REF!</v>
      </c>
      <c r="E20" t="e">
        <f t="shared" si="3"/>
        <v>#REF!</v>
      </c>
      <c r="F20" t="e">
        <f t="shared" si="4"/>
        <v>#REF!</v>
      </c>
      <c r="G20" t="e">
        <f t="shared" si="5"/>
        <v>#REF!</v>
      </c>
      <c r="H20" t="e">
        <f t="shared" si="6"/>
        <v>#REF!</v>
      </c>
      <c r="L20" t="e">
        <f>Reflection!I20</f>
        <v>#REF!</v>
      </c>
      <c r="M20" t="e">
        <f t="shared" si="7"/>
        <v>#REF!</v>
      </c>
      <c r="N20" t="e">
        <f t="shared" si="8"/>
        <v>#REF!</v>
      </c>
      <c r="O20" t="e">
        <f t="shared" si="9"/>
        <v>#REF!</v>
      </c>
      <c r="P20" t="e">
        <f t="shared" si="10"/>
        <v>#REF!</v>
      </c>
      <c r="Q20" t="e">
        <f t="shared" si="11"/>
        <v>#REF!</v>
      </c>
      <c r="R20" t="e">
        <f t="shared" si="12"/>
        <v>#REF!</v>
      </c>
      <c r="U20">
        <f>Reflection!Q20</f>
        <v>2000000</v>
      </c>
      <c r="V20" t="str">
        <f t="shared" si="13"/>
        <v>78.2849511536038-1013.92900329073i</v>
      </c>
      <c r="W20" t="str">
        <f t="shared" si="14"/>
        <v>0.112814971455247+0.00871038751343107i</v>
      </c>
      <c r="X20">
        <f t="shared" si="15"/>
        <v>78.284951153603799</v>
      </c>
      <c r="Y20">
        <f t="shared" si="16"/>
        <v>1013.92900329073</v>
      </c>
      <c r="Z20">
        <f t="shared" si="17"/>
        <v>0.11281497145524701</v>
      </c>
      <c r="AA20">
        <f t="shared" si="18"/>
        <v>8.7103875134310702E-3</v>
      </c>
      <c r="AE20" t="e">
        <f>Reflection!Y20</f>
        <v>#REF!</v>
      </c>
      <c r="AF20" t="e">
        <f>IMDIV(IMPRODUCT(IMSUB(C20,V20),IMSUB(Reflection!AB20,Reflection!D20),IMSUB(Reflection!L20,Reflection!T20)),IMPRODUCT(IMSUB(Permitivity!M20,Permitivity!V20),IMSUB(Reflection!AB20,Reflection!L20),IMSUB(Reflection!D20,Reflection!T20)))</f>
        <v>#REF!</v>
      </c>
      <c r="AG20" t="e">
        <f t="shared" si="19"/>
        <v>#REF!</v>
      </c>
      <c r="AH20" t="e">
        <f t="shared" si="0"/>
        <v>#REF!</v>
      </c>
      <c r="AI20" t="e">
        <f t="shared" si="20"/>
        <v>#REF!</v>
      </c>
      <c r="AJ20" t="e">
        <f t="shared" si="21"/>
        <v>#REF!</v>
      </c>
      <c r="AK20" t="e">
        <f t="shared" si="22"/>
        <v>#REF!</v>
      </c>
      <c r="AL20" t="e">
        <f t="shared" si="23"/>
        <v>#REF!</v>
      </c>
    </row>
    <row r="21" spans="2:38" x14ac:dyDescent="0.15">
      <c r="B21" t="e">
        <f>Experiment!#REF!</f>
        <v>#REF!</v>
      </c>
      <c r="C21" t="e">
        <f t="shared" si="1"/>
        <v>#REF!</v>
      </c>
      <c r="D21" t="e">
        <f t="shared" si="2"/>
        <v>#REF!</v>
      </c>
      <c r="E21" t="e">
        <f t="shared" si="3"/>
        <v>#REF!</v>
      </c>
      <c r="F21" t="e">
        <f t="shared" si="4"/>
        <v>#REF!</v>
      </c>
      <c r="G21" t="e">
        <f t="shared" si="5"/>
        <v>#REF!</v>
      </c>
      <c r="H21" t="e">
        <f t="shared" si="6"/>
        <v>#REF!</v>
      </c>
      <c r="L21" t="e">
        <f>Reflection!I21</f>
        <v>#REF!</v>
      </c>
      <c r="M21" t="e">
        <f t="shared" si="7"/>
        <v>#REF!</v>
      </c>
      <c r="N21" t="e">
        <f t="shared" si="8"/>
        <v>#REF!</v>
      </c>
      <c r="O21" t="e">
        <f t="shared" si="9"/>
        <v>#REF!</v>
      </c>
      <c r="P21" t="e">
        <f t="shared" si="10"/>
        <v>#REF!</v>
      </c>
      <c r="Q21" t="e">
        <f t="shared" si="11"/>
        <v>#REF!</v>
      </c>
      <c r="R21" t="e">
        <f t="shared" si="12"/>
        <v>#REF!</v>
      </c>
      <c r="U21">
        <f>Reflection!Q21</f>
        <v>2100000</v>
      </c>
      <c r="V21" t="str">
        <f t="shared" si="13"/>
        <v>78.2849505904661-965.647411019836i</v>
      </c>
      <c r="W21" t="str">
        <f t="shared" si="14"/>
        <v>0.112815058050705+0.00914590682331214i</v>
      </c>
      <c r="X21">
        <f t="shared" si="15"/>
        <v>78.284950590466096</v>
      </c>
      <c r="Y21">
        <f t="shared" si="16"/>
        <v>965.647411019836</v>
      </c>
      <c r="Z21">
        <f t="shared" si="17"/>
        <v>0.11281505805070501</v>
      </c>
      <c r="AA21">
        <f t="shared" si="18"/>
        <v>9.1459068233121395E-3</v>
      </c>
      <c r="AE21" t="e">
        <f>Reflection!Y21</f>
        <v>#REF!</v>
      </c>
      <c r="AF21" t="e">
        <f>IMDIV(IMPRODUCT(IMSUB(C21,V21),IMSUB(Reflection!AB21,Reflection!D21),IMSUB(Reflection!L21,Reflection!T21)),IMPRODUCT(IMSUB(Permitivity!M21,Permitivity!V21),IMSUB(Reflection!AB21,Reflection!L21),IMSUB(Reflection!D21,Reflection!T21)))</f>
        <v>#REF!</v>
      </c>
      <c r="AG21" t="e">
        <f t="shared" si="19"/>
        <v>#REF!</v>
      </c>
      <c r="AH21" t="e">
        <f t="shared" si="0"/>
        <v>#REF!</v>
      </c>
      <c r="AI21" t="e">
        <f t="shared" si="20"/>
        <v>#REF!</v>
      </c>
      <c r="AJ21" t="e">
        <f t="shared" si="21"/>
        <v>#REF!</v>
      </c>
      <c r="AK21" t="e">
        <f t="shared" si="22"/>
        <v>#REF!</v>
      </c>
      <c r="AL21" t="e">
        <f t="shared" si="23"/>
        <v>#REF!</v>
      </c>
    </row>
    <row r="22" spans="2:38" x14ac:dyDescent="0.15">
      <c r="B22" t="e">
        <f>Experiment!#REF!</f>
        <v>#REF!</v>
      </c>
      <c r="C22" t="e">
        <f t="shared" si="1"/>
        <v>#REF!</v>
      </c>
      <c r="D22" t="e">
        <f t="shared" si="2"/>
        <v>#REF!</v>
      </c>
      <c r="E22" t="e">
        <f t="shared" si="3"/>
        <v>#REF!</v>
      </c>
      <c r="F22" t="e">
        <f t="shared" si="4"/>
        <v>#REF!</v>
      </c>
      <c r="G22" t="e">
        <f t="shared" si="5"/>
        <v>#REF!</v>
      </c>
      <c r="H22" t="e">
        <f t="shared" si="6"/>
        <v>#REF!</v>
      </c>
      <c r="L22" t="e">
        <f>Reflection!I22</f>
        <v>#REF!</v>
      </c>
      <c r="M22" t="e">
        <f t="shared" si="7"/>
        <v>#REF!</v>
      </c>
      <c r="N22" t="e">
        <f t="shared" si="8"/>
        <v>#REF!</v>
      </c>
      <c r="O22" t="e">
        <f t="shared" si="9"/>
        <v>#REF!</v>
      </c>
      <c r="P22" t="e">
        <f t="shared" si="10"/>
        <v>#REF!</v>
      </c>
      <c r="Q22" t="e">
        <f t="shared" si="11"/>
        <v>#REF!</v>
      </c>
      <c r="R22" t="e">
        <f t="shared" si="12"/>
        <v>#REF!</v>
      </c>
      <c r="U22">
        <f>Reflection!Q22</f>
        <v>2100000</v>
      </c>
      <c r="V22" t="str">
        <f t="shared" si="13"/>
        <v>78.2849505904661-965.647411019836i</v>
      </c>
      <c r="W22" t="str">
        <f t="shared" si="14"/>
        <v>0.112815058050705+0.00914590682331214i</v>
      </c>
      <c r="X22">
        <f t="shared" si="15"/>
        <v>78.284950590466096</v>
      </c>
      <c r="Y22">
        <f t="shared" si="16"/>
        <v>965.647411019836</v>
      </c>
      <c r="Z22">
        <f t="shared" si="17"/>
        <v>0.11281505805070501</v>
      </c>
      <c r="AA22">
        <f t="shared" si="18"/>
        <v>9.1459068233121395E-3</v>
      </c>
      <c r="AE22" t="e">
        <f>Reflection!Y22</f>
        <v>#REF!</v>
      </c>
      <c r="AF22" t="e">
        <f>IMDIV(IMPRODUCT(IMSUB(C22,V22),IMSUB(Reflection!AB22,Reflection!D22),IMSUB(Reflection!L22,Reflection!T22)),IMPRODUCT(IMSUB(Permitivity!M22,Permitivity!V22),IMSUB(Reflection!AB22,Reflection!L22),IMSUB(Reflection!D22,Reflection!T22)))</f>
        <v>#REF!</v>
      </c>
      <c r="AG22" t="e">
        <f t="shared" si="19"/>
        <v>#REF!</v>
      </c>
      <c r="AH22" t="e">
        <f t="shared" si="0"/>
        <v>#REF!</v>
      </c>
      <c r="AI22" t="e">
        <f t="shared" si="20"/>
        <v>#REF!</v>
      </c>
      <c r="AJ22" t="e">
        <f t="shared" si="21"/>
        <v>#REF!</v>
      </c>
      <c r="AK22" t="e">
        <f t="shared" si="22"/>
        <v>#REF!</v>
      </c>
      <c r="AL22" t="e">
        <f t="shared" si="23"/>
        <v>#REF!</v>
      </c>
    </row>
    <row r="23" spans="2:38" x14ac:dyDescent="0.15">
      <c r="B23" t="e">
        <f>Experiment!#REF!</f>
        <v>#REF!</v>
      </c>
      <c r="C23" t="e">
        <f t="shared" si="1"/>
        <v>#REF!</v>
      </c>
      <c r="D23" t="e">
        <f t="shared" si="2"/>
        <v>#REF!</v>
      </c>
      <c r="E23" t="e">
        <f t="shared" si="3"/>
        <v>#REF!</v>
      </c>
      <c r="F23" t="e">
        <f t="shared" si="4"/>
        <v>#REF!</v>
      </c>
      <c r="G23" t="e">
        <f t="shared" si="5"/>
        <v>#REF!</v>
      </c>
      <c r="H23" t="e">
        <f t="shared" si="6"/>
        <v>#REF!</v>
      </c>
      <c r="L23" t="e">
        <f>Reflection!I23</f>
        <v>#REF!</v>
      </c>
      <c r="M23" t="e">
        <f t="shared" si="7"/>
        <v>#REF!</v>
      </c>
      <c r="N23" t="e">
        <f t="shared" si="8"/>
        <v>#REF!</v>
      </c>
      <c r="O23" t="e">
        <f t="shared" si="9"/>
        <v>#REF!</v>
      </c>
      <c r="P23" t="e">
        <f t="shared" si="10"/>
        <v>#REF!</v>
      </c>
      <c r="Q23" t="e">
        <f t="shared" si="11"/>
        <v>#REF!</v>
      </c>
      <c r="R23" t="e">
        <f t="shared" si="12"/>
        <v>#REF!</v>
      </c>
      <c r="U23">
        <f>Reflection!Q23</f>
        <v>2200000</v>
      </c>
      <c r="V23" t="str">
        <f t="shared" si="13"/>
        <v>78.284950023415-921.755088894849i</v>
      </c>
      <c r="W23" t="str">
        <f t="shared" si="14"/>
        <v>0.11281514886683+0.00958142612644848i</v>
      </c>
      <c r="X23">
        <f t="shared" si="15"/>
        <v>78.284950023415007</v>
      </c>
      <c r="Y23">
        <f t="shared" si="16"/>
        <v>921.755088894849</v>
      </c>
      <c r="Z23">
        <f t="shared" si="17"/>
        <v>0.11281514886683</v>
      </c>
      <c r="AA23">
        <f t="shared" si="18"/>
        <v>9.5814261264484807E-3</v>
      </c>
      <c r="AE23" t="e">
        <f>Reflection!Y23</f>
        <v>#REF!</v>
      </c>
      <c r="AF23" t="e">
        <f>IMDIV(IMPRODUCT(IMSUB(C23,V23),IMSUB(Reflection!AB23,Reflection!D23),IMSUB(Reflection!L23,Reflection!T23)),IMPRODUCT(IMSUB(Permitivity!M23,Permitivity!V23),IMSUB(Reflection!AB23,Reflection!L23),IMSUB(Reflection!D23,Reflection!T23)))</f>
        <v>#REF!</v>
      </c>
      <c r="AG23" t="e">
        <f t="shared" si="19"/>
        <v>#REF!</v>
      </c>
      <c r="AH23" t="e">
        <f t="shared" si="0"/>
        <v>#REF!</v>
      </c>
      <c r="AI23" t="e">
        <f t="shared" si="20"/>
        <v>#REF!</v>
      </c>
      <c r="AJ23" t="e">
        <f t="shared" si="21"/>
        <v>#REF!</v>
      </c>
      <c r="AK23" t="e">
        <f t="shared" si="22"/>
        <v>#REF!</v>
      </c>
      <c r="AL23" t="e">
        <f t="shared" si="23"/>
        <v>#REF!</v>
      </c>
    </row>
    <row r="24" spans="2:38" x14ac:dyDescent="0.15">
      <c r="B24" t="e">
        <f>Experiment!#REF!</f>
        <v>#REF!</v>
      </c>
      <c r="C24" t="e">
        <f t="shared" si="1"/>
        <v>#REF!</v>
      </c>
      <c r="D24" t="e">
        <f t="shared" si="2"/>
        <v>#REF!</v>
      </c>
      <c r="E24" t="e">
        <f t="shared" si="3"/>
        <v>#REF!</v>
      </c>
      <c r="F24" t="e">
        <f t="shared" si="4"/>
        <v>#REF!</v>
      </c>
      <c r="G24" t="e">
        <f t="shared" si="5"/>
        <v>#REF!</v>
      </c>
      <c r="H24" t="e">
        <f t="shared" si="6"/>
        <v>#REF!</v>
      </c>
      <c r="L24" t="e">
        <f>Reflection!I24</f>
        <v>#REF!</v>
      </c>
      <c r="M24" t="e">
        <f t="shared" si="7"/>
        <v>#REF!</v>
      </c>
      <c r="N24" t="e">
        <f t="shared" si="8"/>
        <v>#REF!</v>
      </c>
      <c r="O24" t="e">
        <f t="shared" si="9"/>
        <v>#REF!</v>
      </c>
      <c r="P24" t="e">
        <f t="shared" si="10"/>
        <v>#REF!</v>
      </c>
      <c r="Q24" t="e">
        <f t="shared" si="11"/>
        <v>#REF!</v>
      </c>
      <c r="R24" t="e">
        <f t="shared" si="12"/>
        <v>#REF!</v>
      </c>
      <c r="U24">
        <f>Reflection!Q24</f>
        <v>2300000</v>
      </c>
      <c r="V24" t="str">
        <f t="shared" si="13"/>
        <v>78.2849494524511-881.679523417235i</v>
      </c>
      <c r="W24" t="str">
        <f t="shared" si="14"/>
        <v>0.112815243903464+0.0100169454227749i</v>
      </c>
      <c r="X24">
        <f t="shared" si="15"/>
        <v>78.284949452451102</v>
      </c>
      <c r="Y24">
        <f t="shared" si="16"/>
        <v>881.67952341723503</v>
      </c>
      <c r="Z24">
        <f t="shared" si="17"/>
        <v>0.11281524390346399</v>
      </c>
      <c r="AA24">
        <f t="shared" si="18"/>
        <v>1.0016945422774899E-2</v>
      </c>
      <c r="AE24" t="e">
        <f>Reflection!Y24</f>
        <v>#REF!</v>
      </c>
      <c r="AF24" t="e">
        <f>IMDIV(IMPRODUCT(IMSUB(C24,V24),IMSUB(Reflection!AB24,Reflection!D24),IMSUB(Reflection!L24,Reflection!T24)),IMPRODUCT(IMSUB(Permitivity!M24,Permitivity!V24),IMSUB(Reflection!AB24,Reflection!L24),IMSUB(Reflection!D24,Reflection!T24)))</f>
        <v>#REF!</v>
      </c>
      <c r="AG24" t="e">
        <f t="shared" si="19"/>
        <v>#REF!</v>
      </c>
      <c r="AH24" t="e">
        <f t="shared" si="0"/>
        <v>#REF!</v>
      </c>
      <c r="AI24" t="e">
        <f t="shared" si="20"/>
        <v>#REF!</v>
      </c>
      <c r="AJ24" t="e">
        <f t="shared" si="21"/>
        <v>#REF!</v>
      </c>
      <c r="AK24" t="e">
        <f t="shared" si="22"/>
        <v>#REF!</v>
      </c>
      <c r="AL24" t="e">
        <f t="shared" si="23"/>
        <v>#REF!</v>
      </c>
    </row>
    <row r="25" spans="2:38" x14ac:dyDescent="0.15">
      <c r="B25" t="e">
        <f>Experiment!#REF!</f>
        <v>#REF!</v>
      </c>
      <c r="C25" t="e">
        <f t="shared" si="1"/>
        <v>#REF!</v>
      </c>
      <c r="D25" t="e">
        <f t="shared" si="2"/>
        <v>#REF!</v>
      </c>
      <c r="E25" t="e">
        <f t="shared" si="3"/>
        <v>#REF!</v>
      </c>
      <c r="F25" t="e">
        <f t="shared" si="4"/>
        <v>#REF!</v>
      </c>
      <c r="G25" t="e">
        <f t="shared" si="5"/>
        <v>#REF!</v>
      </c>
      <c r="H25" t="e">
        <f t="shared" si="6"/>
        <v>#REF!</v>
      </c>
      <c r="L25" t="e">
        <f>Reflection!I25</f>
        <v>#REF!</v>
      </c>
      <c r="M25" t="e">
        <f t="shared" si="7"/>
        <v>#REF!</v>
      </c>
      <c r="N25" t="e">
        <f t="shared" si="8"/>
        <v>#REF!</v>
      </c>
      <c r="O25" t="e">
        <f t="shared" si="9"/>
        <v>#REF!</v>
      </c>
      <c r="P25" t="e">
        <f t="shared" si="10"/>
        <v>#REF!</v>
      </c>
      <c r="Q25" t="e">
        <f t="shared" si="11"/>
        <v>#REF!</v>
      </c>
      <c r="R25" t="e">
        <f t="shared" si="12"/>
        <v>#REF!</v>
      </c>
      <c r="U25">
        <f>Reflection!Q25</f>
        <v>2400000</v>
      </c>
      <c r="V25" t="str">
        <f t="shared" si="13"/>
        <v>78.284948877573-844.943620004939i</v>
      </c>
      <c r="W25" t="str">
        <f t="shared" si="14"/>
        <v>0.112815343160453+0.0104524647122258i</v>
      </c>
      <c r="X25">
        <f t="shared" si="15"/>
        <v>78.284948877573001</v>
      </c>
      <c r="Y25">
        <f t="shared" si="16"/>
        <v>844.94362000493902</v>
      </c>
      <c r="Z25">
        <f t="shared" si="17"/>
        <v>0.112815343160453</v>
      </c>
      <c r="AA25">
        <f t="shared" si="18"/>
        <v>1.0452464712225801E-2</v>
      </c>
      <c r="AE25" t="e">
        <f>Reflection!Y25</f>
        <v>#REF!</v>
      </c>
      <c r="AF25" t="e">
        <f>IMDIV(IMPRODUCT(IMSUB(C25,V25),IMSUB(Reflection!AB25,Reflection!D25),IMSUB(Reflection!L25,Reflection!T25)),IMPRODUCT(IMSUB(Permitivity!M25,Permitivity!V25),IMSUB(Reflection!AB25,Reflection!L25),IMSUB(Reflection!D25,Reflection!T25)))</f>
        <v>#REF!</v>
      </c>
      <c r="AG25" t="e">
        <f t="shared" si="19"/>
        <v>#REF!</v>
      </c>
      <c r="AH25" t="e">
        <f t="shared" si="0"/>
        <v>#REF!</v>
      </c>
      <c r="AI25" t="e">
        <f t="shared" si="20"/>
        <v>#REF!</v>
      </c>
      <c r="AJ25" t="e">
        <f t="shared" si="21"/>
        <v>#REF!</v>
      </c>
      <c r="AK25" t="e">
        <f t="shared" si="22"/>
        <v>#REF!</v>
      </c>
      <c r="AL25" t="e">
        <f t="shared" si="23"/>
        <v>#REF!</v>
      </c>
    </row>
    <row r="26" spans="2:38" x14ac:dyDescent="0.15">
      <c r="B26" t="e">
        <f>Experiment!#REF!</f>
        <v>#REF!</v>
      </c>
      <c r="C26" t="e">
        <f t="shared" si="1"/>
        <v>#REF!</v>
      </c>
      <c r="D26" t="e">
        <f t="shared" si="2"/>
        <v>#REF!</v>
      </c>
      <c r="E26" t="e">
        <f t="shared" si="3"/>
        <v>#REF!</v>
      </c>
      <c r="F26" t="e">
        <f t="shared" si="4"/>
        <v>#REF!</v>
      </c>
      <c r="G26" t="e">
        <f t="shared" si="5"/>
        <v>#REF!</v>
      </c>
      <c r="H26" t="e">
        <f t="shared" si="6"/>
        <v>#REF!</v>
      </c>
      <c r="L26" t="e">
        <f>Reflection!I26</f>
        <v>#REF!</v>
      </c>
      <c r="M26" t="e">
        <f t="shared" si="7"/>
        <v>#REF!</v>
      </c>
      <c r="N26" t="e">
        <f t="shared" si="8"/>
        <v>#REF!</v>
      </c>
      <c r="O26" t="e">
        <f t="shared" si="9"/>
        <v>#REF!</v>
      </c>
      <c r="P26" t="e">
        <f t="shared" si="10"/>
        <v>#REF!</v>
      </c>
      <c r="Q26" t="e">
        <f t="shared" si="11"/>
        <v>#REF!</v>
      </c>
      <c r="R26" t="e">
        <f t="shared" si="12"/>
        <v>#REF!</v>
      </c>
      <c r="U26">
        <f>Reflection!Q26</f>
        <v>2500000</v>
      </c>
      <c r="V26" t="str">
        <f t="shared" si="13"/>
        <v>78.2849482987803-811.146619209066i</v>
      </c>
      <c r="W26" t="str">
        <f t="shared" si="14"/>
        <v>0.112815446637652+0.0108879839947358i</v>
      </c>
      <c r="X26">
        <f t="shared" si="15"/>
        <v>78.284948298780293</v>
      </c>
      <c r="Y26">
        <f t="shared" si="16"/>
        <v>811.14661920906599</v>
      </c>
      <c r="Z26">
        <f t="shared" si="17"/>
        <v>0.112815446637652</v>
      </c>
      <c r="AA26">
        <f t="shared" si="18"/>
        <v>1.0887983994735799E-2</v>
      </c>
      <c r="AE26" t="e">
        <f>Reflection!Y26</f>
        <v>#REF!</v>
      </c>
      <c r="AF26" t="e">
        <f>IMDIV(IMPRODUCT(IMSUB(C26,V26),IMSUB(Reflection!AB26,Reflection!D26),IMSUB(Reflection!L26,Reflection!T26)),IMPRODUCT(IMSUB(Permitivity!M26,Permitivity!V26),IMSUB(Reflection!AB26,Reflection!L26),IMSUB(Reflection!D26,Reflection!T26)))</f>
        <v>#REF!</v>
      </c>
      <c r="AG26" t="e">
        <f t="shared" si="19"/>
        <v>#REF!</v>
      </c>
      <c r="AH26" t="e">
        <f t="shared" si="0"/>
        <v>#REF!</v>
      </c>
      <c r="AI26" t="e">
        <f t="shared" si="20"/>
        <v>#REF!</v>
      </c>
      <c r="AJ26" t="e">
        <f t="shared" si="21"/>
        <v>#REF!</v>
      </c>
      <c r="AK26" t="e">
        <f t="shared" si="22"/>
        <v>#REF!</v>
      </c>
      <c r="AL26" t="e">
        <f t="shared" si="23"/>
        <v>#REF!</v>
      </c>
    </row>
    <row r="27" spans="2:38" x14ac:dyDescent="0.15">
      <c r="B27" t="e">
        <f>Experiment!#REF!</f>
        <v>#REF!</v>
      </c>
      <c r="C27" t="e">
        <f t="shared" si="1"/>
        <v>#REF!</v>
      </c>
      <c r="D27" t="e">
        <f t="shared" si="2"/>
        <v>#REF!</v>
      </c>
      <c r="E27" t="e">
        <f t="shared" si="3"/>
        <v>#REF!</v>
      </c>
      <c r="F27" t="e">
        <f t="shared" si="4"/>
        <v>#REF!</v>
      </c>
      <c r="G27" t="e">
        <f t="shared" si="5"/>
        <v>#REF!</v>
      </c>
      <c r="H27" t="e">
        <f t="shared" si="6"/>
        <v>#REF!</v>
      </c>
      <c r="L27" t="e">
        <f>Reflection!I27</f>
        <v>#REF!</v>
      </c>
      <c r="M27" t="e">
        <f t="shared" si="7"/>
        <v>#REF!</v>
      </c>
      <c r="N27" t="e">
        <f t="shared" si="8"/>
        <v>#REF!</v>
      </c>
      <c r="O27" t="e">
        <f t="shared" si="9"/>
        <v>#REF!</v>
      </c>
      <c r="P27" t="e">
        <f t="shared" si="10"/>
        <v>#REF!</v>
      </c>
      <c r="Q27" t="e">
        <f t="shared" si="11"/>
        <v>#REF!</v>
      </c>
      <c r="R27" t="e">
        <f t="shared" si="12"/>
        <v>#REF!</v>
      </c>
      <c r="U27">
        <f>Reflection!Q27</f>
        <v>2600000</v>
      </c>
      <c r="V27" t="str">
        <f t="shared" si="13"/>
        <v>78.2849477160726-779.949416880605i</v>
      </c>
      <c r="W27" t="str">
        <f t="shared" si="14"/>
        <v>0.112815554334921+0.0113235032702397i</v>
      </c>
      <c r="X27">
        <f t="shared" si="15"/>
        <v>78.284947716072594</v>
      </c>
      <c r="Y27">
        <f t="shared" si="16"/>
        <v>779.94941688060499</v>
      </c>
      <c r="Z27">
        <f t="shared" si="17"/>
        <v>0.11281555433492101</v>
      </c>
      <c r="AA27">
        <f t="shared" si="18"/>
        <v>1.1323503270239701E-2</v>
      </c>
      <c r="AE27" t="e">
        <f>Reflection!Y27</f>
        <v>#REF!</v>
      </c>
      <c r="AF27" t="e">
        <f>IMDIV(IMPRODUCT(IMSUB(C27,V27),IMSUB(Reflection!AB27,Reflection!D27),IMSUB(Reflection!L27,Reflection!T27)),IMPRODUCT(IMSUB(Permitivity!M27,Permitivity!V27),IMSUB(Reflection!AB27,Reflection!L27),IMSUB(Reflection!D27,Reflection!T27)))</f>
        <v>#REF!</v>
      </c>
      <c r="AG27" t="e">
        <f t="shared" si="19"/>
        <v>#REF!</v>
      </c>
      <c r="AH27" t="e">
        <f t="shared" si="0"/>
        <v>#REF!</v>
      </c>
      <c r="AI27" t="e">
        <f t="shared" si="20"/>
        <v>#REF!</v>
      </c>
      <c r="AJ27" t="e">
        <f t="shared" si="21"/>
        <v>#REF!</v>
      </c>
      <c r="AK27" t="e">
        <f t="shared" si="22"/>
        <v>#REF!</v>
      </c>
      <c r="AL27" t="e">
        <f t="shared" si="23"/>
        <v>#REF!</v>
      </c>
    </row>
    <row r="28" spans="2:38" x14ac:dyDescent="0.15">
      <c r="B28" t="e">
        <f>Experiment!#REF!</f>
        <v>#REF!</v>
      </c>
      <c r="C28" t="e">
        <f t="shared" si="1"/>
        <v>#REF!</v>
      </c>
      <c r="D28" t="e">
        <f t="shared" si="2"/>
        <v>#REF!</v>
      </c>
      <c r="E28" t="e">
        <f t="shared" si="3"/>
        <v>#REF!</v>
      </c>
      <c r="F28" t="e">
        <f t="shared" si="4"/>
        <v>#REF!</v>
      </c>
      <c r="G28" t="e">
        <f t="shared" si="5"/>
        <v>#REF!</v>
      </c>
      <c r="H28" t="e">
        <f t="shared" si="6"/>
        <v>#REF!</v>
      </c>
      <c r="L28" t="e">
        <f>Reflection!I28</f>
        <v>#REF!</v>
      </c>
      <c r="M28" t="e">
        <f t="shared" si="7"/>
        <v>#REF!</v>
      </c>
      <c r="N28" t="e">
        <f t="shared" si="8"/>
        <v>#REF!</v>
      </c>
      <c r="O28" t="e">
        <f t="shared" si="9"/>
        <v>#REF!</v>
      </c>
      <c r="P28" t="e">
        <f t="shared" si="10"/>
        <v>#REF!</v>
      </c>
      <c r="Q28" t="e">
        <f t="shared" si="11"/>
        <v>#REF!</v>
      </c>
      <c r="R28" t="e">
        <f t="shared" si="12"/>
        <v>#REF!</v>
      </c>
      <c r="U28">
        <f>Reflection!Q28</f>
        <v>2700000</v>
      </c>
      <c r="V28" t="str">
        <f t="shared" si="13"/>
        <v>78.2849471294501-751.063146522285i</v>
      </c>
      <c r="W28" t="str">
        <f t="shared" si="14"/>
        <v>0.112815666252127+0.011759022538672i</v>
      </c>
      <c r="X28">
        <f t="shared" si="15"/>
        <v>78.284947129450103</v>
      </c>
      <c r="Y28">
        <f t="shared" si="16"/>
        <v>751.06314652228502</v>
      </c>
      <c r="Z28">
        <f t="shared" si="17"/>
        <v>0.11281566625212699</v>
      </c>
      <c r="AA28">
        <f t="shared" si="18"/>
        <v>1.1759022538672E-2</v>
      </c>
      <c r="AE28" t="e">
        <f>Reflection!Y28</f>
        <v>#REF!</v>
      </c>
      <c r="AF28" t="e">
        <f>IMDIV(IMPRODUCT(IMSUB(C28,V28),IMSUB(Reflection!AB28,Reflection!D28),IMSUB(Reflection!L28,Reflection!T28)),IMPRODUCT(IMSUB(Permitivity!M28,Permitivity!V28),IMSUB(Reflection!AB28,Reflection!L28),IMSUB(Reflection!D28,Reflection!T28)))</f>
        <v>#REF!</v>
      </c>
      <c r="AG28" t="e">
        <f t="shared" si="19"/>
        <v>#REF!</v>
      </c>
      <c r="AH28" t="e">
        <f t="shared" si="0"/>
        <v>#REF!</v>
      </c>
      <c r="AI28" t="e">
        <f t="shared" si="20"/>
        <v>#REF!</v>
      </c>
      <c r="AJ28" t="e">
        <f t="shared" si="21"/>
        <v>#REF!</v>
      </c>
      <c r="AK28" t="e">
        <f t="shared" si="22"/>
        <v>#REF!</v>
      </c>
      <c r="AL28" t="e">
        <f t="shared" si="23"/>
        <v>#REF!</v>
      </c>
    </row>
    <row r="29" spans="2:38" x14ac:dyDescent="0.15">
      <c r="B29" t="e">
        <f>Experiment!#REF!</f>
        <v>#REF!</v>
      </c>
      <c r="C29" t="e">
        <f t="shared" si="1"/>
        <v>#REF!</v>
      </c>
      <c r="D29" t="e">
        <f t="shared" si="2"/>
        <v>#REF!</v>
      </c>
      <c r="E29" t="e">
        <f t="shared" si="3"/>
        <v>#REF!</v>
      </c>
      <c r="F29" t="e">
        <f t="shared" si="4"/>
        <v>#REF!</v>
      </c>
      <c r="G29" t="e">
        <f t="shared" si="5"/>
        <v>#REF!</v>
      </c>
      <c r="H29" t="e">
        <f t="shared" si="6"/>
        <v>#REF!</v>
      </c>
      <c r="L29" t="e">
        <f>Reflection!I29</f>
        <v>#REF!</v>
      </c>
      <c r="M29" t="e">
        <f t="shared" si="7"/>
        <v>#REF!</v>
      </c>
      <c r="N29" t="e">
        <f t="shared" si="8"/>
        <v>#REF!</v>
      </c>
      <c r="O29" t="e">
        <f t="shared" si="9"/>
        <v>#REF!</v>
      </c>
      <c r="P29" t="e">
        <f t="shared" si="10"/>
        <v>#REF!</v>
      </c>
      <c r="Q29" t="e">
        <f t="shared" si="11"/>
        <v>#REF!</v>
      </c>
      <c r="R29" t="e">
        <f t="shared" si="12"/>
        <v>#REF!</v>
      </c>
      <c r="U29">
        <f>Reflection!Q29</f>
        <v>2800000</v>
      </c>
      <c r="V29" t="str">
        <f t="shared" si="13"/>
        <v>78.2849465389115-724.240208279334i</v>
      </c>
      <c r="W29" t="str">
        <f t="shared" si="14"/>
        <v>0.11281578238914+0.0121945417999672i</v>
      </c>
      <c r="X29">
        <f t="shared" si="15"/>
        <v>78.284946538911498</v>
      </c>
      <c r="Y29">
        <f t="shared" si="16"/>
        <v>724.24020827933396</v>
      </c>
      <c r="Z29">
        <f t="shared" si="17"/>
        <v>0.11281578238914</v>
      </c>
      <c r="AA29">
        <f t="shared" si="18"/>
        <v>1.21945417999672E-2</v>
      </c>
      <c r="AE29" t="e">
        <f>Reflection!Y29</f>
        <v>#REF!</v>
      </c>
      <c r="AF29" t="e">
        <f>IMDIV(IMPRODUCT(IMSUB(C29,V29),IMSUB(Reflection!AB29,Reflection!D29),IMSUB(Reflection!L29,Reflection!T29)),IMPRODUCT(IMSUB(Permitivity!M29,Permitivity!V29),IMSUB(Reflection!AB29,Reflection!L29),IMSUB(Reflection!D29,Reflection!T29)))</f>
        <v>#REF!</v>
      </c>
      <c r="AG29" t="e">
        <f t="shared" si="19"/>
        <v>#REF!</v>
      </c>
      <c r="AH29" t="e">
        <f t="shared" si="0"/>
        <v>#REF!</v>
      </c>
      <c r="AI29" t="e">
        <f t="shared" si="20"/>
        <v>#REF!</v>
      </c>
      <c r="AJ29" t="e">
        <f t="shared" si="21"/>
        <v>#REF!</v>
      </c>
      <c r="AK29" t="e">
        <f t="shared" si="22"/>
        <v>#REF!</v>
      </c>
      <c r="AL29" t="e">
        <f t="shared" si="23"/>
        <v>#REF!</v>
      </c>
    </row>
    <row r="30" spans="2:38" x14ac:dyDescent="0.15">
      <c r="B30" t="e">
        <f>Experiment!#REF!</f>
        <v>#REF!</v>
      </c>
      <c r="C30" t="e">
        <f t="shared" si="1"/>
        <v>#REF!</v>
      </c>
      <c r="D30" t="e">
        <f t="shared" si="2"/>
        <v>#REF!</v>
      </c>
      <c r="E30" t="e">
        <f t="shared" si="3"/>
        <v>#REF!</v>
      </c>
      <c r="F30" t="e">
        <f t="shared" si="4"/>
        <v>#REF!</v>
      </c>
      <c r="G30" t="e">
        <f t="shared" si="5"/>
        <v>#REF!</v>
      </c>
      <c r="H30" t="e">
        <f t="shared" si="6"/>
        <v>#REF!</v>
      </c>
      <c r="L30" t="e">
        <f>Reflection!I30</f>
        <v>#REF!</v>
      </c>
      <c r="M30" t="e">
        <f t="shared" si="7"/>
        <v>#REF!</v>
      </c>
      <c r="N30" t="e">
        <f t="shared" si="8"/>
        <v>#REF!</v>
      </c>
      <c r="O30" t="e">
        <f t="shared" si="9"/>
        <v>#REF!</v>
      </c>
      <c r="P30" t="e">
        <f t="shared" si="10"/>
        <v>#REF!</v>
      </c>
      <c r="Q30" t="e">
        <f t="shared" si="11"/>
        <v>#REF!</v>
      </c>
      <c r="R30" t="e">
        <f t="shared" si="12"/>
        <v>#REF!</v>
      </c>
      <c r="U30">
        <f>Reflection!Q30</f>
        <v>3000000</v>
      </c>
      <c r="V30" t="str">
        <f t="shared" si="13"/>
        <v>78.2849453460881-675.958995290436i</v>
      </c>
      <c r="W30" t="str">
        <f t="shared" si="14"/>
        <v>0.112816027322095+0.0130655803008854i</v>
      </c>
      <c r="X30">
        <f t="shared" si="15"/>
        <v>78.284945346088094</v>
      </c>
      <c r="Y30">
        <f t="shared" si="16"/>
        <v>675.95899529043595</v>
      </c>
      <c r="Z30">
        <f t="shared" si="17"/>
        <v>0.112816027322095</v>
      </c>
      <c r="AA30">
        <f t="shared" si="18"/>
        <v>1.30655803008854E-2</v>
      </c>
      <c r="AE30" t="e">
        <f>Reflection!Y30</f>
        <v>#REF!</v>
      </c>
      <c r="AF30" t="e">
        <f>IMDIV(IMPRODUCT(IMSUB(C30,V30),IMSUB(Reflection!AB30,Reflection!D30),IMSUB(Reflection!L30,Reflection!T30)),IMPRODUCT(IMSUB(Permitivity!M30,Permitivity!V30),IMSUB(Reflection!AB30,Reflection!L30),IMSUB(Reflection!D30,Reflection!T30)))</f>
        <v>#REF!</v>
      </c>
      <c r="AG30" t="e">
        <f t="shared" si="19"/>
        <v>#REF!</v>
      </c>
      <c r="AH30" t="e">
        <f t="shared" si="0"/>
        <v>#REF!</v>
      </c>
      <c r="AI30" t="e">
        <f t="shared" si="20"/>
        <v>#REF!</v>
      </c>
      <c r="AJ30" t="e">
        <f t="shared" si="21"/>
        <v>#REF!</v>
      </c>
      <c r="AK30" t="e">
        <f t="shared" si="22"/>
        <v>#REF!</v>
      </c>
      <c r="AL30" t="e">
        <f t="shared" si="23"/>
        <v>#REF!</v>
      </c>
    </row>
    <row r="31" spans="2:38" x14ac:dyDescent="0.15">
      <c r="B31" t="e">
        <f>Experiment!#REF!</f>
        <v>#REF!</v>
      </c>
      <c r="C31" t="e">
        <f t="shared" si="1"/>
        <v>#REF!</v>
      </c>
      <c r="D31" t="e">
        <f t="shared" si="2"/>
        <v>#REF!</v>
      </c>
      <c r="E31" t="e">
        <f t="shared" si="3"/>
        <v>#REF!</v>
      </c>
      <c r="F31" t="e">
        <f t="shared" si="4"/>
        <v>#REF!</v>
      </c>
      <c r="G31" t="e">
        <f t="shared" si="5"/>
        <v>#REF!</v>
      </c>
      <c r="H31" t="e">
        <f t="shared" si="6"/>
        <v>#REF!</v>
      </c>
      <c r="L31" t="e">
        <f>Reflection!I31</f>
        <v>#REF!</v>
      </c>
      <c r="M31" t="e">
        <f t="shared" si="7"/>
        <v>#REF!</v>
      </c>
      <c r="N31" t="e">
        <f t="shared" si="8"/>
        <v>#REF!</v>
      </c>
      <c r="O31" t="e">
        <f t="shared" si="9"/>
        <v>#REF!</v>
      </c>
      <c r="P31" t="e">
        <f t="shared" si="10"/>
        <v>#REF!</v>
      </c>
      <c r="Q31" t="e">
        <f t="shared" si="11"/>
        <v>#REF!</v>
      </c>
      <c r="R31" t="e">
        <f t="shared" si="12"/>
        <v>#REF!</v>
      </c>
      <c r="U31">
        <f>Reflection!Q31</f>
        <v>3100000</v>
      </c>
      <c r="V31" t="str">
        <f t="shared" si="13"/>
        <v>78.2849447438021-654.15461322073i</v>
      </c>
      <c r="W31" t="str">
        <f t="shared" si="14"/>
        <v>0.1128161561178+0.0135010995403774i</v>
      </c>
      <c r="X31">
        <f t="shared" si="15"/>
        <v>78.2849447438021</v>
      </c>
      <c r="Y31">
        <f t="shared" si="16"/>
        <v>654.15461322072997</v>
      </c>
      <c r="Z31">
        <f t="shared" si="17"/>
        <v>0.11281615611780001</v>
      </c>
      <c r="AA31">
        <f t="shared" si="18"/>
        <v>1.35010995403774E-2</v>
      </c>
      <c r="AE31" t="e">
        <f>Reflection!Y31</f>
        <v>#REF!</v>
      </c>
      <c r="AF31" t="e">
        <f>IMDIV(IMPRODUCT(IMSUB(C31,V31),IMSUB(Reflection!AB31,Reflection!D31),IMSUB(Reflection!L31,Reflection!T31)),IMPRODUCT(IMSUB(Permitivity!M31,Permitivity!V31),IMSUB(Reflection!AB31,Reflection!L31),IMSUB(Reflection!D31,Reflection!T31)))</f>
        <v>#REF!</v>
      </c>
      <c r="AG31" t="e">
        <f t="shared" si="19"/>
        <v>#REF!</v>
      </c>
      <c r="AH31" t="e">
        <f t="shared" si="0"/>
        <v>#REF!</v>
      </c>
      <c r="AI31" t="e">
        <f t="shared" si="20"/>
        <v>#REF!</v>
      </c>
      <c r="AJ31" t="e">
        <f t="shared" si="21"/>
        <v>#REF!</v>
      </c>
      <c r="AK31" t="e">
        <f t="shared" si="22"/>
        <v>#REF!</v>
      </c>
      <c r="AL31" t="e">
        <f t="shared" si="23"/>
        <v>#REF!</v>
      </c>
    </row>
    <row r="32" spans="2:38" x14ac:dyDescent="0.15">
      <c r="B32" t="e">
        <f>Experiment!#REF!</f>
        <v>#REF!</v>
      </c>
      <c r="C32" t="e">
        <f t="shared" si="1"/>
        <v>#REF!</v>
      </c>
      <c r="D32" t="e">
        <f t="shared" si="2"/>
        <v>#REF!</v>
      </c>
      <c r="E32" t="e">
        <f t="shared" si="3"/>
        <v>#REF!</v>
      </c>
      <c r="F32" t="e">
        <f t="shared" si="4"/>
        <v>#REF!</v>
      </c>
      <c r="G32" t="e">
        <f t="shared" si="5"/>
        <v>#REF!</v>
      </c>
      <c r="H32" t="e">
        <f t="shared" si="6"/>
        <v>#REF!</v>
      </c>
      <c r="L32" t="e">
        <f>Reflection!I32</f>
        <v>#REF!</v>
      </c>
      <c r="M32" t="e">
        <f t="shared" si="7"/>
        <v>#REF!</v>
      </c>
      <c r="N32" t="e">
        <f t="shared" si="8"/>
        <v>#REF!</v>
      </c>
      <c r="O32" t="e">
        <f t="shared" si="9"/>
        <v>#REF!</v>
      </c>
      <c r="P32" t="e">
        <f t="shared" si="10"/>
        <v>#REF!</v>
      </c>
      <c r="Q32" t="e">
        <f t="shared" si="11"/>
        <v>#REF!</v>
      </c>
      <c r="R32" t="e">
        <f t="shared" si="12"/>
        <v>#REF!</v>
      </c>
      <c r="U32">
        <f>Reflection!Q32</f>
        <v>3200000</v>
      </c>
      <c r="V32" t="str">
        <f t="shared" si="13"/>
        <v>78.2849441375994-633.713028731277i</v>
      </c>
      <c r="W32" t="str">
        <f t="shared" si="14"/>
        <v>0.11281628913284+0.0139366187724708i</v>
      </c>
      <c r="X32">
        <f t="shared" si="15"/>
        <v>78.284944137599396</v>
      </c>
      <c r="Y32">
        <f t="shared" si="16"/>
        <v>633.71302873127695</v>
      </c>
      <c r="Z32">
        <f t="shared" si="17"/>
        <v>0.11281628913284</v>
      </c>
      <c r="AA32">
        <f t="shared" si="18"/>
        <v>1.39366187724708E-2</v>
      </c>
      <c r="AE32" t="e">
        <f>Reflection!Y32</f>
        <v>#REF!</v>
      </c>
      <c r="AF32" t="e">
        <f>IMDIV(IMPRODUCT(IMSUB(C32,V32),IMSUB(Reflection!AB32,Reflection!D32),IMSUB(Reflection!L32,Reflection!T32)),IMPRODUCT(IMSUB(Permitivity!M32,Permitivity!V32),IMSUB(Reflection!AB32,Reflection!L32),IMSUB(Reflection!D32,Reflection!T32)))</f>
        <v>#REF!</v>
      </c>
      <c r="AG32" t="e">
        <f t="shared" si="19"/>
        <v>#REF!</v>
      </c>
      <c r="AH32" t="e">
        <f t="shared" si="0"/>
        <v>#REF!</v>
      </c>
      <c r="AI32" t="e">
        <f t="shared" si="20"/>
        <v>#REF!</v>
      </c>
      <c r="AJ32" t="e">
        <f t="shared" si="21"/>
        <v>#REF!</v>
      </c>
      <c r="AK32" t="e">
        <f t="shared" si="22"/>
        <v>#REF!</v>
      </c>
      <c r="AL32" t="e">
        <f t="shared" si="23"/>
        <v>#REF!</v>
      </c>
    </row>
    <row r="33" spans="2:38" x14ac:dyDescent="0.15">
      <c r="B33" t="e">
        <f>Experiment!#REF!</f>
        <v>#REF!</v>
      </c>
      <c r="C33" t="e">
        <f t="shared" si="1"/>
        <v>#REF!</v>
      </c>
      <c r="D33" t="e">
        <f t="shared" si="2"/>
        <v>#REF!</v>
      </c>
      <c r="E33" t="e">
        <f t="shared" si="3"/>
        <v>#REF!</v>
      </c>
      <c r="F33" t="e">
        <f t="shared" si="4"/>
        <v>#REF!</v>
      </c>
      <c r="G33" t="e">
        <f t="shared" si="5"/>
        <v>#REF!</v>
      </c>
      <c r="H33" t="e">
        <f t="shared" si="6"/>
        <v>#REF!</v>
      </c>
      <c r="L33" t="e">
        <f>Reflection!I33</f>
        <v>#REF!</v>
      </c>
      <c r="M33" t="e">
        <f t="shared" si="7"/>
        <v>#REF!</v>
      </c>
      <c r="N33" t="e">
        <f t="shared" si="8"/>
        <v>#REF!</v>
      </c>
      <c r="O33" t="e">
        <f t="shared" si="9"/>
        <v>#REF!</v>
      </c>
      <c r="P33" t="e">
        <f t="shared" si="10"/>
        <v>#REF!</v>
      </c>
      <c r="Q33" t="e">
        <f t="shared" si="11"/>
        <v>#REF!</v>
      </c>
      <c r="R33" t="e">
        <f t="shared" si="12"/>
        <v>#REF!</v>
      </c>
      <c r="U33">
        <f>Reflection!Q33</f>
        <v>3300000</v>
      </c>
      <c r="V33" t="str">
        <f t="shared" si="13"/>
        <v>78.2849435274797-614.510351132372i</v>
      </c>
      <c r="W33" t="str">
        <f t="shared" si="14"/>
        <v>0.112816426367105+0.0143721379971001i</v>
      </c>
      <c r="X33">
        <f t="shared" si="15"/>
        <v>78.284943527479697</v>
      </c>
      <c r="Y33">
        <f t="shared" si="16"/>
        <v>614.51035113237197</v>
      </c>
      <c r="Z33">
        <f t="shared" si="17"/>
        <v>0.112816426367105</v>
      </c>
      <c r="AA33">
        <f t="shared" si="18"/>
        <v>1.4372137997100101E-2</v>
      </c>
      <c r="AE33" t="e">
        <f>Reflection!Y33</f>
        <v>#REF!</v>
      </c>
      <c r="AF33" t="e">
        <f>IMDIV(IMPRODUCT(IMSUB(C33,V33),IMSUB(Reflection!AB33,Reflection!D33),IMSUB(Reflection!L33,Reflection!T33)),IMPRODUCT(IMSUB(Permitivity!M33,Permitivity!V33),IMSUB(Reflection!AB33,Reflection!L33),IMSUB(Reflection!D33,Reflection!T33)))</f>
        <v>#REF!</v>
      </c>
      <c r="AG33" t="e">
        <f t="shared" si="19"/>
        <v>#REF!</v>
      </c>
      <c r="AH33" t="e">
        <f t="shared" si="0"/>
        <v>#REF!</v>
      </c>
      <c r="AI33" t="e">
        <f t="shared" si="20"/>
        <v>#REF!</v>
      </c>
      <c r="AJ33" t="e">
        <f t="shared" si="21"/>
        <v>#REF!</v>
      </c>
      <c r="AK33" t="e">
        <f t="shared" si="22"/>
        <v>#REF!</v>
      </c>
      <c r="AL33" t="e">
        <f t="shared" si="23"/>
        <v>#REF!</v>
      </c>
    </row>
    <row r="34" spans="2:38" x14ac:dyDescent="0.15">
      <c r="B34" t="e">
        <f>Experiment!#REF!</f>
        <v>#REF!</v>
      </c>
      <c r="C34" t="e">
        <f t="shared" si="1"/>
        <v>#REF!</v>
      </c>
      <c r="D34" t="e">
        <f t="shared" si="2"/>
        <v>#REF!</v>
      </c>
      <c r="E34" t="e">
        <f t="shared" si="3"/>
        <v>#REF!</v>
      </c>
      <c r="F34" t="e">
        <f t="shared" si="4"/>
        <v>#REF!</v>
      </c>
      <c r="G34" t="e">
        <f t="shared" si="5"/>
        <v>#REF!</v>
      </c>
      <c r="H34" t="e">
        <f t="shared" si="6"/>
        <v>#REF!</v>
      </c>
      <c r="L34" t="e">
        <f>Reflection!I34</f>
        <v>#REF!</v>
      </c>
      <c r="M34" t="e">
        <f t="shared" si="7"/>
        <v>#REF!</v>
      </c>
      <c r="N34" t="e">
        <f t="shared" si="8"/>
        <v>#REF!</v>
      </c>
      <c r="O34" t="e">
        <f t="shared" si="9"/>
        <v>#REF!</v>
      </c>
      <c r="P34" t="e">
        <f t="shared" si="10"/>
        <v>#REF!</v>
      </c>
      <c r="Q34" t="e">
        <f t="shared" si="11"/>
        <v>#REF!</v>
      </c>
      <c r="R34" t="e">
        <f t="shared" si="12"/>
        <v>#REF!</v>
      </c>
      <c r="U34">
        <f>Reflection!Q34</f>
        <v>3500000</v>
      </c>
      <c r="V34" t="str">
        <f t="shared" si="13"/>
        <v>78.2849422954911-579.396948527304i</v>
      </c>
      <c r="W34" t="str">
        <f t="shared" si="14"/>
        <v>0.112816713492896+0.0152431764237056i</v>
      </c>
      <c r="X34">
        <f t="shared" si="15"/>
        <v>78.284942295491106</v>
      </c>
      <c r="Y34">
        <f t="shared" si="16"/>
        <v>579.39694852730395</v>
      </c>
      <c r="Z34">
        <f t="shared" si="17"/>
        <v>0.112816713492896</v>
      </c>
      <c r="AA34">
        <f t="shared" si="18"/>
        <v>1.5243176423705601E-2</v>
      </c>
      <c r="AE34" t="e">
        <f>Reflection!Y34</f>
        <v>#REF!</v>
      </c>
      <c r="AF34" t="e">
        <f>IMDIV(IMPRODUCT(IMSUB(C34,V34),IMSUB(Reflection!AB34,Reflection!D34),IMSUB(Reflection!L34,Reflection!T34)),IMPRODUCT(IMSUB(Permitivity!M34,Permitivity!V34),IMSUB(Reflection!AB34,Reflection!L34),IMSUB(Reflection!D34,Reflection!T34)))</f>
        <v>#REF!</v>
      </c>
      <c r="AG34" t="e">
        <f t="shared" si="19"/>
        <v>#REF!</v>
      </c>
      <c r="AH34" t="e">
        <f t="shared" si="0"/>
        <v>#REF!</v>
      </c>
      <c r="AI34" t="e">
        <f t="shared" si="20"/>
        <v>#REF!</v>
      </c>
      <c r="AJ34" t="e">
        <f t="shared" si="21"/>
        <v>#REF!</v>
      </c>
      <c r="AK34" t="e">
        <f t="shared" si="22"/>
        <v>#REF!</v>
      </c>
      <c r="AL34" t="e">
        <f t="shared" si="23"/>
        <v>#REF!</v>
      </c>
    </row>
    <row r="35" spans="2:38" x14ac:dyDescent="0.15">
      <c r="B35" t="e">
        <f>Experiment!#REF!</f>
        <v>#REF!</v>
      </c>
      <c r="C35" t="e">
        <f t="shared" si="1"/>
        <v>#REF!</v>
      </c>
      <c r="D35" t="e">
        <f t="shared" si="2"/>
        <v>#REF!</v>
      </c>
      <c r="E35" t="e">
        <f t="shared" si="3"/>
        <v>#REF!</v>
      </c>
      <c r="F35" t="e">
        <f t="shared" si="4"/>
        <v>#REF!</v>
      </c>
      <c r="G35" t="e">
        <f t="shared" si="5"/>
        <v>#REF!</v>
      </c>
      <c r="H35" t="e">
        <f t="shared" si="6"/>
        <v>#REF!</v>
      </c>
      <c r="L35" t="e">
        <f>Reflection!I35</f>
        <v>#REF!</v>
      </c>
      <c r="M35" t="e">
        <f t="shared" si="7"/>
        <v>#REF!</v>
      </c>
      <c r="N35" t="e">
        <f t="shared" si="8"/>
        <v>#REF!</v>
      </c>
      <c r="O35" t="e">
        <f t="shared" si="9"/>
        <v>#REF!</v>
      </c>
      <c r="P35" t="e">
        <f t="shared" si="10"/>
        <v>#REF!</v>
      </c>
      <c r="Q35" t="e">
        <f t="shared" si="11"/>
        <v>#REF!</v>
      </c>
      <c r="R35" t="e">
        <f t="shared" si="12"/>
        <v>#REF!</v>
      </c>
      <c r="U35">
        <f>Reflection!Q35</f>
        <v>3600000</v>
      </c>
      <c r="V35" t="str">
        <f t="shared" si="13"/>
        <v>78.2849416736203-563.30333726498i</v>
      </c>
      <c r="W35" t="str">
        <f t="shared" si="14"/>
        <v>0.11281686338422+0.0156786956255506i</v>
      </c>
      <c r="X35">
        <f t="shared" si="15"/>
        <v>78.284941673620295</v>
      </c>
      <c r="Y35">
        <f t="shared" si="16"/>
        <v>563.30333726497997</v>
      </c>
      <c r="Z35">
        <f t="shared" si="17"/>
        <v>0.11281686338422001</v>
      </c>
      <c r="AA35">
        <f t="shared" si="18"/>
        <v>1.56786956255506E-2</v>
      </c>
      <c r="AE35" t="e">
        <f>Reflection!Y35</f>
        <v>#REF!</v>
      </c>
      <c r="AF35" t="e">
        <f>IMDIV(IMPRODUCT(IMSUB(C35,V35),IMSUB(Reflection!AB35,Reflection!D35),IMSUB(Reflection!L35,Reflection!T35)),IMPRODUCT(IMSUB(Permitivity!M35,Permitivity!V35),IMSUB(Reflection!AB35,Reflection!L35),IMSUB(Reflection!D35,Reflection!T35)))</f>
        <v>#REF!</v>
      </c>
      <c r="AG35" t="e">
        <f t="shared" si="19"/>
        <v>#REF!</v>
      </c>
      <c r="AH35" t="e">
        <f t="shared" si="0"/>
        <v>#REF!</v>
      </c>
      <c r="AI35" t="e">
        <f t="shared" si="20"/>
        <v>#REF!</v>
      </c>
      <c r="AJ35" t="e">
        <f t="shared" si="21"/>
        <v>#REF!</v>
      </c>
      <c r="AK35" t="e">
        <f t="shared" si="22"/>
        <v>#REF!</v>
      </c>
      <c r="AL35" t="e">
        <f t="shared" si="23"/>
        <v>#REF!</v>
      </c>
    </row>
    <row r="36" spans="2:38" x14ac:dyDescent="0.15">
      <c r="B36" t="e">
        <f>Experiment!#REF!</f>
        <v>#REF!</v>
      </c>
      <c r="C36" t="e">
        <f t="shared" si="1"/>
        <v>#REF!</v>
      </c>
      <c r="D36" t="e">
        <f t="shared" si="2"/>
        <v>#REF!</v>
      </c>
      <c r="E36" t="e">
        <f t="shared" si="3"/>
        <v>#REF!</v>
      </c>
      <c r="F36" t="e">
        <f t="shared" si="4"/>
        <v>#REF!</v>
      </c>
      <c r="G36" t="e">
        <f t="shared" si="5"/>
        <v>#REF!</v>
      </c>
      <c r="H36" t="e">
        <f t="shared" si="6"/>
        <v>#REF!</v>
      </c>
      <c r="L36" t="e">
        <f>Reflection!I36</f>
        <v>#REF!</v>
      </c>
      <c r="M36" t="e">
        <f t="shared" si="7"/>
        <v>#REF!</v>
      </c>
      <c r="N36" t="e">
        <f t="shared" si="8"/>
        <v>#REF!</v>
      </c>
      <c r="O36" t="e">
        <f t="shared" si="9"/>
        <v>#REF!</v>
      </c>
      <c r="P36" t="e">
        <f t="shared" si="10"/>
        <v>#REF!</v>
      </c>
      <c r="Q36" t="e">
        <f t="shared" si="11"/>
        <v>#REF!</v>
      </c>
      <c r="R36" t="e">
        <f t="shared" si="12"/>
        <v>#REF!</v>
      </c>
      <c r="U36">
        <f>Reflection!Q36</f>
        <v>3800000</v>
      </c>
      <c r="V36" t="str">
        <f t="shared" si="13"/>
        <v>78.2849404181284-533.657271123681i</v>
      </c>
      <c r="W36" t="str">
        <f t="shared" si="14"/>
        <v>0.112817175823243+0.0165497340059987i</v>
      </c>
      <c r="X36">
        <f t="shared" si="15"/>
        <v>78.2849404181284</v>
      </c>
      <c r="Y36">
        <f t="shared" si="16"/>
        <v>533.65727112368097</v>
      </c>
      <c r="Z36">
        <f t="shared" si="17"/>
        <v>0.11281717582324299</v>
      </c>
      <c r="AA36">
        <f t="shared" si="18"/>
        <v>1.6549734005998702E-2</v>
      </c>
      <c r="AE36" t="e">
        <f>Reflection!Y36</f>
        <v>#REF!</v>
      </c>
      <c r="AF36" t="e">
        <f>IMDIV(IMPRODUCT(IMSUB(C36,V36),IMSUB(Reflection!AB36,Reflection!D36),IMSUB(Reflection!L36,Reflection!T36)),IMPRODUCT(IMSUB(Permitivity!M36,Permitivity!V36),IMSUB(Reflection!AB36,Reflection!L36),IMSUB(Reflection!D36,Reflection!T36)))</f>
        <v>#REF!</v>
      </c>
      <c r="AG36" t="e">
        <f t="shared" si="19"/>
        <v>#REF!</v>
      </c>
      <c r="AH36" t="e">
        <f t="shared" si="0"/>
        <v>#REF!</v>
      </c>
      <c r="AI36" t="e">
        <f t="shared" si="20"/>
        <v>#REF!</v>
      </c>
      <c r="AJ36" t="e">
        <f t="shared" si="21"/>
        <v>#REF!</v>
      </c>
      <c r="AK36" t="e">
        <f t="shared" si="22"/>
        <v>#REF!</v>
      </c>
      <c r="AL36" t="e">
        <f t="shared" si="23"/>
        <v>#REF!</v>
      </c>
    </row>
    <row r="37" spans="2:38" x14ac:dyDescent="0.15">
      <c r="B37" t="e">
        <f>Experiment!#REF!</f>
        <v>#REF!</v>
      </c>
      <c r="C37" t="e">
        <f t="shared" si="1"/>
        <v>#REF!</v>
      </c>
      <c r="D37" t="e">
        <f t="shared" si="2"/>
        <v>#REF!</v>
      </c>
      <c r="E37" t="e">
        <f t="shared" si="3"/>
        <v>#REF!</v>
      </c>
      <c r="F37" t="e">
        <f t="shared" si="4"/>
        <v>#REF!</v>
      </c>
      <c r="G37" t="e">
        <f t="shared" si="5"/>
        <v>#REF!</v>
      </c>
      <c r="H37" t="e">
        <f t="shared" si="6"/>
        <v>#REF!</v>
      </c>
      <c r="L37" t="e">
        <f>Reflection!I37</f>
        <v>#REF!</v>
      </c>
      <c r="M37" t="e">
        <f t="shared" si="7"/>
        <v>#REF!</v>
      </c>
      <c r="N37" t="e">
        <f t="shared" si="8"/>
        <v>#REF!</v>
      </c>
      <c r="O37" t="e">
        <f t="shared" si="9"/>
        <v>#REF!</v>
      </c>
      <c r="P37" t="e">
        <f t="shared" si="10"/>
        <v>#REF!</v>
      </c>
      <c r="Q37" t="e">
        <f t="shared" si="11"/>
        <v>#REF!</v>
      </c>
      <c r="R37" t="e">
        <f t="shared" si="12"/>
        <v>#REF!</v>
      </c>
      <c r="U37">
        <f>Reflection!Q37</f>
        <v>3900000</v>
      </c>
      <c r="V37" t="str">
        <f t="shared" si="13"/>
        <v>78.2849397845061-519.974500531888i</v>
      </c>
      <c r="W37" t="str">
        <f t="shared" si="14"/>
        <v>0.112817338370756+0.0169852531844709i</v>
      </c>
      <c r="X37">
        <f t="shared" si="15"/>
        <v>78.284939784506093</v>
      </c>
      <c r="Y37">
        <f t="shared" si="16"/>
        <v>519.974500531888</v>
      </c>
      <c r="Z37">
        <f t="shared" si="17"/>
        <v>0.112817338370756</v>
      </c>
      <c r="AA37">
        <f t="shared" si="18"/>
        <v>1.6985253184470899E-2</v>
      </c>
      <c r="AE37" t="e">
        <f>Reflection!Y37</f>
        <v>#REF!</v>
      </c>
      <c r="AF37" t="e">
        <f>IMDIV(IMPRODUCT(IMSUB(C37,V37),IMSUB(Reflection!AB37,Reflection!D37),IMSUB(Reflection!L37,Reflection!T37)),IMPRODUCT(IMSUB(Permitivity!M37,Permitivity!V37),IMSUB(Reflection!AB37,Reflection!L37),IMSUB(Reflection!D37,Reflection!T37)))</f>
        <v>#REF!</v>
      </c>
      <c r="AG37" t="e">
        <f t="shared" si="19"/>
        <v>#REF!</v>
      </c>
      <c r="AH37" t="e">
        <f t="shared" si="0"/>
        <v>#REF!</v>
      </c>
      <c r="AI37" t="e">
        <f t="shared" si="20"/>
        <v>#REF!</v>
      </c>
      <c r="AJ37" t="e">
        <f t="shared" si="21"/>
        <v>#REF!</v>
      </c>
      <c r="AK37" t="e">
        <f t="shared" si="22"/>
        <v>#REF!</v>
      </c>
      <c r="AL37" t="e">
        <f t="shared" si="23"/>
        <v>#REF!</v>
      </c>
    </row>
    <row r="38" spans="2:38" x14ac:dyDescent="0.15">
      <c r="B38" t="e">
        <f>Experiment!#REF!</f>
        <v>#REF!</v>
      </c>
      <c r="C38" t="e">
        <f t="shared" si="1"/>
        <v>#REF!</v>
      </c>
      <c r="D38" t="e">
        <f t="shared" si="2"/>
        <v>#REF!</v>
      </c>
      <c r="E38" t="e">
        <f t="shared" si="3"/>
        <v>#REF!</v>
      </c>
      <c r="F38" t="e">
        <f t="shared" si="4"/>
        <v>#REF!</v>
      </c>
      <c r="G38" t="e">
        <f t="shared" si="5"/>
        <v>#REF!</v>
      </c>
      <c r="H38" t="e">
        <f t="shared" si="6"/>
        <v>#REF!</v>
      </c>
      <c r="L38" t="e">
        <f>Reflection!I38</f>
        <v>#REF!</v>
      </c>
      <c r="M38" t="e">
        <f t="shared" si="7"/>
        <v>#REF!</v>
      </c>
      <c r="N38" t="e">
        <f t="shared" si="8"/>
        <v>#REF!</v>
      </c>
      <c r="O38" t="e">
        <f t="shared" si="9"/>
        <v>#REF!</v>
      </c>
      <c r="P38" t="e">
        <f t="shared" si="10"/>
        <v>#REF!</v>
      </c>
      <c r="Q38" t="e">
        <f t="shared" si="11"/>
        <v>#REF!</v>
      </c>
      <c r="R38" t="e">
        <f t="shared" si="12"/>
        <v>#REF!</v>
      </c>
      <c r="U38">
        <f>Reflection!Q38</f>
        <v>4099999.9999999995</v>
      </c>
      <c r="V38" t="str">
        <f t="shared" si="13"/>
        <v>78.2849385055081-494.61137150434i</v>
      </c>
      <c r="W38" t="str">
        <f t="shared" si="14"/>
        <v>0.112817676121343+0.0178562915175843i</v>
      </c>
      <c r="X38">
        <f t="shared" si="15"/>
        <v>78.284938505508094</v>
      </c>
      <c r="Y38">
        <f t="shared" si="16"/>
        <v>494.61137150434001</v>
      </c>
      <c r="Z38">
        <f t="shared" si="17"/>
        <v>0.112817676121343</v>
      </c>
      <c r="AA38">
        <f t="shared" si="18"/>
        <v>1.7856291517584302E-2</v>
      </c>
      <c r="AE38" t="e">
        <f>Reflection!Y38</f>
        <v>#REF!</v>
      </c>
      <c r="AF38" t="e">
        <f>IMDIV(IMPRODUCT(IMSUB(C38,V38),IMSUB(Reflection!AB38,Reflection!D38),IMSUB(Reflection!L38,Reflection!T38)),IMPRODUCT(IMSUB(Permitivity!M38,Permitivity!V38),IMSUB(Reflection!AB38,Reflection!L38),IMSUB(Reflection!D38,Reflection!T38)))</f>
        <v>#REF!</v>
      </c>
      <c r="AG38" t="e">
        <f t="shared" si="19"/>
        <v>#REF!</v>
      </c>
      <c r="AH38" t="e">
        <f t="shared" si="0"/>
        <v>#REF!</v>
      </c>
      <c r="AI38" t="e">
        <f t="shared" si="20"/>
        <v>#REF!</v>
      </c>
      <c r="AJ38" t="e">
        <f t="shared" si="21"/>
        <v>#REF!</v>
      </c>
      <c r="AK38" t="e">
        <f t="shared" si="22"/>
        <v>#REF!</v>
      </c>
      <c r="AL38" t="e">
        <f t="shared" si="23"/>
        <v>#REF!</v>
      </c>
    </row>
    <row r="39" spans="2:38" x14ac:dyDescent="0.15">
      <c r="B39" t="e">
        <f>Experiment!#REF!</f>
        <v>#REF!</v>
      </c>
      <c r="C39" t="e">
        <f t="shared" si="1"/>
        <v>#REF!</v>
      </c>
      <c r="D39" t="e">
        <f t="shared" si="2"/>
        <v>#REF!</v>
      </c>
      <c r="E39" t="e">
        <f t="shared" si="3"/>
        <v>#REF!</v>
      </c>
      <c r="F39" t="e">
        <f t="shared" si="4"/>
        <v>#REF!</v>
      </c>
      <c r="G39" t="e">
        <f t="shared" si="5"/>
        <v>#REF!</v>
      </c>
      <c r="H39" t="e">
        <f t="shared" si="6"/>
        <v>#REF!</v>
      </c>
      <c r="L39" t="e">
        <f>Reflection!I39</f>
        <v>#REF!</v>
      </c>
      <c r="M39" t="e">
        <f t="shared" si="7"/>
        <v>#REF!</v>
      </c>
      <c r="N39" t="e">
        <f t="shared" si="8"/>
        <v>#REF!</v>
      </c>
      <c r="O39" t="e">
        <f t="shared" si="9"/>
        <v>#REF!</v>
      </c>
      <c r="P39" t="e">
        <f t="shared" si="10"/>
        <v>#REF!</v>
      </c>
      <c r="Q39" t="e">
        <f t="shared" si="11"/>
        <v>#REF!</v>
      </c>
      <c r="R39" t="e">
        <f t="shared" si="12"/>
        <v>#REF!</v>
      </c>
      <c r="U39">
        <f>Reflection!Q39</f>
        <v>4300000</v>
      </c>
      <c r="V39" t="str">
        <f t="shared" si="13"/>
        <v>78.2849372108399-471.60767385208i</v>
      </c>
      <c r="W39" t="str">
        <f t="shared" si="14"/>
        <v>0.112818030745443+0.0187273298184875i</v>
      </c>
      <c r="X39">
        <f t="shared" si="15"/>
        <v>78.2849372108399</v>
      </c>
      <c r="Y39">
        <f t="shared" si="16"/>
        <v>471.60767385207998</v>
      </c>
      <c r="Z39">
        <f t="shared" si="17"/>
        <v>0.112818030745443</v>
      </c>
      <c r="AA39">
        <f t="shared" si="18"/>
        <v>1.8727329818487501E-2</v>
      </c>
      <c r="AE39" t="e">
        <f>Reflection!Y39</f>
        <v>#REF!</v>
      </c>
      <c r="AF39" t="e">
        <f>IMDIV(IMPRODUCT(IMSUB(C39,V39),IMSUB(Reflection!AB39,Reflection!D39),IMSUB(Reflection!L39,Reflection!T39)),IMPRODUCT(IMSUB(Permitivity!M39,Permitivity!V39),IMSUB(Reflection!AB39,Reflection!L39),IMSUB(Reflection!D39,Reflection!T39)))</f>
        <v>#REF!</v>
      </c>
      <c r="AG39" t="e">
        <f t="shared" si="19"/>
        <v>#REF!</v>
      </c>
      <c r="AH39" t="e">
        <f t="shared" si="0"/>
        <v>#REF!</v>
      </c>
      <c r="AI39" t="e">
        <f t="shared" si="20"/>
        <v>#REF!</v>
      </c>
      <c r="AJ39" t="e">
        <f t="shared" si="21"/>
        <v>#REF!</v>
      </c>
      <c r="AK39" t="e">
        <f t="shared" si="22"/>
        <v>#REF!</v>
      </c>
      <c r="AL39" t="e">
        <f t="shared" si="23"/>
        <v>#REF!</v>
      </c>
    </row>
    <row r="40" spans="2:38" x14ac:dyDescent="0.15">
      <c r="B40" t="e">
        <f>Experiment!#REF!</f>
        <v>#REF!</v>
      </c>
      <c r="C40" t="e">
        <f t="shared" si="1"/>
        <v>#REF!</v>
      </c>
      <c r="D40" t="e">
        <f t="shared" si="2"/>
        <v>#REF!</v>
      </c>
      <c r="E40" t="e">
        <f t="shared" si="3"/>
        <v>#REF!</v>
      </c>
      <c r="F40" t="e">
        <f t="shared" si="4"/>
        <v>#REF!</v>
      </c>
      <c r="G40" t="e">
        <f t="shared" si="5"/>
        <v>#REF!</v>
      </c>
      <c r="H40" t="e">
        <f t="shared" si="6"/>
        <v>#REF!</v>
      </c>
      <c r="L40" t="e">
        <f>Reflection!I40</f>
        <v>#REF!</v>
      </c>
      <c r="M40" t="e">
        <f t="shared" si="7"/>
        <v>#REF!</v>
      </c>
      <c r="N40" t="e">
        <f t="shared" si="8"/>
        <v>#REF!</v>
      </c>
      <c r="O40" t="e">
        <f t="shared" si="9"/>
        <v>#REF!</v>
      </c>
      <c r="P40" t="e">
        <f t="shared" si="10"/>
        <v>#REF!</v>
      </c>
      <c r="Q40" t="e">
        <f t="shared" si="11"/>
        <v>#REF!</v>
      </c>
      <c r="R40" t="e">
        <f t="shared" si="12"/>
        <v>#REF!</v>
      </c>
      <c r="U40">
        <f>Reflection!Q40</f>
        <v>4400000</v>
      </c>
      <c r="V40" t="str">
        <f t="shared" si="13"/>
        <v>78.2849365576287-460.890067840196i</v>
      </c>
      <c r="W40" t="str">
        <f t="shared" si="14"/>
        <v>0.112818214384855+0.0191628489566967i</v>
      </c>
      <c r="X40">
        <f t="shared" si="15"/>
        <v>78.284936557628697</v>
      </c>
      <c r="Y40">
        <f t="shared" si="16"/>
        <v>460.89006784019602</v>
      </c>
      <c r="Z40">
        <f t="shared" si="17"/>
        <v>0.112818214384855</v>
      </c>
      <c r="AA40">
        <f t="shared" si="18"/>
        <v>1.9162848956696701E-2</v>
      </c>
      <c r="AE40" t="e">
        <f>Reflection!Y40</f>
        <v>#REF!</v>
      </c>
      <c r="AF40" t="e">
        <f>IMDIV(IMPRODUCT(IMSUB(C40,V40),IMSUB(Reflection!AB40,Reflection!D40),IMSUB(Reflection!L40,Reflection!T40)),IMPRODUCT(IMSUB(Permitivity!M40,Permitivity!V40),IMSUB(Reflection!AB40,Reflection!L40),IMSUB(Reflection!D40,Reflection!T40)))</f>
        <v>#REF!</v>
      </c>
      <c r="AG40" t="e">
        <f t="shared" si="19"/>
        <v>#REF!</v>
      </c>
      <c r="AH40" t="e">
        <f t="shared" si="0"/>
        <v>#REF!</v>
      </c>
      <c r="AI40" t="e">
        <f t="shared" si="20"/>
        <v>#REF!</v>
      </c>
      <c r="AJ40" t="e">
        <f t="shared" si="21"/>
        <v>#REF!</v>
      </c>
      <c r="AK40" t="e">
        <f t="shared" si="22"/>
        <v>#REF!</v>
      </c>
      <c r="AL40" t="e">
        <f t="shared" si="23"/>
        <v>#REF!</v>
      </c>
    </row>
    <row r="41" spans="2:38" x14ac:dyDescent="0.15">
      <c r="B41" t="e">
        <f>Experiment!#REF!</f>
        <v>#REF!</v>
      </c>
      <c r="C41" t="e">
        <f t="shared" si="1"/>
        <v>#REF!</v>
      </c>
      <c r="D41" t="e">
        <f t="shared" si="2"/>
        <v>#REF!</v>
      </c>
      <c r="E41" t="e">
        <f t="shared" si="3"/>
        <v>#REF!</v>
      </c>
      <c r="F41" t="e">
        <f t="shared" si="4"/>
        <v>#REF!</v>
      </c>
      <c r="G41" t="e">
        <f t="shared" si="5"/>
        <v>#REF!</v>
      </c>
      <c r="H41" t="e">
        <f t="shared" si="6"/>
        <v>#REF!</v>
      </c>
      <c r="L41" t="e">
        <f>Reflection!I41</f>
        <v>#REF!</v>
      </c>
      <c r="M41" t="e">
        <f t="shared" si="7"/>
        <v>#REF!</v>
      </c>
      <c r="N41" t="e">
        <f t="shared" si="8"/>
        <v>#REF!</v>
      </c>
      <c r="O41" t="e">
        <f t="shared" si="9"/>
        <v>#REF!</v>
      </c>
      <c r="P41" t="e">
        <f t="shared" si="10"/>
        <v>#REF!</v>
      </c>
      <c r="Q41" t="e">
        <f t="shared" si="11"/>
        <v>#REF!</v>
      </c>
      <c r="R41" t="e">
        <f t="shared" si="12"/>
        <v>#REF!</v>
      </c>
      <c r="U41">
        <f>Reflection!Q41</f>
        <v>4600000</v>
      </c>
      <c r="V41" t="str">
        <f t="shared" si="13"/>
        <v>78.2849352394525-440.852853875061i</v>
      </c>
      <c r="W41" t="str">
        <f t="shared" si="14"/>
        <v>0.112818594318011+0.0200338872083031i</v>
      </c>
      <c r="X41">
        <f t="shared" si="15"/>
        <v>78.284935239452494</v>
      </c>
      <c r="Y41">
        <f t="shared" si="16"/>
        <v>440.85285387506099</v>
      </c>
      <c r="Z41">
        <f t="shared" si="17"/>
        <v>0.112818594318011</v>
      </c>
      <c r="AA41">
        <f t="shared" si="18"/>
        <v>2.0033887208303101E-2</v>
      </c>
      <c r="AE41" t="e">
        <f>Reflection!Y41</f>
        <v>#REF!</v>
      </c>
      <c r="AF41" t="e">
        <f>IMDIV(IMPRODUCT(IMSUB(C41,V41),IMSUB(Reflection!AB41,Reflection!D41),IMSUB(Reflection!L41,Reflection!T41)),IMPRODUCT(IMSUB(Permitivity!M41,Permitivity!V41),IMSUB(Reflection!AB41,Reflection!L41),IMSUB(Reflection!D41,Reflection!T41)))</f>
        <v>#REF!</v>
      </c>
      <c r="AG41" t="e">
        <f t="shared" si="19"/>
        <v>#REF!</v>
      </c>
      <c r="AH41" t="e">
        <f t="shared" si="0"/>
        <v>#REF!</v>
      </c>
      <c r="AI41" t="e">
        <f t="shared" si="20"/>
        <v>#REF!</v>
      </c>
      <c r="AJ41" t="e">
        <f t="shared" si="21"/>
        <v>#REF!</v>
      </c>
      <c r="AK41" t="e">
        <f t="shared" si="22"/>
        <v>#REF!</v>
      </c>
      <c r="AL41" t="e">
        <f t="shared" si="23"/>
        <v>#REF!</v>
      </c>
    </row>
    <row r="42" spans="2:38" x14ac:dyDescent="0.15">
      <c r="B42" t="e">
        <f>Experiment!#REF!</f>
        <v>#REF!</v>
      </c>
      <c r="C42" t="e">
        <f t="shared" si="1"/>
        <v>#REF!</v>
      </c>
      <c r="D42" t="e">
        <f t="shared" si="2"/>
        <v>#REF!</v>
      </c>
      <c r="E42" t="e">
        <f t="shared" si="3"/>
        <v>#REF!</v>
      </c>
      <c r="F42" t="e">
        <f t="shared" si="4"/>
        <v>#REF!</v>
      </c>
      <c r="G42" t="e">
        <f t="shared" si="5"/>
        <v>#REF!</v>
      </c>
      <c r="H42" t="e">
        <f t="shared" si="6"/>
        <v>#REF!</v>
      </c>
      <c r="L42" t="e">
        <f>Reflection!I42</f>
        <v>#REF!</v>
      </c>
      <c r="M42" t="e">
        <f t="shared" si="7"/>
        <v>#REF!</v>
      </c>
      <c r="N42" t="e">
        <f t="shared" si="8"/>
        <v>#REF!</v>
      </c>
      <c r="O42" t="e">
        <f t="shared" si="9"/>
        <v>#REF!</v>
      </c>
      <c r="P42" t="e">
        <f t="shared" si="10"/>
        <v>#REF!</v>
      </c>
      <c r="Q42" t="e">
        <f t="shared" si="11"/>
        <v>#REF!</v>
      </c>
      <c r="R42" t="e">
        <f t="shared" si="12"/>
        <v>#REF!</v>
      </c>
      <c r="U42">
        <f>Reflection!Q42</f>
        <v>4800000</v>
      </c>
      <c r="V42" t="str">
        <f t="shared" si="13"/>
        <v>78.2849339056046-422.485470922518i</v>
      </c>
      <c r="W42" t="str">
        <f t="shared" si="14"/>
        <v>0.112818991123102+0.0209049254263913i</v>
      </c>
      <c r="X42">
        <f t="shared" si="15"/>
        <v>78.284933905604603</v>
      </c>
      <c r="Y42">
        <f t="shared" si="16"/>
        <v>422.485470922518</v>
      </c>
      <c r="Z42">
        <f t="shared" si="17"/>
        <v>0.11281899112310199</v>
      </c>
      <c r="AA42">
        <f t="shared" si="18"/>
        <v>2.0904925426391299E-2</v>
      </c>
      <c r="AE42" t="e">
        <f>Reflection!Y42</f>
        <v>#REF!</v>
      </c>
      <c r="AF42" t="e">
        <f>IMDIV(IMPRODUCT(IMSUB(C42,V42),IMSUB(Reflection!AB42,Reflection!D42),IMSUB(Reflection!L42,Reflection!T42)),IMPRODUCT(IMSUB(Permitivity!M42,Permitivity!V42),IMSUB(Reflection!AB42,Reflection!L42),IMSUB(Reflection!D42,Reflection!T42)))</f>
        <v>#REF!</v>
      </c>
      <c r="AG42" t="e">
        <f t="shared" si="19"/>
        <v>#REF!</v>
      </c>
      <c r="AH42" t="e">
        <f t="shared" si="0"/>
        <v>#REF!</v>
      </c>
      <c r="AI42" t="e">
        <f t="shared" si="20"/>
        <v>#REF!</v>
      </c>
      <c r="AJ42" t="e">
        <f t="shared" si="21"/>
        <v>#REF!</v>
      </c>
      <c r="AK42" t="e">
        <f t="shared" si="22"/>
        <v>#REF!</v>
      </c>
      <c r="AL42" t="e">
        <f t="shared" si="23"/>
        <v>#REF!</v>
      </c>
    </row>
    <row r="43" spans="2:38" x14ac:dyDescent="0.15">
      <c r="B43" t="e">
        <f>Experiment!#REF!</f>
        <v>#REF!</v>
      </c>
      <c r="C43" t="e">
        <f t="shared" si="1"/>
        <v>#REF!</v>
      </c>
      <c r="D43" t="e">
        <f t="shared" si="2"/>
        <v>#REF!</v>
      </c>
      <c r="E43" t="e">
        <f t="shared" si="3"/>
        <v>#REF!</v>
      </c>
      <c r="F43" t="e">
        <f t="shared" si="4"/>
        <v>#REF!</v>
      </c>
      <c r="G43" t="e">
        <f t="shared" si="5"/>
        <v>#REF!</v>
      </c>
      <c r="H43" t="e">
        <f t="shared" si="6"/>
        <v>#REF!</v>
      </c>
      <c r="L43" t="e">
        <f>Reflection!I43</f>
        <v>#REF!</v>
      </c>
      <c r="M43" t="e">
        <f t="shared" si="7"/>
        <v>#REF!</v>
      </c>
      <c r="N43" t="e">
        <f t="shared" si="8"/>
        <v>#REF!</v>
      </c>
      <c r="O43" t="e">
        <f t="shared" si="9"/>
        <v>#REF!</v>
      </c>
      <c r="P43" t="e">
        <f t="shared" si="10"/>
        <v>#REF!</v>
      </c>
      <c r="Q43" t="e">
        <f t="shared" si="11"/>
        <v>#REF!</v>
      </c>
      <c r="R43" t="e">
        <f t="shared" si="12"/>
        <v>#REF!</v>
      </c>
      <c r="U43">
        <f>Reflection!Q43</f>
        <v>5000000</v>
      </c>
      <c r="V43" t="str">
        <f t="shared" si="13"/>
        <v>78.2849325560837-405.587539258961i</v>
      </c>
      <c r="W43" t="str">
        <f t="shared" si="14"/>
        <v>0.112819404799547+0.0217759636104376i</v>
      </c>
      <c r="X43">
        <f t="shared" si="15"/>
        <v>78.284932556083703</v>
      </c>
      <c r="Y43">
        <f t="shared" si="16"/>
        <v>405.58753925896099</v>
      </c>
      <c r="Z43">
        <f t="shared" si="17"/>
        <v>0.112819404799547</v>
      </c>
      <c r="AA43">
        <f t="shared" si="18"/>
        <v>2.1775963610437599E-2</v>
      </c>
      <c r="AE43" t="e">
        <f>Reflection!Y43</f>
        <v>#REF!</v>
      </c>
      <c r="AF43" t="e">
        <f>IMDIV(IMPRODUCT(IMSUB(C43,V43),IMSUB(Reflection!AB43,Reflection!D43),IMSUB(Reflection!L43,Reflection!T43)),IMPRODUCT(IMSUB(Permitivity!M43,Permitivity!V43),IMSUB(Reflection!AB43,Reflection!L43),IMSUB(Reflection!D43,Reflection!T43)))</f>
        <v>#REF!</v>
      </c>
      <c r="AG43" t="e">
        <f t="shared" si="19"/>
        <v>#REF!</v>
      </c>
      <c r="AH43" t="e">
        <f t="shared" si="0"/>
        <v>#REF!</v>
      </c>
      <c r="AI43" t="e">
        <f t="shared" si="20"/>
        <v>#REF!</v>
      </c>
      <c r="AJ43" t="e">
        <f t="shared" si="21"/>
        <v>#REF!</v>
      </c>
      <c r="AK43" t="e">
        <f t="shared" si="22"/>
        <v>#REF!</v>
      </c>
      <c r="AL43" t="e">
        <f t="shared" si="23"/>
        <v>#REF!</v>
      </c>
    </row>
    <row r="44" spans="2:38" x14ac:dyDescent="0.15">
      <c r="B44" t="e">
        <f>Experiment!#REF!</f>
        <v>#REF!</v>
      </c>
      <c r="C44" t="e">
        <f t="shared" si="1"/>
        <v>#REF!</v>
      </c>
      <c r="D44" t="e">
        <f t="shared" si="2"/>
        <v>#REF!</v>
      </c>
      <c r="E44" t="e">
        <f t="shared" si="3"/>
        <v>#REF!</v>
      </c>
      <c r="F44" t="e">
        <f t="shared" si="4"/>
        <v>#REF!</v>
      </c>
      <c r="G44" t="e">
        <f t="shared" si="5"/>
        <v>#REF!</v>
      </c>
      <c r="H44" t="e">
        <f t="shared" si="6"/>
        <v>#REF!</v>
      </c>
      <c r="L44" t="e">
        <f>Reflection!I44</f>
        <v>#REF!</v>
      </c>
      <c r="M44" t="e">
        <f t="shared" si="7"/>
        <v>#REF!</v>
      </c>
      <c r="N44" t="e">
        <f t="shared" si="8"/>
        <v>#REF!</v>
      </c>
      <c r="O44" t="e">
        <f t="shared" si="9"/>
        <v>#REF!</v>
      </c>
      <c r="P44" t="e">
        <f t="shared" si="10"/>
        <v>#REF!</v>
      </c>
      <c r="Q44" t="e">
        <f t="shared" si="11"/>
        <v>#REF!</v>
      </c>
      <c r="R44" t="e">
        <f t="shared" si="12"/>
        <v>#REF!</v>
      </c>
      <c r="U44">
        <f>Reflection!Q44</f>
        <v>5200000</v>
      </c>
      <c r="V44" t="str">
        <f t="shared" si="13"/>
        <v>78.2849311908896-389.989506810648i</v>
      </c>
      <c r="W44" t="str">
        <f t="shared" si="14"/>
        <v>0.112819835346786+0.0226470017599189i</v>
      </c>
      <c r="X44">
        <f t="shared" si="15"/>
        <v>78.284931190889594</v>
      </c>
      <c r="Y44">
        <f t="shared" si="16"/>
        <v>389.98950681064798</v>
      </c>
      <c r="Z44">
        <f t="shared" si="17"/>
        <v>0.112819835346786</v>
      </c>
      <c r="AA44">
        <f t="shared" si="18"/>
        <v>2.2647001759918899E-2</v>
      </c>
      <c r="AE44" t="e">
        <f>Reflection!Y44</f>
        <v>#REF!</v>
      </c>
      <c r="AF44" t="e">
        <f>IMDIV(IMPRODUCT(IMSUB(C44,V44),IMSUB(Reflection!AB44,Reflection!D44),IMSUB(Reflection!L44,Reflection!T44)),IMPRODUCT(IMSUB(Permitivity!M44,Permitivity!V44),IMSUB(Reflection!AB44,Reflection!L44),IMSUB(Reflection!D44,Reflection!T44)))</f>
        <v>#REF!</v>
      </c>
      <c r="AG44" t="e">
        <f t="shared" si="19"/>
        <v>#REF!</v>
      </c>
      <c r="AH44" t="e">
        <f t="shared" si="0"/>
        <v>#REF!</v>
      </c>
      <c r="AI44" t="e">
        <f t="shared" si="20"/>
        <v>#REF!</v>
      </c>
      <c r="AJ44" t="e">
        <f t="shared" si="21"/>
        <v>#REF!</v>
      </c>
      <c r="AK44" t="e">
        <f t="shared" si="22"/>
        <v>#REF!</v>
      </c>
      <c r="AL44" t="e">
        <f t="shared" si="23"/>
        <v>#REF!</v>
      </c>
    </row>
    <row r="45" spans="2:38" x14ac:dyDescent="0.15">
      <c r="B45" t="e">
        <f>Experiment!#REF!</f>
        <v>#REF!</v>
      </c>
      <c r="C45" t="e">
        <f t="shared" si="1"/>
        <v>#REF!</v>
      </c>
      <c r="D45" t="e">
        <f t="shared" si="2"/>
        <v>#REF!</v>
      </c>
      <c r="E45" t="e">
        <f t="shared" si="3"/>
        <v>#REF!</v>
      </c>
      <c r="F45" t="e">
        <f t="shared" si="4"/>
        <v>#REF!</v>
      </c>
      <c r="G45" t="e">
        <f t="shared" si="5"/>
        <v>#REF!</v>
      </c>
      <c r="H45" t="e">
        <f t="shared" si="6"/>
        <v>#REF!</v>
      </c>
      <c r="L45" t="e">
        <f>Reflection!I45</f>
        <v>#REF!</v>
      </c>
      <c r="M45" t="e">
        <f t="shared" si="7"/>
        <v>#REF!</v>
      </c>
      <c r="N45" t="e">
        <f t="shared" si="8"/>
        <v>#REF!</v>
      </c>
      <c r="O45" t="e">
        <f t="shared" si="9"/>
        <v>#REF!</v>
      </c>
      <c r="P45" t="e">
        <f t="shared" si="10"/>
        <v>#REF!</v>
      </c>
      <c r="Q45" t="e">
        <f t="shared" si="11"/>
        <v>#REF!</v>
      </c>
      <c r="R45" t="e">
        <f t="shared" si="12"/>
        <v>#REF!</v>
      </c>
      <c r="U45">
        <f>Reflection!Q45</f>
        <v>5400000</v>
      </c>
      <c r="V45" t="str">
        <f t="shared" si="13"/>
        <v>78.2849298100231-375.546940329655i</v>
      </c>
      <c r="W45" t="str">
        <f t="shared" si="14"/>
        <v>0.112820282764282+0.0235180398743123i</v>
      </c>
      <c r="X45">
        <f t="shared" si="15"/>
        <v>78.284929810023101</v>
      </c>
      <c r="Y45">
        <f t="shared" si="16"/>
        <v>375.546940329655</v>
      </c>
      <c r="Z45">
        <f t="shared" si="17"/>
        <v>0.11282028276428201</v>
      </c>
      <c r="AA45">
        <f t="shared" si="18"/>
        <v>2.3518039874312301E-2</v>
      </c>
      <c r="AE45" t="e">
        <f>Reflection!Y45</f>
        <v>#REF!</v>
      </c>
      <c r="AF45" t="e">
        <f>IMDIV(IMPRODUCT(IMSUB(C45,V45),IMSUB(Reflection!AB45,Reflection!D45),IMSUB(Reflection!L45,Reflection!T45)),IMPRODUCT(IMSUB(Permitivity!M45,Permitivity!V45),IMSUB(Reflection!AB45,Reflection!L45),IMSUB(Reflection!D45,Reflection!T45)))</f>
        <v>#REF!</v>
      </c>
      <c r="AG45" t="e">
        <f t="shared" si="19"/>
        <v>#REF!</v>
      </c>
      <c r="AH45" t="e">
        <f t="shared" si="0"/>
        <v>#REF!</v>
      </c>
      <c r="AI45" t="e">
        <f t="shared" si="20"/>
        <v>#REF!</v>
      </c>
      <c r="AJ45" t="e">
        <f t="shared" si="21"/>
        <v>#REF!</v>
      </c>
      <c r="AK45" t="e">
        <f t="shared" si="22"/>
        <v>#REF!</v>
      </c>
      <c r="AL45" t="e">
        <f t="shared" si="23"/>
        <v>#REF!</v>
      </c>
    </row>
    <row r="46" spans="2:38" x14ac:dyDescent="0.15">
      <c r="B46" t="e">
        <f>Experiment!#REF!</f>
        <v>#REF!</v>
      </c>
      <c r="C46" t="e">
        <f t="shared" si="1"/>
        <v>#REF!</v>
      </c>
      <c r="D46" t="e">
        <f t="shared" si="2"/>
        <v>#REF!</v>
      </c>
      <c r="E46" t="e">
        <f t="shared" si="3"/>
        <v>#REF!</v>
      </c>
      <c r="F46" t="e">
        <f t="shared" si="4"/>
        <v>#REF!</v>
      </c>
      <c r="G46" t="e">
        <f t="shared" si="5"/>
        <v>#REF!</v>
      </c>
      <c r="H46" t="e">
        <f t="shared" si="6"/>
        <v>#REF!</v>
      </c>
      <c r="L46" t="e">
        <f>Reflection!I46</f>
        <v>#REF!</v>
      </c>
      <c r="M46" t="e">
        <f t="shared" si="7"/>
        <v>#REF!</v>
      </c>
      <c r="N46" t="e">
        <f t="shared" si="8"/>
        <v>#REF!</v>
      </c>
      <c r="O46" t="e">
        <f t="shared" si="9"/>
        <v>#REF!</v>
      </c>
      <c r="P46" t="e">
        <f t="shared" si="10"/>
        <v>#REF!</v>
      </c>
      <c r="Q46" t="e">
        <f t="shared" si="11"/>
        <v>#REF!</v>
      </c>
      <c r="R46" t="e">
        <f t="shared" si="12"/>
        <v>#REF!</v>
      </c>
      <c r="U46">
        <f>Reflection!Q46</f>
        <v>5600000</v>
      </c>
      <c r="V46" t="str">
        <f t="shared" si="13"/>
        <v>78.2849284134832-362.136039889248i</v>
      </c>
      <c r="W46" t="str">
        <f t="shared" si="14"/>
        <v>0.112820747051517+0.0243890779530942i</v>
      </c>
      <c r="X46">
        <f t="shared" si="15"/>
        <v>78.2849284134832</v>
      </c>
      <c r="Y46">
        <f t="shared" si="16"/>
        <v>362.13603988924802</v>
      </c>
      <c r="Z46">
        <f t="shared" si="17"/>
        <v>0.112820747051517</v>
      </c>
      <c r="AA46">
        <f t="shared" si="18"/>
        <v>2.4389077953094199E-2</v>
      </c>
      <c r="AE46" t="e">
        <f>Reflection!Y46</f>
        <v>#REF!</v>
      </c>
      <c r="AF46" t="e">
        <f>IMDIV(IMPRODUCT(IMSUB(C46,V46),IMSUB(Reflection!AB46,Reflection!D46),IMSUB(Reflection!L46,Reflection!T46)),IMPRODUCT(IMSUB(Permitivity!M46,Permitivity!V46),IMSUB(Reflection!AB46,Reflection!L46),IMSUB(Reflection!D46,Reflection!T46)))</f>
        <v>#REF!</v>
      </c>
      <c r="AG46" t="e">
        <f t="shared" si="19"/>
        <v>#REF!</v>
      </c>
      <c r="AH46" t="e">
        <f t="shared" si="0"/>
        <v>#REF!</v>
      </c>
      <c r="AI46" t="e">
        <f t="shared" si="20"/>
        <v>#REF!</v>
      </c>
      <c r="AJ46" t="e">
        <f t="shared" si="21"/>
        <v>#REF!</v>
      </c>
      <c r="AK46" t="e">
        <f t="shared" si="22"/>
        <v>#REF!</v>
      </c>
      <c r="AL46" t="e">
        <f t="shared" si="23"/>
        <v>#REF!</v>
      </c>
    </row>
    <row r="47" spans="2:38" x14ac:dyDescent="0.15">
      <c r="B47" t="e">
        <f>Experiment!#REF!</f>
        <v>#REF!</v>
      </c>
      <c r="C47" t="e">
        <f t="shared" si="1"/>
        <v>#REF!</v>
      </c>
      <c r="D47" t="e">
        <f t="shared" si="2"/>
        <v>#REF!</v>
      </c>
      <c r="E47" t="e">
        <f t="shared" si="3"/>
        <v>#REF!</v>
      </c>
      <c r="F47" t="e">
        <f t="shared" si="4"/>
        <v>#REF!</v>
      </c>
      <c r="G47" t="e">
        <f t="shared" si="5"/>
        <v>#REF!</v>
      </c>
      <c r="H47" t="e">
        <f t="shared" si="6"/>
        <v>#REF!</v>
      </c>
      <c r="L47" t="e">
        <f>Reflection!I47</f>
        <v>#REF!</v>
      </c>
      <c r="M47" t="e">
        <f t="shared" si="7"/>
        <v>#REF!</v>
      </c>
      <c r="N47" t="e">
        <f t="shared" si="8"/>
        <v>#REF!</v>
      </c>
      <c r="O47" t="e">
        <f t="shared" si="9"/>
        <v>#REF!</v>
      </c>
      <c r="P47" t="e">
        <f t="shared" si="10"/>
        <v>#REF!</v>
      </c>
      <c r="Q47" t="e">
        <f t="shared" si="11"/>
        <v>#REF!</v>
      </c>
      <c r="R47" t="e">
        <f t="shared" si="12"/>
        <v>#REF!</v>
      </c>
      <c r="U47">
        <f>Reflection!Q47</f>
        <v>5900000</v>
      </c>
      <c r="V47" t="str">
        <f t="shared" si="13"/>
        <v>78.2849262892858-343.724561072064i</v>
      </c>
      <c r="W47" t="str">
        <f t="shared" si="14"/>
        <v>0.112821475112045+0.0256956350033514i</v>
      </c>
      <c r="X47">
        <f t="shared" si="15"/>
        <v>78.284926289285806</v>
      </c>
      <c r="Y47">
        <f t="shared" si="16"/>
        <v>343.72456107206398</v>
      </c>
      <c r="Z47">
        <f t="shared" si="17"/>
        <v>0.112821475112045</v>
      </c>
      <c r="AA47">
        <f t="shared" si="18"/>
        <v>2.56956350033514E-2</v>
      </c>
      <c r="AE47" t="e">
        <f>Reflection!Y47</f>
        <v>#REF!</v>
      </c>
      <c r="AF47" t="e">
        <f>IMDIV(IMPRODUCT(IMSUB(C47,V47),IMSUB(Reflection!AB47,Reflection!D47),IMSUB(Reflection!L47,Reflection!T47)),IMPRODUCT(IMSUB(Permitivity!M47,Permitivity!V47),IMSUB(Reflection!AB47,Reflection!L47),IMSUB(Reflection!D47,Reflection!T47)))</f>
        <v>#REF!</v>
      </c>
      <c r="AG47" t="e">
        <f t="shared" si="19"/>
        <v>#REF!</v>
      </c>
      <c r="AH47" t="e">
        <f t="shared" si="0"/>
        <v>#REF!</v>
      </c>
      <c r="AI47" t="e">
        <f t="shared" si="20"/>
        <v>#REF!</v>
      </c>
      <c r="AJ47" t="e">
        <f t="shared" si="21"/>
        <v>#REF!</v>
      </c>
      <c r="AK47" t="e">
        <f t="shared" si="22"/>
        <v>#REF!</v>
      </c>
      <c r="AL47" t="e">
        <f t="shared" si="23"/>
        <v>#REF!</v>
      </c>
    </row>
    <row r="48" spans="2:38" x14ac:dyDescent="0.15">
      <c r="B48" t="e">
        <f>Experiment!#REF!</f>
        <v>#REF!</v>
      </c>
      <c r="C48" t="e">
        <f t="shared" si="1"/>
        <v>#REF!</v>
      </c>
      <c r="D48" t="e">
        <f t="shared" si="2"/>
        <v>#REF!</v>
      </c>
      <c r="E48" t="e">
        <f t="shared" si="3"/>
        <v>#REF!</v>
      </c>
      <c r="F48" t="e">
        <f t="shared" si="4"/>
        <v>#REF!</v>
      </c>
      <c r="G48" t="e">
        <f t="shared" si="5"/>
        <v>#REF!</v>
      </c>
      <c r="H48" t="e">
        <f t="shared" si="6"/>
        <v>#REF!</v>
      </c>
      <c r="L48" t="e">
        <f>Reflection!I48</f>
        <v>#REF!</v>
      </c>
      <c r="M48" t="e">
        <f t="shared" si="7"/>
        <v>#REF!</v>
      </c>
      <c r="N48" t="e">
        <f t="shared" si="8"/>
        <v>#REF!</v>
      </c>
      <c r="O48" t="e">
        <f t="shared" si="9"/>
        <v>#REF!</v>
      </c>
      <c r="P48" t="e">
        <f t="shared" si="10"/>
        <v>#REF!</v>
      </c>
      <c r="Q48" t="e">
        <f t="shared" si="11"/>
        <v>#REF!</v>
      </c>
      <c r="R48" t="e">
        <f t="shared" si="12"/>
        <v>#REF!</v>
      </c>
      <c r="U48">
        <f>Reflection!Q48</f>
        <v>6100000</v>
      </c>
      <c r="V48" t="str">
        <f t="shared" si="13"/>
        <v>78.2849248535627-332.456395733366i</v>
      </c>
      <c r="W48" t="str">
        <f t="shared" si="14"/>
        <v>0.112821981571484+0.0265666729908161i</v>
      </c>
      <c r="X48">
        <f t="shared" si="15"/>
        <v>78.2849248535627</v>
      </c>
      <c r="Y48">
        <f t="shared" si="16"/>
        <v>332.45639573336598</v>
      </c>
      <c r="Z48">
        <f t="shared" si="17"/>
        <v>0.112821981571484</v>
      </c>
      <c r="AA48">
        <f t="shared" si="18"/>
        <v>2.6566672990816099E-2</v>
      </c>
      <c r="AE48" t="e">
        <f>Reflection!Y48</f>
        <v>#REF!</v>
      </c>
      <c r="AF48" t="e">
        <f>IMDIV(IMPRODUCT(IMSUB(C48,V48),IMSUB(Reflection!AB48,Reflection!D48),IMSUB(Reflection!L48,Reflection!T48)),IMPRODUCT(IMSUB(Permitivity!M48,Permitivity!V48),IMSUB(Reflection!AB48,Reflection!L48),IMSUB(Reflection!D48,Reflection!T48)))</f>
        <v>#REF!</v>
      </c>
      <c r="AG48" t="e">
        <f t="shared" si="19"/>
        <v>#REF!</v>
      </c>
      <c r="AH48" t="e">
        <f t="shared" si="0"/>
        <v>#REF!</v>
      </c>
      <c r="AI48" t="e">
        <f t="shared" si="20"/>
        <v>#REF!</v>
      </c>
      <c r="AJ48" t="e">
        <f t="shared" si="21"/>
        <v>#REF!</v>
      </c>
      <c r="AK48" t="e">
        <f t="shared" si="22"/>
        <v>#REF!</v>
      </c>
      <c r="AL48" t="e">
        <f t="shared" si="23"/>
        <v>#REF!</v>
      </c>
    </row>
    <row r="49" spans="2:38" x14ac:dyDescent="0.15">
      <c r="B49" t="e">
        <f>Experiment!#REF!</f>
        <v>#REF!</v>
      </c>
      <c r="C49" t="e">
        <f t="shared" si="1"/>
        <v>#REF!</v>
      </c>
      <c r="D49" t="e">
        <f t="shared" si="2"/>
        <v>#REF!</v>
      </c>
      <c r="E49" t="e">
        <f t="shared" si="3"/>
        <v>#REF!</v>
      </c>
      <c r="F49" t="e">
        <f t="shared" si="4"/>
        <v>#REF!</v>
      </c>
      <c r="G49" t="e">
        <f t="shared" si="5"/>
        <v>#REF!</v>
      </c>
      <c r="H49" t="e">
        <f t="shared" si="6"/>
        <v>#REF!</v>
      </c>
      <c r="L49" t="e">
        <f>Reflection!I49</f>
        <v>#REF!</v>
      </c>
      <c r="M49" t="e">
        <f t="shared" si="7"/>
        <v>#REF!</v>
      </c>
      <c r="N49" t="e">
        <f t="shared" si="8"/>
        <v>#REF!</v>
      </c>
      <c r="O49" t="e">
        <f t="shared" si="9"/>
        <v>#REF!</v>
      </c>
      <c r="P49" t="e">
        <f t="shared" si="10"/>
        <v>#REF!</v>
      </c>
      <c r="Q49" t="e">
        <f t="shared" si="11"/>
        <v>#REF!</v>
      </c>
      <c r="R49" t="e">
        <f t="shared" si="12"/>
        <v>#REF!</v>
      </c>
      <c r="U49">
        <f>Reflection!Q49</f>
        <v>6400000</v>
      </c>
      <c r="V49" t="str">
        <f t="shared" si="13"/>
        <v>78.28492267059-316.874724680107i</v>
      </c>
      <c r="W49" t="str">
        <f t="shared" si="14"/>
        <v>0.112822772888133+0.0278732299016449i</v>
      </c>
      <c r="X49">
        <f t="shared" si="15"/>
        <v>78.284922670590007</v>
      </c>
      <c r="Y49">
        <f t="shared" si="16"/>
        <v>316.87472468010702</v>
      </c>
      <c r="Z49">
        <f t="shared" si="17"/>
        <v>0.112822772888133</v>
      </c>
      <c r="AA49">
        <f t="shared" si="18"/>
        <v>2.78732299016449E-2</v>
      </c>
      <c r="AE49" t="e">
        <f>Reflection!Y49</f>
        <v>#REF!</v>
      </c>
      <c r="AF49" t="e">
        <f>IMDIV(IMPRODUCT(IMSUB(C49,V49),IMSUB(Reflection!AB49,Reflection!D49),IMSUB(Reflection!L49,Reflection!T49)),IMPRODUCT(IMSUB(Permitivity!M49,Permitivity!V49),IMSUB(Reflection!AB49,Reflection!L49),IMSUB(Reflection!D49,Reflection!T49)))</f>
        <v>#REF!</v>
      </c>
      <c r="AG49" t="e">
        <f t="shared" si="19"/>
        <v>#REF!</v>
      </c>
      <c r="AH49" t="e">
        <f t="shared" si="0"/>
        <v>#REF!</v>
      </c>
      <c r="AI49" t="e">
        <f t="shared" si="20"/>
        <v>#REF!</v>
      </c>
      <c r="AJ49" t="e">
        <f t="shared" si="21"/>
        <v>#REF!</v>
      </c>
      <c r="AK49" t="e">
        <f t="shared" si="22"/>
        <v>#REF!</v>
      </c>
      <c r="AL49" t="e">
        <f t="shared" si="23"/>
        <v>#REF!</v>
      </c>
    </row>
    <row r="50" spans="2:38" x14ac:dyDescent="0.15">
      <c r="B50" t="e">
        <f>Experiment!#REF!</f>
        <v>#REF!</v>
      </c>
      <c r="C50" t="e">
        <f t="shared" si="1"/>
        <v>#REF!</v>
      </c>
      <c r="D50" t="e">
        <f t="shared" si="2"/>
        <v>#REF!</v>
      </c>
      <c r="E50" t="e">
        <f t="shared" si="3"/>
        <v>#REF!</v>
      </c>
      <c r="F50" t="e">
        <f t="shared" si="4"/>
        <v>#REF!</v>
      </c>
      <c r="G50" t="e">
        <f t="shared" si="5"/>
        <v>#REF!</v>
      </c>
      <c r="H50" t="e">
        <f t="shared" si="6"/>
        <v>#REF!</v>
      </c>
      <c r="L50" t="e">
        <f>Reflection!I50</f>
        <v>#REF!</v>
      </c>
      <c r="M50" t="e">
        <f t="shared" si="7"/>
        <v>#REF!</v>
      </c>
      <c r="N50" t="e">
        <f t="shared" si="8"/>
        <v>#REF!</v>
      </c>
      <c r="O50" t="e">
        <f t="shared" si="9"/>
        <v>#REF!</v>
      </c>
      <c r="P50" t="e">
        <f t="shared" si="10"/>
        <v>#REF!</v>
      </c>
      <c r="Q50" t="e">
        <f t="shared" si="11"/>
        <v>#REF!</v>
      </c>
      <c r="R50" t="e">
        <f t="shared" si="12"/>
        <v>#REF!</v>
      </c>
      <c r="U50">
        <f>Reflection!Q50</f>
        <v>6600000</v>
      </c>
      <c r="V50" t="str">
        <f t="shared" si="13"/>
        <v>78.2849211956832-307.273954484598i</v>
      </c>
      <c r="W50" t="str">
        <f t="shared" si="14"/>
        <v>0.112823321516918+0.0287442677945223i</v>
      </c>
      <c r="X50">
        <f t="shared" si="15"/>
        <v>78.284921195683197</v>
      </c>
      <c r="Y50">
        <f t="shared" si="16"/>
        <v>307.27395448459799</v>
      </c>
      <c r="Z50">
        <f t="shared" si="17"/>
        <v>0.112823321516918</v>
      </c>
      <c r="AA50">
        <f t="shared" si="18"/>
        <v>2.8744267794522299E-2</v>
      </c>
      <c r="AE50" t="e">
        <f>Reflection!Y50</f>
        <v>#REF!</v>
      </c>
      <c r="AF50" t="e">
        <f>IMDIV(IMPRODUCT(IMSUB(C50,V50),IMSUB(Reflection!AB50,Reflection!D50),IMSUB(Reflection!L50,Reflection!T50)),IMPRODUCT(IMSUB(Permitivity!M50,Permitivity!V50),IMSUB(Reflection!AB50,Reflection!L50),IMSUB(Reflection!D50,Reflection!T50)))</f>
        <v>#REF!</v>
      </c>
      <c r="AG50" t="e">
        <f t="shared" si="19"/>
        <v>#REF!</v>
      </c>
      <c r="AH50" t="e">
        <f t="shared" si="0"/>
        <v>#REF!</v>
      </c>
      <c r="AI50" t="e">
        <f t="shared" si="20"/>
        <v>#REF!</v>
      </c>
      <c r="AJ50" t="e">
        <f t="shared" si="21"/>
        <v>#REF!</v>
      </c>
      <c r="AK50" t="e">
        <f t="shared" si="22"/>
        <v>#REF!</v>
      </c>
      <c r="AL50" t="e">
        <f t="shared" si="23"/>
        <v>#REF!</v>
      </c>
    </row>
    <row r="51" spans="2:38" x14ac:dyDescent="0.15">
      <c r="B51" t="e">
        <f>Experiment!#REF!</f>
        <v>#REF!</v>
      </c>
      <c r="C51" t="e">
        <f t="shared" si="1"/>
        <v>#REF!</v>
      </c>
      <c r="D51" t="e">
        <f t="shared" si="2"/>
        <v>#REF!</v>
      </c>
      <c r="E51" t="e">
        <f t="shared" si="3"/>
        <v>#REF!</v>
      </c>
      <c r="F51" t="e">
        <f t="shared" si="4"/>
        <v>#REF!</v>
      </c>
      <c r="G51" t="e">
        <f t="shared" si="5"/>
        <v>#REF!</v>
      </c>
      <c r="H51" t="e">
        <f t="shared" si="6"/>
        <v>#REF!</v>
      </c>
      <c r="L51" t="e">
        <f>Reflection!I51</f>
        <v>#REF!</v>
      </c>
      <c r="M51" t="e">
        <f t="shared" si="7"/>
        <v>#REF!</v>
      </c>
      <c r="N51" t="e">
        <f t="shared" si="8"/>
        <v>#REF!</v>
      </c>
      <c r="O51" t="e">
        <f t="shared" si="9"/>
        <v>#REF!</v>
      </c>
      <c r="P51" t="e">
        <f t="shared" si="10"/>
        <v>#REF!</v>
      </c>
      <c r="Q51" t="e">
        <f t="shared" si="11"/>
        <v>#REF!</v>
      </c>
      <c r="R51" t="e">
        <f t="shared" si="12"/>
        <v>#REF!</v>
      </c>
      <c r="U51">
        <f>Reflection!Q51</f>
        <v>6900000</v>
      </c>
      <c r="V51" t="str">
        <f t="shared" si="13"/>
        <v>78.2849189539362-293.916443556118i</v>
      </c>
      <c r="W51" t="str">
        <f t="shared" si="14"/>
        <v>0.112824176085568+0.0300508245610183i</v>
      </c>
      <c r="X51">
        <f t="shared" si="15"/>
        <v>78.284918953936199</v>
      </c>
      <c r="Y51">
        <f t="shared" si="16"/>
        <v>293.916443556118</v>
      </c>
      <c r="Z51">
        <f t="shared" si="17"/>
        <v>0.112824176085568</v>
      </c>
      <c r="AA51">
        <f t="shared" si="18"/>
        <v>3.0050824561018302E-2</v>
      </c>
      <c r="AE51" t="e">
        <f>Reflection!Y51</f>
        <v>#REF!</v>
      </c>
      <c r="AF51" t="e">
        <f>IMDIV(IMPRODUCT(IMSUB(C51,V51),IMSUB(Reflection!AB51,Reflection!D51),IMSUB(Reflection!L51,Reflection!T51)),IMPRODUCT(IMSUB(Permitivity!M51,Permitivity!V51),IMSUB(Reflection!AB51,Reflection!L51),IMSUB(Reflection!D51,Reflection!T51)))</f>
        <v>#REF!</v>
      </c>
      <c r="AG51" t="e">
        <f t="shared" si="19"/>
        <v>#REF!</v>
      </c>
      <c r="AH51" t="e">
        <f t="shared" si="0"/>
        <v>#REF!</v>
      </c>
      <c r="AI51" t="e">
        <f t="shared" si="20"/>
        <v>#REF!</v>
      </c>
      <c r="AJ51" t="e">
        <f t="shared" si="21"/>
        <v>#REF!</v>
      </c>
      <c r="AK51" t="e">
        <f t="shared" si="22"/>
        <v>#REF!</v>
      </c>
      <c r="AL51" t="e">
        <f t="shared" si="23"/>
        <v>#REF!</v>
      </c>
    </row>
    <row r="52" spans="2:38" x14ac:dyDescent="0.15">
      <c r="B52" t="e">
        <f>Experiment!#REF!</f>
        <v>#REF!</v>
      </c>
      <c r="C52" t="e">
        <f t="shared" si="1"/>
        <v>#REF!</v>
      </c>
      <c r="D52" t="e">
        <f t="shared" si="2"/>
        <v>#REF!</v>
      </c>
      <c r="E52" t="e">
        <f t="shared" si="3"/>
        <v>#REF!</v>
      </c>
      <c r="F52" t="e">
        <f t="shared" si="4"/>
        <v>#REF!</v>
      </c>
      <c r="G52" t="e">
        <f t="shared" si="5"/>
        <v>#REF!</v>
      </c>
      <c r="H52" t="e">
        <f t="shared" si="6"/>
        <v>#REF!</v>
      </c>
      <c r="L52" t="e">
        <f>Reflection!I52</f>
        <v>#REF!</v>
      </c>
      <c r="M52" t="e">
        <f t="shared" si="7"/>
        <v>#REF!</v>
      </c>
      <c r="N52" t="e">
        <f t="shared" si="8"/>
        <v>#REF!</v>
      </c>
      <c r="O52" t="e">
        <f t="shared" si="9"/>
        <v>#REF!</v>
      </c>
      <c r="P52" t="e">
        <f t="shared" si="10"/>
        <v>#REF!</v>
      </c>
      <c r="Q52" t="e">
        <f t="shared" si="11"/>
        <v>#REF!</v>
      </c>
      <c r="R52" t="e">
        <f t="shared" si="12"/>
        <v>#REF!</v>
      </c>
      <c r="U52">
        <f>Reflection!Q52</f>
        <v>7200000</v>
      </c>
      <c r="V52" t="str">
        <f t="shared" si="13"/>
        <v>78.284916676924-281.672153280372i</v>
      </c>
      <c r="W52" t="str">
        <f t="shared" si="14"/>
        <v>0.112825068603571+0.0313573812385601i</v>
      </c>
      <c r="X52">
        <f t="shared" si="15"/>
        <v>78.284916676923999</v>
      </c>
      <c r="Y52">
        <f t="shared" si="16"/>
        <v>281.67215328037202</v>
      </c>
      <c r="Z52">
        <f t="shared" si="17"/>
        <v>0.112825068603571</v>
      </c>
      <c r="AA52">
        <f t="shared" si="18"/>
        <v>3.1357381238560099E-2</v>
      </c>
      <c r="AE52" t="e">
        <f>Reflection!Y52</f>
        <v>#REF!</v>
      </c>
      <c r="AF52" t="e">
        <f>IMDIV(IMPRODUCT(IMSUB(C52,V52),IMSUB(Reflection!AB52,Reflection!D52),IMSUB(Reflection!L52,Reflection!T52)),IMPRODUCT(IMSUB(Permitivity!M52,Permitivity!V52),IMSUB(Reflection!AB52,Reflection!L52),IMSUB(Reflection!D52,Reflection!T52)))</f>
        <v>#REF!</v>
      </c>
      <c r="AG52" t="e">
        <f t="shared" si="19"/>
        <v>#REF!</v>
      </c>
      <c r="AH52" t="e">
        <f t="shared" si="0"/>
        <v>#REF!</v>
      </c>
      <c r="AI52" t="e">
        <f t="shared" si="20"/>
        <v>#REF!</v>
      </c>
      <c r="AJ52" t="e">
        <f t="shared" si="21"/>
        <v>#REF!</v>
      </c>
      <c r="AK52" t="e">
        <f t="shared" si="22"/>
        <v>#REF!</v>
      </c>
      <c r="AL52" t="e">
        <f t="shared" si="23"/>
        <v>#REF!</v>
      </c>
    </row>
    <row r="53" spans="2:38" x14ac:dyDescent="0.15">
      <c r="B53" t="e">
        <f>Experiment!#REF!</f>
        <v>#REF!</v>
      </c>
      <c r="C53" t="e">
        <f t="shared" si="1"/>
        <v>#REF!</v>
      </c>
      <c r="D53" t="e">
        <f t="shared" si="2"/>
        <v>#REF!</v>
      </c>
      <c r="E53" t="e">
        <f t="shared" si="3"/>
        <v>#REF!</v>
      </c>
      <c r="F53" t="e">
        <f t="shared" si="4"/>
        <v>#REF!</v>
      </c>
      <c r="G53" t="e">
        <f t="shared" si="5"/>
        <v>#REF!</v>
      </c>
      <c r="H53" t="e">
        <f t="shared" si="6"/>
        <v>#REF!</v>
      </c>
      <c r="L53" t="e">
        <f>Reflection!I53</f>
        <v>#REF!</v>
      </c>
      <c r="M53" t="e">
        <f t="shared" si="7"/>
        <v>#REF!</v>
      </c>
      <c r="N53" t="e">
        <f t="shared" si="8"/>
        <v>#REF!</v>
      </c>
      <c r="O53" t="e">
        <f t="shared" si="9"/>
        <v>#REF!</v>
      </c>
      <c r="P53" t="e">
        <f t="shared" si="10"/>
        <v>#REF!</v>
      </c>
      <c r="Q53" t="e">
        <f t="shared" si="11"/>
        <v>#REF!</v>
      </c>
      <c r="R53" t="e">
        <f t="shared" si="12"/>
        <v>#REF!</v>
      </c>
      <c r="U53">
        <f>Reflection!Q53</f>
        <v>7500000</v>
      </c>
      <c r="V53" t="str">
        <f t="shared" si="13"/>
        <v>78.2849143646469-270.407497175883i</v>
      </c>
      <c r="W53" t="str">
        <f t="shared" si="14"/>
        <v>0.112825999069612+0.0326639378253823i</v>
      </c>
      <c r="X53">
        <f t="shared" si="15"/>
        <v>78.284914364646895</v>
      </c>
      <c r="Y53">
        <f t="shared" si="16"/>
        <v>270.40749717588301</v>
      </c>
      <c r="Z53">
        <f t="shared" si="17"/>
        <v>0.11282599906961201</v>
      </c>
      <c r="AA53">
        <f t="shared" si="18"/>
        <v>3.2663937825382301E-2</v>
      </c>
      <c r="AE53" t="e">
        <f>Reflection!Y53</f>
        <v>#REF!</v>
      </c>
      <c r="AF53" t="e">
        <f>IMDIV(IMPRODUCT(IMSUB(C53,V53),IMSUB(Reflection!AB53,Reflection!D53),IMSUB(Reflection!L53,Reflection!T53)),IMPRODUCT(IMSUB(Permitivity!M53,Permitivity!V53),IMSUB(Reflection!AB53,Reflection!L53),IMSUB(Reflection!D53,Reflection!T53)))</f>
        <v>#REF!</v>
      </c>
      <c r="AG53" t="e">
        <f t="shared" si="19"/>
        <v>#REF!</v>
      </c>
      <c r="AH53" t="e">
        <f t="shared" si="0"/>
        <v>#REF!</v>
      </c>
      <c r="AI53" t="e">
        <f t="shared" si="20"/>
        <v>#REF!</v>
      </c>
      <c r="AJ53" t="e">
        <f t="shared" si="21"/>
        <v>#REF!</v>
      </c>
      <c r="AK53" t="e">
        <f t="shared" si="22"/>
        <v>#REF!</v>
      </c>
      <c r="AL53" t="e">
        <f t="shared" si="23"/>
        <v>#REF!</v>
      </c>
    </row>
    <row r="54" spans="2:38" x14ac:dyDescent="0.15">
      <c r="B54" t="e">
        <f>Experiment!#REF!</f>
        <v>#REF!</v>
      </c>
      <c r="C54" t="e">
        <f t="shared" si="1"/>
        <v>#REF!</v>
      </c>
      <c r="D54" t="e">
        <f t="shared" si="2"/>
        <v>#REF!</v>
      </c>
      <c r="E54" t="e">
        <f t="shared" si="3"/>
        <v>#REF!</v>
      </c>
      <c r="F54" t="e">
        <f t="shared" si="4"/>
        <v>#REF!</v>
      </c>
      <c r="G54" t="e">
        <f t="shared" si="5"/>
        <v>#REF!</v>
      </c>
      <c r="H54" t="e">
        <f t="shared" si="6"/>
        <v>#REF!</v>
      </c>
      <c r="L54" t="e">
        <f>Reflection!I54</f>
        <v>#REF!</v>
      </c>
      <c r="M54" t="e">
        <f t="shared" si="7"/>
        <v>#REF!</v>
      </c>
      <c r="N54" t="e">
        <f t="shared" si="8"/>
        <v>#REF!</v>
      </c>
      <c r="O54" t="e">
        <f t="shared" si="9"/>
        <v>#REF!</v>
      </c>
      <c r="P54" t="e">
        <f t="shared" si="10"/>
        <v>#REF!</v>
      </c>
      <c r="Q54" t="e">
        <f t="shared" si="11"/>
        <v>#REF!</v>
      </c>
      <c r="R54" t="e">
        <f t="shared" si="12"/>
        <v>#REF!</v>
      </c>
      <c r="U54">
        <f>Reflection!Q54</f>
        <v>7800000</v>
      </c>
      <c r="V54" t="str">
        <f t="shared" si="13"/>
        <v>78.2849120171066-260.009440527674i</v>
      </c>
      <c r="W54" t="str">
        <f t="shared" si="14"/>
        <v>0.112826967482428+0.0339704943197197i</v>
      </c>
      <c r="X54">
        <f t="shared" si="15"/>
        <v>78.284912017106606</v>
      </c>
      <c r="Y54">
        <f t="shared" si="16"/>
        <v>260.00944052767397</v>
      </c>
      <c r="Z54">
        <f t="shared" si="17"/>
        <v>0.112826967482428</v>
      </c>
      <c r="AA54">
        <f t="shared" si="18"/>
        <v>3.3970494319719699E-2</v>
      </c>
      <c r="AE54" t="e">
        <f>Reflection!Y54</f>
        <v>#REF!</v>
      </c>
      <c r="AF54" t="e">
        <f>IMDIV(IMPRODUCT(IMSUB(C54,V54),IMSUB(Reflection!AB54,Reflection!D54),IMSUB(Reflection!L54,Reflection!T54)),IMPRODUCT(IMSUB(Permitivity!M54,Permitivity!V54),IMSUB(Reflection!AB54,Reflection!L54),IMSUB(Reflection!D54,Reflection!T54)))</f>
        <v>#REF!</v>
      </c>
      <c r="AG54" t="e">
        <f t="shared" si="19"/>
        <v>#REF!</v>
      </c>
      <c r="AH54" t="e">
        <f t="shared" si="0"/>
        <v>#REF!</v>
      </c>
      <c r="AI54" t="e">
        <f t="shared" si="20"/>
        <v>#REF!</v>
      </c>
      <c r="AJ54" t="e">
        <f t="shared" si="21"/>
        <v>#REF!</v>
      </c>
      <c r="AK54" t="e">
        <f t="shared" si="22"/>
        <v>#REF!</v>
      </c>
      <c r="AL54" t="e">
        <f t="shared" si="23"/>
        <v>#REF!</v>
      </c>
    </row>
    <row r="55" spans="2:38" x14ac:dyDescent="0.15">
      <c r="B55" t="e">
        <f>Experiment!#REF!</f>
        <v>#REF!</v>
      </c>
      <c r="C55" t="e">
        <f t="shared" si="1"/>
        <v>#REF!</v>
      </c>
      <c r="D55" t="e">
        <f t="shared" si="2"/>
        <v>#REF!</v>
      </c>
      <c r="E55" t="e">
        <f t="shared" si="3"/>
        <v>#REF!</v>
      </c>
      <c r="F55" t="e">
        <f t="shared" si="4"/>
        <v>#REF!</v>
      </c>
      <c r="G55" t="e">
        <f t="shared" si="5"/>
        <v>#REF!</v>
      </c>
      <c r="H55" t="e">
        <f t="shared" si="6"/>
        <v>#REF!</v>
      </c>
      <c r="L55" t="e">
        <f>Reflection!I55</f>
        <v>#REF!</v>
      </c>
      <c r="M55" t="e">
        <f t="shared" si="7"/>
        <v>#REF!</v>
      </c>
      <c r="N55" t="e">
        <f t="shared" si="8"/>
        <v>#REF!</v>
      </c>
      <c r="O55" t="e">
        <f t="shared" si="9"/>
        <v>#REF!</v>
      </c>
      <c r="P55" t="e">
        <f t="shared" si="10"/>
        <v>#REF!</v>
      </c>
      <c r="Q55" t="e">
        <f t="shared" si="11"/>
        <v>#REF!</v>
      </c>
      <c r="R55" t="e">
        <f t="shared" si="12"/>
        <v>#REF!</v>
      </c>
      <c r="U55">
        <f>Reflection!Q55</f>
        <v>8100000</v>
      </c>
      <c r="V55" t="str">
        <f t="shared" si="13"/>
        <v>78.2849096343024-250.381694504582i</v>
      </c>
      <c r="W55" t="str">
        <f t="shared" si="14"/>
        <v>0.11282797384081+0.0352770507198066i</v>
      </c>
      <c r="X55">
        <f t="shared" si="15"/>
        <v>78.284909634302394</v>
      </c>
      <c r="Y55">
        <f t="shared" si="16"/>
        <v>250.38169450458199</v>
      </c>
      <c r="Z55">
        <f t="shared" si="17"/>
        <v>0.11282797384081</v>
      </c>
      <c r="AA55">
        <f t="shared" si="18"/>
        <v>3.5277050719806601E-2</v>
      </c>
      <c r="AE55" t="e">
        <f>Reflection!Y55</f>
        <v>#REF!</v>
      </c>
      <c r="AF55" t="e">
        <f>IMDIV(IMPRODUCT(IMSUB(C55,V55),IMSUB(Reflection!AB55,Reflection!D55),IMSUB(Reflection!L55,Reflection!T55)),IMPRODUCT(IMSUB(Permitivity!M55,Permitivity!V55),IMSUB(Reflection!AB55,Reflection!L55),IMSUB(Reflection!D55,Reflection!T55)))</f>
        <v>#REF!</v>
      </c>
      <c r="AG55" t="e">
        <f t="shared" si="19"/>
        <v>#REF!</v>
      </c>
      <c r="AH55" t="e">
        <f t="shared" si="0"/>
        <v>#REF!</v>
      </c>
      <c r="AI55" t="e">
        <f t="shared" si="20"/>
        <v>#REF!</v>
      </c>
      <c r="AJ55" t="e">
        <f t="shared" si="21"/>
        <v>#REF!</v>
      </c>
      <c r="AK55" t="e">
        <f t="shared" si="22"/>
        <v>#REF!</v>
      </c>
      <c r="AL55" t="e">
        <f t="shared" si="23"/>
        <v>#REF!</v>
      </c>
    </row>
    <row r="56" spans="2:38" x14ac:dyDescent="0.15">
      <c r="B56" t="e">
        <f>Experiment!#REF!</f>
        <v>#REF!</v>
      </c>
      <c r="C56" t="e">
        <f t="shared" si="1"/>
        <v>#REF!</v>
      </c>
      <c r="D56" t="e">
        <f t="shared" si="2"/>
        <v>#REF!</v>
      </c>
      <c r="E56" t="e">
        <f t="shared" si="3"/>
        <v>#REF!</v>
      </c>
      <c r="F56" t="e">
        <f t="shared" si="4"/>
        <v>#REF!</v>
      </c>
      <c r="G56" t="e">
        <f t="shared" si="5"/>
        <v>#REF!</v>
      </c>
      <c r="H56" t="e">
        <f t="shared" si="6"/>
        <v>#REF!</v>
      </c>
      <c r="L56" t="e">
        <f>Reflection!I56</f>
        <v>#REF!</v>
      </c>
      <c r="M56" t="e">
        <f t="shared" si="7"/>
        <v>#REF!</v>
      </c>
      <c r="N56" t="e">
        <f t="shared" si="8"/>
        <v>#REF!</v>
      </c>
      <c r="O56" t="e">
        <f t="shared" si="9"/>
        <v>#REF!</v>
      </c>
      <c r="P56" t="e">
        <f t="shared" si="10"/>
        <v>#REF!</v>
      </c>
      <c r="Q56" t="e">
        <f t="shared" si="11"/>
        <v>#REF!</v>
      </c>
      <c r="R56" t="e">
        <f t="shared" si="12"/>
        <v>#REF!</v>
      </c>
      <c r="U56">
        <f>Reflection!Q56</f>
        <v>8400000</v>
      </c>
      <c r="V56" t="str">
        <f t="shared" si="13"/>
        <v>78.2849072162349-241.441725822846i</v>
      </c>
      <c r="W56" t="str">
        <f t="shared" si="14"/>
        <v>0.112829018143589+0.0365836070238775i</v>
      </c>
      <c r="X56">
        <f t="shared" si="15"/>
        <v>78.284907216234899</v>
      </c>
      <c r="Y56">
        <f t="shared" si="16"/>
        <v>241.441725822846</v>
      </c>
      <c r="Z56">
        <f t="shared" si="17"/>
        <v>0.112829018143589</v>
      </c>
      <c r="AA56">
        <f t="shared" si="18"/>
        <v>3.6583607023877501E-2</v>
      </c>
      <c r="AE56" t="e">
        <f>Reflection!Y56</f>
        <v>#REF!</v>
      </c>
      <c r="AF56" t="e">
        <f>IMDIV(IMPRODUCT(IMSUB(C56,V56),IMSUB(Reflection!AB56,Reflection!D56),IMSUB(Reflection!L56,Reflection!T56)),IMPRODUCT(IMSUB(Permitivity!M56,Permitivity!V56),IMSUB(Reflection!AB56,Reflection!L56),IMSUB(Reflection!D56,Reflection!T56)))</f>
        <v>#REF!</v>
      </c>
      <c r="AG56" t="e">
        <f t="shared" si="19"/>
        <v>#REF!</v>
      </c>
      <c r="AH56" t="e">
        <f t="shared" si="0"/>
        <v>#REF!</v>
      </c>
      <c r="AI56" t="e">
        <f t="shared" si="20"/>
        <v>#REF!</v>
      </c>
      <c r="AJ56" t="e">
        <f t="shared" si="21"/>
        <v>#REF!</v>
      </c>
      <c r="AK56" t="e">
        <f t="shared" si="22"/>
        <v>#REF!</v>
      </c>
      <c r="AL56" t="e">
        <f t="shared" si="23"/>
        <v>#REF!</v>
      </c>
    </row>
    <row r="57" spans="2:38" x14ac:dyDescent="0.15">
      <c r="B57" t="e">
        <f>Experiment!#REF!</f>
        <v>#REF!</v>
      </c>
      <c r="C57" t="e">
        <f t="shared" si="1"/>
        <v>#REF!</v>
      </c>
      <c r="D57" t="e">
        <f t="shared" si="2"/>
        <v>#REF!</v>
      </c>
      <c r="E57" t="e">
        <f t="shared" si="3"/>
        <v>#REF!</v>
      </c>
      <c r="F57" t="e">
        <f t="shared" si="4"/>
        <v>#REF!</v>
      </c>
      <c r="G57" t="e">
        <f t="shared" si="5"/>
        <v>#REF!</v>
      </c>
      <c r="H57" t="e">
        <f t="shared" si="6"/>
        <v>#REF!</v>
      </c>
      <c r="L57" t="e">
        <f>Reflection!I57</f>
        <v>#REF!</v>
      </c>
      <c r="M57" t="e">
        <f t="shared" si="7"/>
        <v>#REF!</v>
      </c>
      <c r="N57" t="e">
        <f t="shared" si="8"/>
        <v>#REF!</v>
      </c>
      <c r="O57" t="e">
        <f t="shared" si="9"/>
        <v>#REF!</v>
      </c>
      <c r="P57" t="e">
        <f t="shared" si="10"/>
        <v>#REF!</v>
      </c>
      <c r="Q57" t="e">
        <f t="shared" si="11"/>
        <v>#REF!</v>
      </c>
      <c r="R57" t="e">
        <f t="shared" si="12"/>
        <v>#REF!</v>
      </c>
      <c r="U57">
        <f>Reflection!Q57</f>
        <v>8800000</v>
      </c>
      <c r="V57" t="str">
        <f t="shared" si="13"/>
        <v>78.2849039372926-230.470066638143i</v>
      </c>
      <c r="W57" t="str">
        <f t="shared" si="14"/>
        <v>0.112830469569977+0.0383256819435631i</v>
      </c>
      <c r="X57">
        <f t="shared" si="15"/>
        <v>78.284903937292597</v>
      </c>
      <c r="Y57">
        <f t="shared" si="16"/>
        <v>230.47006663814301</v>
      </c>
      <c r="Z57">
        <f t="shared" si="17"/>
        <v>0.112830469569977</v>
      </c>
      <c r="AA57">
        <f t="shared" si="18"/>
        <v>3.8325681943563103E-2</v>
      </c>
      <c r="AE57" t="e">
        <f>Reflection!Y57</f>
        <v>#REF!</v>
      </c>
      <c r="AF57" t="e">
        <f>IMDIV(IMPRODUCT(IMSUB(C57,V57),IMSUB(Reflection!AB57,Reflection!D57),IMSUB(Reflection!L57,Reflection!T57)),IMPRODUCT(IMSUB(Permitivity!M57,Permitivity!V57),IMSUB(Reflection!AB57,Reflection!L57),IMSUB(Reflection!D57,Reflection!T57)))</f>
        <v>#REF!</v>
      </c>
      <c r="AG57" t="e">
        <f t="shared" si="19"/>
        <v>#REF!</v>
      </c>
      <c r="AH57" t="e">
        <f t="shared" si="0"/>
        <v>#REF!</v>
      </c>
      <c r="AI57" t="e">
        <f t="shared" si="20"/>
        <v>#REF!</v>
      </c>
      <c r="AJ57" t="e">
        <f t="shared" si="21"/>
        <v>#REF!</v>
      </c>
      <c r="AK57" t="e">
        <f t="shared" si="22"/>
        <v>#REF!</v>
      </c>
      <c r="AL57" t="e">
        <f t="shared" si="23"/>
        <v>#REF!</v>
      </c>
    </row>
    <row r="58" spans="2:38" x14ac:dyDescent="0.15">
      <c r="B58" t="e">
        <f>Experiment!#REF!</f>
        <v>#REF!</v>
      </c>
      <c r="C58" t="e">
        <f t="shared" si="1"/>
        <v>#REF!</v>
      </c>
      <c r="D58" t="e">
        <f t="shared" si="2"/>
        <v>#REF!</v>
      </c>
      <c r="E58" t="e">
        <f t="shared" si="3"/>
        <v>#REF!</v>
      </c>
      <c r="F58" t="e">
        <f t="shared" si="4"/>
        <v>#REF!</v>
      </c>
      <c r="G58" t="e">
        <f t="shared" si="5"/>
        <v>#REF!</v>
      </c>
      <c r="H58" t="e">
        <f t="shared" si="6"/>
        <v>#REF!</v>
      </c>
      <c r="L58" t="e">
        <f>Reflection!I58</f>
        <v>#REF!</v>
      </c>
      <c r="M58" t="e">
        <f t="shared" si="7"/>
        <v>#REF!</v>
      </c>
      <c r="N58" t="e">
        <f t="shared" si="8"/>
        <v>#REF!</v>
      </c>
      <c r="O58" t="e">
        <f t="shared" si="9"/>
        <v>#REF!</v>
      </c>
      <c r="P58" t="e">
        <f t="shared" si="10"/>
        <v>#REF!</v>
      </c>
      <c r="Q58" t="e">
        <f t="shared" si="11"/>
        <v>#REF!</v>
      </c>
      <c r="R58" t="e">
        <f t="shared" si="12"/>
        <v>#REF!</v>
      </c>
      <c r="U58">
        <f>Reflection!Q58</f>
        <v>9100000</v>
      </c>
      <c r="V58" t="str">
        <f t="shared" si="13"/>
        <v>78.2849014369466-222.874390024323i</v>
      </c>
      <c r="W58" t="str">
        <f t="shared" si="14"/>
        <v>0.11283160240538+0.0396322380167319i</v>
      </c>
      <c r="X58">
        <f t="shared" si="15"/>
        <v>78.284901436946598</v>
      </c>
      <c r="Y58">
        <f t="shared" si="16"/>
        <v>222.87439002432299</v>
      </c>
      <c r="Z58">
        <f t="shared" si="17"/>
        <v>0.11283160240538</v>
      </c>
      <c r="AA58">
        <f t="shared" si="18"/>
        <v>3.9632238016731901E-2</v>
      </c>
      <c r="AE58" t="e">
        <f>Reflection!Y58</f>
        <v>#REF!</v>
      </c>
      <c r="AF58" t="e">
        <f>IMDIV(IMPRODUCT(IMSUB(C58,V58),IMSUB(Reflection!AB58,Reflection!D58),IMSUB(Reflection!L58,Reflection!T58)),IMPRODUCT(IMSUB(Permitivity!M58,Permitivity!V58),IMSUB(Reflection!AB58,Reflection!L58),IMSUB(Reflection!D58,Reflection!T58)))</f>
        <v>#REF!</v>
      </c>
      <c r="AG58" t="e">
        <f t="shared" si="19"/>
        <v>#REF!</v>
      </c>
      <c r="AH58" t="e">
        <f t="shared" si="0"/>
        <v>#REF!</v>
      </c>
      <c r="AI58" t="e">
        <f t="shared" si="20"/>
        <v>#REF!</v>
      </c>
      <c r="AJ58" t="e">
        <f t="shared" si="21"/>
        <v>#REF!</v>
      </c>
      <c r="AK58" t="e">
        <f t="shared" si="22"/>
        <v>#REF!</v>
      </c>
      <c r="AL58" t="e">
        <f t="shared" si="23"/>
        <v>#REF!</v>
      </c>
    </row>
    <row r="59" spans="2:38" x14ac:dyDescent="0.15">
      <c r="B59" t="e">
        <f>Experiment!#REF!</f>
        <v>#REF!</v>
      </c>
      <c r="C59" t="e">
        <f t="shared" si="1"/>
        <v>#REF!</v>
      </c>
      <c r="D59" t="e">
        <f t="shared" si="2"/>
        <v>#REF!</v>
      </c>
      <c r="E59" t="e">
        <f t="shared" si="3"/>
        <v>#REF!</v>
      </c>
      <c r="F59" t="e">
        <f t="shared" si="4"/>
        <v>#REF!</v>
      </c>
      <c r="G59" t="e">
        <f t="shared" si="5"/>
        <v>#REF!</v>
      </c>
      <c r="H59" t="e">
        <f t="shared" si="6"/>
        <v>#REF!</v>
      </c>
      <c r="L59" t="e">
        <f>Reflection!I59</f>
        <v>#REF!</v>
      </c>
      <c r="M59" t="e">
        <f t="shared" si="7"/>
        <v>#REF!</v>
      </c>
      <c r="N59" t="e">
        <f t="shared" si="8"/>
        <v>#REF!</v>
      </c>
      <c r="O59" t="e">
        <f t="shared" si="9"/>
        <v>#REF!</v>
      </c>
      <c r="P59" t="e">
        <f t="shared" si="10"/>
        <v>#REF!</v>
      </c>
      <c r="Q59" t="e">
        <f t="shared" si="11"/>
        <v>#REF!</v>
      </c>
      <c r="R59" t="e">
        <f t="shared" si="12"/>
        <v>#REF!</v>
      </c>
      <c r="U59">
        <f>Reflection!Q59</f>
        <v>9500000</v>
      </c>
      <c r="V59" t="str">
        <f t="shared" si="13"/>
        <v>78.2848980483022-213.493174789186i</v>
      </c>
      <c r="W59" t="str">
        <f t="shared" si="14"/>
        <v>0.112833171871426+0.041374312622141i</v>
      </c>
      <c r="X59">
        <f t="shared" si="15"/>
        <v>78.284898048302196</v>
      </c>
      <c r="Y59">
        <f t="shared" si="16"/>
        <v>213.49317478918601</v>
      </c>
      <c r="Z59">
        <f t="shared" si="17"/>
        <v>0.112833171871426</v>
      </c>
      <c r="AA59">
        <f t="shared" si="18"/>
        <v>4.1374312622141002E-2</v>
      </c>
      <c r="AE59" t="e">
        <f>Reflection!Y59</f>
        <v>#REF!</v>
      </c>
      <c r="AF59" t="e">
        <f>IMDIV(IMPRODUCT(IMSUB(C59,V59),IMSUB(Reflection!AB59,Reflection!D59),IMSUB(Reflection!L59,Reflection!T59)),IMPRODUCT(IMSUB(Permitivity!M59,Permitivity!V59),IMSUB(Reflection!AB59,Reflection!L59),IMSUB(Reflection!D59,Reflection!T59)))</f>
        <v>#REF!</v>
      </c>
      <c r="AG59" t="e">
        <f t="shared" si="19"/>
        <v>#REF!</v>
      </c>
      <c r="AH59" t="e">
        <f t="shared" si="0"/>
        <v>#REF!</v>
      </c>
      <c r="AI59" t="e">
        <f t="shared" si="20"/>
        <v>#REF!</v>
      </c>
      <c r="AJ59" t="e">
        <f t="shared" si="21"/>
        <v>#REF!</v>
      </c>
      <c r="AK59" t="e">
        <f t="shared" si="22"/>
        <v>#REF!</v>
      </c>
      <c r="AL59" t="e">
        <f t="shared" si="23"/>
        <v>#REF!</v>
      </c>
    </row>
    <row r="60" spans="2:38" x14ac:dyDescent="0.15">
      <c r="B60" t="e">
        <f>Experiment!#REF!</f>
        <v>#REF!</v>
      </c>
      <c r="C60" t="e">
        <f t="shared" si="1"/>
        <v>#REF!</v>
      </c>
      <c r="D60" t="e">
        <f t="shared" si="2"/>
        <v>#REF!</v>
      </c>
      <c r="E60" t="e">
        <f t="shared" si="3"/>
        <v>#REF!</v>
      </c>
      <c r="F60" t="e">
        <f t="shared" si="4"/>
        <v>#REF!</v>
      </c>
      <c r="G60" t="e">
        <f t="shared" si="5"/>
        <v>#REF!</v>
      </c>
      <c r="H60" t="e">
        <f t="shared" si="6"/>
        <v>#REF!</v>
      </c>
      <c r="L60" t="e">
        <f>Reflection!I60</f>
        <v>#REF!</v>
      </c>
      <c r="M60" t="e">
        <f t="shared" si="7"/>
        <v>#REF!</v>
      </c>
      <c r="N60" t="e">
        <f t="shared" si="8"/>
        <v>#REF!</v>
      </c>
      <c r="O60" t="e">
        <f t="shared" si="9"/>
        <v>#REF!</v>
      </c>
      <c r="P60" t="e">
        <f t="shared" si="10"/>
        <v>#REF!</v>
      </c>
      <c r="Q60" t="e">
        <f t="shared" si="11"/>
        <v>#REF!</v>
      </c>
      <c r="R60" t="e">
        <f t="shared" si="12"/>
        <v>#REF!</v>
      </c>
      <c r="U60">
        <f>Reflection!Q60</f>
        <v>9900000</v>
      </c>
      <c r="V60" t="str">
        <f t="shared" si="13"/>
        <v>78.2848945969721-204.870160015686i</v>
      </c>
      <c r="W60" t="str">
        <f t="shared" si="14"/>
        <v>0.112834808785416+0.0431163870422099i</v>
      </c>
      <c r="X60">
        <f t="shared" si="15"/>
        <v>78.284894596972094</v>
      </c>
      <c r="Y60">
        <f t="shared" si="16"/>
        <v>204.870160015686</v>
      </c>
      <c r="Z60">
        <f t="shared" si="17"/>
        <v>0.112834808785416</v>
      </c>
      <c r="AA60">
        <f t="shared" si="18"/>
        <v>4.3116387042209901E-2</v>
      </c>
      <c r="AE60" t="e">
        <f>Reflection!Y60</f>
        <v>#REF!</v>
      </c>
      <c r="AF60" t="e">
        <f>IMDIV(IMPRODUCT(IMSUB(C60,V60),IMSUB(Reflection!AB60,Reflection!D60),IMSUB(Reflection!L60,Reflection!T60)),IMPRODUCT(IMSUB(Permitivity!M60,Permitivity!V60),IMSUB(Reflection!AB60,Reflection!L60),IMSUB(Reflection!D60,Reflection!T60)))</f>
        <v>#REF!</v>
      </c>
      <c r="AG60" t="e">
        <f t="shared" si="19"/>
        <v>#REF!</v>
      </c>
      <c r="AH60" t="e">
        <f t="shared" si="0"/>
        <v>#REF!</v>
      </c>
      <c r="AI60" t="e">
        <f t="shared" si="20"/>
        <v>#REF!</v>
      </c>
      <c r="AJ60" t="e">
        <f t="shared" si="21"/>
        <v>#REF!</v>
      </c>
      <c r="AK60" t="e">
        <f t="shared" si="22"/>
        <v>#REF!</v>
      </c>
      <c r="AL60" t="e">
        <f t="shared" si="23"/>
        <v>#REF!</v>
      </c>
    </row>
    <row r="61" spans="2:38" x14ac:dyDescent="0.15">
      <c r="B61" t="e">
        <f>Experiment!#REF!</f>
        <v>#REF!</v>
      </c>
      <c r="C61" t="e">
        <f t="shared" si="1"/>
        <v>#REF!</v>
      </c>
      <c r="D61" t="e">
        <f t="shared" si="2"/>
        <v>#REF!</v>
      </c>
      <c r="E61" t="e">
        <f t="shared" si="3"/>
        <v>#REF!</v>
      </c>
      <c r="F61" t="e">
        <f t="shared" si="4"/>
        <v>#REF!</v>
      </c>
      <c r="G61" t="e">
        <f t="shared" si="5"/>
        <v>#REF!</v>
      </c>
      <c r="H61" t="e">
        <f t="shared" si="6"/>
        <v>#REF!</v>
      </c>
      <c r="L61" t="e">
        <f>Reflection!I61</f>
        <v>#REF!</v>
      </c>
      <c r="M61" t="e">
        <f t="shared" si="7"/>
        <v>#REF!</v>
      </c>
      <c r="N61" t="e">
        <f t="shared" si="8"/>
        <v>#REF!</v>
      </c>
      <c r="O61" t="e">
        <f t="shared" si="9"/>
        <v>#REF!</v>
      </c>
      <c r="P61" t="e">
        <f t="shared" si="10"/>
        <v>#REF!</v>
      </c>
      <c r="Q61" t="e">
        <f t="shared" si="11"/>
        <v>#REF!</v>
      </c>
      <c r="R61" t="e">
        <f t="shared" si="12"/>
        <v>#REF!</v>
      </c>
      <c r="U61">
        <f>Reflection!Q61</f>
        <v>10300000</v>
      </c>
      <c r="V61" t="str">
        <f t="shared" si="13"/>
        <v>78.2848910829593-196.917011665494i</v>
      </c>
      <c r="W61" t="str">
        <f t="shared" si="14"/>
        <v>0.112836513145078+0.0448584612727556i</v>
      </c>
      <c r="X61">
        <f t="shared" si="15"/>
        <v>78.284891082959305</v>
      </c>
      <c r="Y61">
        <f t="shared" si="16"/>
        <v>196.91701166549399</v>
      </c>
      <c r="Z61">
        <f t="shared" si="17"/>
        <v>0.112836513145078</v>
      </c>
      <c r="AA61">
        <f t="shared" si="18"/>
        <v>4.4858461272755598E-2</v>
      </c>
      <c r="AE61" t="e">
        <f>Reflection!Y61</f>
        <v>#REF!</v>
      </c>
      <c r="AF61" t="e">
        <f>IMDIV(IMPRODUCT(IMSUB(C61,V61),IMSUB(Reflection!AB61,Reflection!D61),IMSUB(Reflection!L61,Reflection!T61)),IMPRODUCT(IMSUB(Permitivity!M61,Permitivity!V61),IMSUB(Reflection!AB61,Reflection!L61),IMSUB(Reflection!D61,Reflection!T61)))</f>
        <v>#REF!</v>
      </c>
      <c r="AG61" t="e">
        <f t="shared" si="19"/>
        <v>#REF!</v>
      </c>
      <c r="AH61" t="e">
        <f t="shared" si="0"/>
        <v>#REF!</v>
      </c>
      <c r="AI61" t="e">
        <f t="shared" si="20"/>
        <v>#REF!</v>
      </c>
      <c r="AJ61" t="e">
        <f t="shared" si="21"/>
        <v>#REF!</v>
      </c>
      <c r="AK61" t="e">
        <f t="shared" si="22"/>
        <v>#REF!</v>
      </c>
      <c r="AL61" t="e">
        <f t="shared" si="23"/>
        <v>#REF!</v>
      </c>
    </row>
    <row r="62" spans="2:38" x14ac:dyDescent="0.15">
      <c r="B62" t="e">
        <f>Experiment!#REF!</f>
        <v>#REF!</v>
      </c>
      <c r="C62" t="e">
        <f t="shared" si="1"/>
        <v>#REF!</v>
      </c>
      <c r="D62" t="e">
        <f t="shared" si="2"/>
        <v>#REF!</v>
      </c>
      <c r="E62" t="e">
        <f t="shared" si="3"/>
        <v>#REF!</v>
      </c>
      <c r="F62" t="e">
        <f t="shared" si="4"/>
        <v>#REF!</v>
      </c>
      <c r="G62" t="e">
        <f t="shared" si="5"/>
        <v>#REF!</v>
      </c>
      <c r="H62" t="e">
        <f t="shared" si="6"/>
        <v>#REF!</v>
      </c>
      <c r="L62" t="e">
        <f>Reflection!I62</f>
        <v>#REF!</v>
      </c>
      <c r="M62" t="e">
        <f t="shared" si="7"/>
        <v>#REF!</v>
      </c>
      <c r="N62" t="e">
        <f t="shared" si="8"/>
        <v>#REF!</v>
      </c>
      <c r="O62" t="e">
        <f t="shared" si="9"/>
        <v>#REF!</v>
      </c>
      <c r="P62" t="e">
        <f t="shared" si="10"/>
        <v>#REF!</v>
      </c>
      <c r="Q62" t="e">
        <f t="shared" si="11"/>
        <v>#REF!</v>
      </c>
      <c r="R62" t="e">
        <f t="shared" si="12"/>
        <v>#REF!</v>
      </c>
      <c r="U62">
        <f>Reflection!Q62</f>
        <v>10700000</v>
      </c>
      <c r="V62" t="str">
        <f t="shared" si="13"/>
        <v>78.284887506264-189.558604528592i</v>
      </c>
      <c r="W62" t="str">
        <f t="shared" si="14"/>
        <v>0.112838284948229+0.0466005353095934i</v>
      </c>
      <c r="X62">
        <f t="shared" si="15"/>
        <v>78.284887506263999</v>
      </c>
      <c r="Y62">
        <f t="shared" si="16"/>
        <v>189.55860452859201</v>
      </c>
      <c r="Z62">
        <f t="shared" si="17"/>
        <v>0.11283828494822901</v>
      </c>
      <c r="AA62">
        <f t="shared" si="18"/>
        <v>4.6600535309593398E-2</v>
      </c>
      <c r="AE62" t="e">
        <f>Reflection!Y62</f>
        <v>#REF!</v>
      </c>
      <c r="AF62" t="e">
        <f>IMDIV(IMPRODUCT(IMSUB(C62,V62),IMSUB(Reflection!AB62,Reflection!D62),IMSUB(Reflection!L62,Reflection!T62)),IMPRODUCT(IMSUB(Permitivity!M62,Permitivity!V62),IMSUB(Reflection!AB62,Reflection!L62),IMSUB(Reflection!D62,Reflection!T62)))</f>
        <v>#REF!</v>
      </c>
      <c r="AG62" t="e">
        <f t="shared" si="19"/>
        <v>#REF!</v>
      </c>
      <c r="AH62" t="e">
        <f t="shared" si="0"/>
        <v>#REF!</v>
      </c>
      <c r="AI62" t="e">
        <f t="shared" si="20"/>
        <v>#REF!</v>
      </c>
      <c r="AJ62" t="e">
        <f t="shared" si="21"/>
        <v>#REF!</v>
      </c>
      <c r="AK62" t="e">
        <f t="shared" si="22"/>
        <v>#REF!</v>
      </c>
      <c r="AL62" t="e">
        <f t="shared" si="23"/>
        <v>#REF!</v>
      </c>
    </row>
    <row r="63" spans="2:38" x14ac:dyDescent="0.15">
      <c r="B63" t="e">
        <f>Experiment!#REF!</f>
        <v>#REF!</v>
      </c>
      <c r="C63" t="e">
        <f t="shared" si="1"/>
        <v>#REF!</v>
      </c>
      <c r="D63" t="e">
        <f t="shared" si="2"/>
        <v>#REF!</v>
      </c>
      <c r="E63" t="e">
        <f t="shared" si="3"/>
        <v>#REF!</v>
      </c>
      <c r="F63" t="e">
        <f t="shared" si="4"/>
        <v>#REF!</v>
      </c>
      <c r="G63" t="e">
        <f t="shared" si="5"/>
        <v>#REF!</v>
      </c>
      <c r="H63" t="e">
        <f t="shared" si="6"/>
        <v>#REF!</v>
      </c>
      <c r="L63" t="e">
        <f>Reflection!I63</f>
        <v>#REF!</v>
      </c>
      <c r="M63" t="e">
        <f t="shared" si="7"/>
        <v>#REF!</v>
      </c>
      <c r="N63" t="e">
        <f t="shared" si="8"/>
        <v>#REF!</v>
      </c>
      <c r="O63" t="e">
        <f t="shared" si="9"/>
        <v>#REF!</v>
      </c>
      <c r="P63" t="e">
        <f t="shared" si="10"/>
        <v>#REF!</v>
      </c>
      <c r="Q63" t="e">
        <f t="shared" si="11"/>
        <v>#REF!</v>
      </c>
      <c r="R63" t="e">
        <f t="shared" si="12"/>
        <v>#REF!</v>
      </c>
      <c r="U63">
        <f>Reflection!Q63</f>
        <v>11200000</v>
      </c>
      <c r="V63" t="str">
        <f t="shared" si="13"/>
        <v>78.284882947251-181.099873533483i</v>
      </c>
      <c r="W63" t="str">
        <f t="shared" si="14"/>
        <v>0.112840594541386+0.0487781275768662i</v>
      </c>
      <c r="X63">
        <f t="shared" si="15"/>
        <v>78.284882947251006</v>
      </c>
      <c r="Y63">
        <f t="shared" si="16"/>
        <v>181.09987353348299</v>
      </c>
      <c r="Z63">
        <f t="shared" si="17"/>
        <v>0.11284059454138599</v>
      </c>
      <c r="AA63">
        <f t="shared" si="18"/>
        <v>4.8778127576866198E-2</v>
      </c>
      <c r="AE63" t="e">
        <f>Reflection!Y63</f>
        <v>#REF!</v>
      </c>
      <c r="AF63" t="e">
        <f>IMDIV(IMPRODUCT(IMSUB(C63,V63),IMSUB(Reflection!AB63,Reflection!D63),IMSUB(Reflection!L63,Reflection!T63)),IMPRODUCT(IMSUB(Permitivity!M63,Permitivity!V63),IMSUB(Reflection!AB63,Reflection!L63),IMSUB(Reflection!D63,Reflection!T63)))</f>
        <v>#REF!</v>
      </c>
      <c r="AG63" t="e">
        <f t="shared" si="19"/>
        <v>#REF!</v>
      </c>
      <c r="AH63" t="e">
        <f t="shared" si="0"/>
        <v>#REF!</v>
      </c>
      <c r="AI63" t="e">
        <f t="shared" si="20"/>
        <v>#REF!</v>
      </c>
      <c r="AJ63" t="e">
        <f t="shared" si="21"/>
        <v>#REF!</v>
      </c>
      <c r="AK63" t="e">
        <f t="shared" si="22"/>
        <v>#REF!</v>
      </c>
      <c r="AL63" t="e">
        <f t="shared" si="23"/>
        <v>#REF!</v>
      </c>
    </row>
    <row r="64" spans="2:38" x14ac:dyDescent="0.15">
      <c r="B64" t="e">
        <f>Experiment!#REF!</f>
        <v>#REF!</v>
      </c>
      <c r="C64" t="e">
        <f t="shared" si="1"/>
        <v>#REF!</v>
      </c>
      <c r="D64" t="e">
        <f t="shared" si="2"/>
        <v>#REF!</v>
      </c>
      <c r="E64" t="e">
        <f t="shared" si="3"/>
        <v>#REF!</v>
      </c>
      <c r="F64" t="e">
        <f t="shared" si="4"/>
        <v>#REF!</v>
      </c>
      <c r="G64" t="e">
        <f t="shared" si="5"/>
        <v>#REF!</v>
      </c>
      <c r="H64" t="e">
        <f t="shared" si="6"/>
        <v>#REF!</v>
      </c>
      <c r="L64" t="e">
        <f>Reflection!I64</f>
        <v>#REF!</v>
      </c>
      <c r="M64" t="e">
        <f t="shared" si="7"/>
        <v>#REF!</v>
      </c>
      <c r="N64" t="e">
        <f t="shared" si="8"/>
        <v>#REF!</v>
      </c>
      <c r="O64" t="e">
        <f t="shared" si="9"/>
        <v>#REF!</v>
      </c>
      <c r="P64" t="e">
        <f t="shared" si="10"/>
        <v>#REF!</v>
      </c>
      <c r="Q64" t="e">
        <f t="shared" si="11"/>
        <v>#REF!</v>
      </c>
      <c r="R64" t="e">
        <f t="shared" si="12"/>
        <v>#REF!</v>
      </c>
      <c r="U64">
        <f>Reflection!Q64</f>
        <v>11600000</v>
      </c>
      <c r="V64" t="str">
        <f t="shared" si="13"/>
        <v>78.2848792295281-174.858030984486i</v>
      </c>
      <c r="W64" t="str">
        <f t="shared" si="14"/>
        <v>0.112842518084828+0.0505202011625668i</v>
      </c>
      <c r="X64">
        <f t="shared" si="15"/>
        <v>78.284879229528102</v>
      </c>
      <c r="Y64">
        <f t="shared" si="16"/>
        <v>174.85803098448599</v>
      </c>
      <c r="Z64">
        <f t="shared" si="17"/>
        <v>0.11284251808482799</v>
      </c>
      <c r="AA64">
        <f t="shared" si="18"/>
        <v>5.0520201162566801E-2</v>
      </c>
      <c r="AE64" t="e">
        <f>Reflection!Y64</f>
        <v>#REF!</v>
      </c>
      <c r="AF64" t="e">
        <f>IMDIV(IMPRODUCT(IMSUB(C64,V64),IMSUB(Reflection!AB64,Reflection!D64),IMSUB(Reflection!L64,Reflection!T64)),IMPRODUCT(IMSUB(Permitivity!M64,Permitivity!V64),IMSUB(Reflection!AB64,Reflection!L64),IMSUB(Reflection!D64,Reflection!T64)))</f>
        <v>#REF!</v>
      </c>
      <c r="AG64" t="e">
        <f t="shared" si="19"/>
        <v>#REF!</v>
      </c>
      <c r="AH64" t="e">
        <f t="shared" si="0"/>
        <v>#REF!</v>
      </c>
      <c r="AI64" t="e">
        <f t="shared" si="20"/>
        <v>#REF!</v>
      </c>
      <c r="AJ64" t="e">
        <f t="shared" si="21"/>
        <v>#REF!</v>
      </c>
      <c r="AK64" t="e">
        <f t="shared" si="22"/>
        <v>#REF!</v>
      </c>
      <c r="AL64" t="e">
        <f t="shared" si="23"/>
        <v>#REF!</v>
      </c>
    </row>
    <row r="65" spans="2:38" x14ac:dyDescent="0.15">
      <c r="B65" t="e">
        <f>Experiment!#REF!</f>
        <v>#REF!</v>
      </c>
      <c r="C65" t="e">
        <f t="shared" si="1"/>
        <v>#REF!</v>
      </c>
      <c r="D65" t="e">
        <f t="shared" si="2"/>
        <v>#REF!</v>
      </c>
      <c r="E65" t="e">
        <f t="shared" si="3"/>
        <v>#REF!</v>
      </c>
      <c r="F65" t="e">
        <f t="shared" si="4"/>
        <v>#REF!</v>
      </c>
      <c r="G65" t="e">
        <f t="shared" si="5"/>
        <v>#REF!</v>
      </c>
      <c r="H65" t="e">
        <f t="shared" si="6"/>
        <v>#REF!</v>
      </c>
      <c r="L65" t="e">
        <f>Reflection!I65</f>
        <v>#REF!</v>
      </c>
      <c r="M65" t="e">
        <f t="shared" si="7"/>
        <v>#REF!</v>
      </c>
      <c r="N65" t="e">
        <f t="shared" si="8"/>
        <v>#REF!</v>
      </c>
      <c r="O65" t="e">
        <f t="shared" si="9"/>
        <v>#REF!</v>
      </c>
      <c r="P65" t="e">
        <f t="shared" si="10"/>
        <v>#REF!</v>
      </c>
      <c r="Q65" t="e">
        <f t="shared" si="11"/>
        <v>#REF!</v>
      </c>
      <c r="R65" t="e">
        <f t="shared" si="12"/>
        <v>#REF!</v>
      </c>
      <c r="U65">
        <f>Reflection!Q65</f>
        <v>12100000</v>
      </c>
      <c r="V65" t="str">
        <f t="shared" si="13"/>
        <v>78.2848744942347-167.636205277394i</v>
      </c>
      <c r="W65" t="str">
        <f t="shared" si="14"/>
        <v>0.112845017347102+0.0526977928526809i</v>
      </c>
      <c r="X65">
        <f t="shared" si="15"/>
        <v>78.2848744942347</v>
      </c>
      <c r="Y65">
        <f t="shared" si="16"/>
        <v>167.636205277394</v>
      </c>
      <c r="Z65">
        <f t="shared" si="17"/>
        <v>0.11284501734710201</v>
      </c>
      <c r="AA65">
        <f t="shared" si="18"/>
        <v>5.2697792852680898E-2</v>
      </c>
      <c r="AE65" t="e">
        <f>Reflection!Y65</f>
        <v>#REF!</v>
      </c>
      <c r="AF65" t="e">
        <f>IMDIV(IMPRODUCT(IMSUB(C65,V65),IMSUB(Reflection!AB65,Reflection!D65),IMSUB(Reflection!L65,Reflection!T65)),IMPRODUCT(IMSUB(Permitivity!M65,Permitivity!V65),IMSUB(Reflection!AB65,Reflection!L65),IMSUB(Reflection!D65,Reflection!T65)))</f>
        <v>#REF!</v>
      </c>
      <c r="AG65" t="e">
        <f t="shared" si="19"/>
        <v>#REF!</v>
      </c>
      <c r="AH65" t="e">
        <f t="shared" si="0"/>
        <v>#REF!</v>
      </c>
      <c r="AI65" t="e">
        <f t="shared" si="20"/>
        <v>#REF!</v>
      </c>
      <c r="AJ65" t="e">
        <f t="shared" si="21"/>
        <v>#REF!</v>
      </c>
      <c r="AK65" t="e">
        <f t="shared" si="22"/>
        <v>#REF!</v>
      </c>
      <c r="AL65" t="e">
        <f t="shared" si="23"/>
        <v>#REF!</v>
      </c>
    </row>
    <row r="66" spans="2:38" x14ac:dyDescent="0.15">
      <c r="B66" t="e">
        <f>Experiment!#REF!</f>
        <v>#REF!</v>
      </c>
      <c r="C66" t="e">
        <f t="shared" si="1"/>
        <v>#REF!</v>
      </c>
      <c r="D66" t="e">
        <f t="shared" si="2"/>
        <v>#REF!</v>
      </c>
      <c r="E66" t="e">
        <f t="shared" si="3"/>
        <v>#REF!</v>
      </c>
      <c r="F66" t="e">
        <f t="shared" si="4"/>
        <v>#REF!</v>
      </c>
      <c r="G66" t="e">
        <f t="shared" si="5"/>
        <v>#REF!</v>
      </c>
      <c r="H66" t="e">
        <f t="shared" si="6"/>
        <v>#REF!</v>
      </c>
      <c r="L66" t="e">
        <f>Reflection!I66</f>
        <v>#REF!</v>
      </c>
      <c r="M66" t="e">
        <f t="shared" si="7"/>
        <v>#REF!</v>
      </c>
      <c r="N66" t="e">
        <f t="shared" si="8"/>
        <v>#REF!</v>
      </c>
      <c r="O66" t="e">
        <f t="shared" si="9"/>
        <v>#REF!</v>
      </c>
      <c r="P66" t="e">
        <f t="shared" si="10"/>
        <v>#REF!</v>
      </c>
      <c r="Q66" t="e">
        <f t="shared" si="11"/>
        <v>#REF!</v>
      </c>
      <c r="R66" t="e">
        <f t="shared" si="12"/>
        <v>#REF!</v>
      </c>
      <c r="U66">
        <f>Reflection!Q66</f>
        <v>12600000</v>
      </c>
      <c r="V66" t="str">
        <f t="shared" si="13"/>
        <v>78.2848696610132-160.987690655985i</v>
      </c>
      <c r="W66" t="str">
        <f t="shared" si="14"/>
        <v>0.112847621975952+0.0548753842107138i</v>
      </c>
      <c r="X66">
        <f t="shared" si="15"/>
        <v>78.284869661013204</v>
      </c>
      <c r="Y66">
        <f t="shared" si="16"/>
        <v>160.98769065598501</v>
      </c>
      <c r="Z66">
        <f t="shared" si="17"/>
        <v>0.11284762197595199</v>
      </c>
      <c r="AA66">
        <f t="shared" si="18"/>
        <v>5.48753842107138E-2</v>
      </c>
      <c r="AE66" t="e">
        <f>Reflection!Y66</f>
        <v>#REF!</v>
      </c>
      <c r="AF66" t="e">
        <f>IMDIV(IMPRODUCT(IMSUB(C66,V66),IMSUB(Reflection!AB66,Reflection!D66),IMSUB(Reflection!L66,Reflection!T66)),IMPRODUCT(IMSUB(Permitivity!M66,Permitivity!V66),IMSUB(Reflection!AB66,Reflection!L66),IMSUB(Reflection!D66,Reflection!T66)))</f>
        <v>#REF!</v>
      </c>
      <c r="AG66" t="e">
        <f t="shared" si="19"/>
        <v>#REF!</v>
      </c>
      <c r="AH66" t="e">
        <f t="shared" si="0"/>
        <v>#REF!</v>
      </c>
      <c r="AI66" t="e">
        <f t="shared" si="20"/>
        <v>#REF!</v>
      </c>
      <c r="AJ66" t="e">
        <f t="shared" si="21"/>
        <v>#REF!</v>
      </c>
      <c r="AK66" t="e">
        <f t="shared" si="22"/>
        <v>#REF!</v>
      </c>
      <c r="AL66" t="e">
        <f t="shared" si="23"/>
        <v>#REF!</v>
      </c>
    </row>
    <row r="67" spans="2:38" x14ac:dyDescent="0.15">
      <c r="B67" t="e">
        <f>Experiment!#REF!</f>
        <v>#REF!</v>
      </c>
      <c r="C67" t="e">
        <f t="shared" si="1"/>
        <v>#REF!</v>
      </c>
      <c r="D67" t="e">
        <f t="shared" si="2"/>
        <v>#REF!</v>
      </c>
      <c r="E67" t="e">
        <f t="shared" si="3"/>
        <v>#REF!</v>
      </c>
      <c r="F67" t="e">
        <f t="shared" si="4"/>
        <v>#REF!</v>
      </c>
      <c r="G67" t="e">
        <f t="shared" si="5"/>
        <v>#REF!</v>
      </c>
      <c r="H67" t="e">
        <f t="shared" si="6"/>
        <v>#REF!</v>
      </c>
      <c r="L67" t="e">
        <f>Reflection!I67</f>
        <v>#REF!</v>
      </c>
      <c r="M67" t="e">
        <f t="shared" si="7"/>
        <v>#REF!</v>
      </c>
      <c r="N67" t="e">
        <f t="shared" si="8"/>
        <v>#REF!</v>
      </c>
      <c r="O67" t="e">
        <f t="shared" si="9"/>
        <v>#REF!</v>
      </c>
      <c r="P67" t="e">
        <f t="shared" si="10"/>
        <v>#REF!</v>
      </c>
      <c r="Q67" t="e">
        <f t="shared" si="11"/>
        <v>#REF!</v>
      </c>
      <c r="R67" t="e">
        <f t="shared" si="12"/>
        <v>#REF!</v>
      </c>
      <c r="U67">
        <f>Reflection!Q67</f>
        <v>13100000</v>
      </c>
      <c r="V67" t="str">
        <f t="shared" si="13"/>
        <v>78.2848647298664-154.846840807944i</v>
      </c>
      <c r="W67" t="str">
        <f t="shared" si="14"/>
        <v>0.112850331967885+0.0570529752284954i</v>
      </c>
      <c r="X67">
        <f t="shared" si="15"/>
        <v>78.284864729866399</v>
      </c>
      <c r="Y67">
        <f t="shared" si="16"/>
        <v>154.84684080794401</v>
      </c>
      <c r="Z67">
        <f t="shared" si="17"/>
        <v>0.11285033196788501</v>
      </c>
      <c r="AA67">
        <f t="shared" si="18"/>
        <v>5.7052975228495402E-2</v>
      </c>
      <c r="AE67" t="e">
        <f>Reflection!Y67</f>
        <v>#REF!</v>
      </c>
      <c r="AF67" t="e">
        <f>IMDIV(IMPRODUCT(IMSUB(C67,V67),IMSUB(Reflection!AB67,Reflection!D67),IMSUB(Reflection!L67,Reflection!T67)),IMPRODUCT(IMSUB(Permitivity!M67,Permitivity!V67),IMSUB(Reflection!AB67,Reflection!L67),IMSUB(Reflection!D67,Reflection!T67)))</f>
        <v>#REF!</v>
      </c>
      <c r="AG67" t="e">
        <f t="shared" si="19"/>
        <v>#REF!</v>
      </c>
      <c r="AH67" t="e">
        <f t="shared" ref="AH67:AH130" si="24">IMPRODUCT(IMPRODUCT(AG67,$AG$1),2*PI()*AE67*0.0000000000088542)</f>
        <v>#REF!</v>
      </c>
      <c r="AI67" t="e">
        <f t="shared" si="20"/>
        <v>#REF!</v>
      </c>
      <c r="AJ67" t="e">
        <f t="shared" si="21"/>
        <v>#REF!</v>
      </c>
      <c r="AK67" t="e">
        <f t="shared" si="22"/>
        <v>#REF!</v>
      </c>
      <c r="AL67" t="e">
        <f t="shared" si="23"/>
        <v>#REF!</v>
      </c>
    </row>
    <row r="68" spans="2:38" x14ac:dyDescent="0.15">
      <c r="B68" t="e">
        <f>Experiment!#REF!</f>
        <v>#REF!</v>
      </c>
      <c r="C68" t="e">
        <f t="shared" ref="C68:C131" si="25">IMSUM($D$1,IMDIV(($E$1-$D$1),IMSUM(IMPOWER(IMPRODUCT($J$1,2*PI()*B68*$F$1),(1-$G$1)),1)),IMDIV($H$1,IMPRODUCT($J$1,2*PI()*B68*0.000000000008854)))</f>
        <v>#REF!</v>
      </c>
      <c r="D68" t="e">
        <f t="shared" ref="D68:D131" si="26">IMPRODUCT(C68,$J$1,2*PI()*B68*0.0000000000088542)</f>
        <v>#REF!</v>
      </c>
      <c r="E68" t="e">
        <f t="shared" ref="E68:E131" si="27">IMREAL(C68)</f>
        <v>#REF!</v>
      </c>
      <c r="F68" t="e">
        <f t="shared" ref="F68:F131" si="28">-IMAGINARY(C68)</f>
        <v>#REF!</v>
      </c>
      <c r="G68" t="e">
        <f t="shared" ref="G68:G131" si="29">IMREAL(D68)</f>
        <v>#REF!</v>
      </c>
      <c r="H68" t="e">
        <f t="shared" ref="H68:H131" si="30">IMAGINARY(D68)</f>
        <v>#REF!</v>
      </c>
      <c r="L68" t="e">
        <f>Reflection!I68</f>
        <v>#REF!</v>
      </c>
      <c r="M68" t="e">
        <f t="shared" ref="M68:M131" si="31">IMSUM(2.6,IMDIV(19.94,IMSUM(1,IMPOWER(IMPRODUCT($N$1,2*PI()*L68,0.0000000001649),1))),IMDIV(0.74,IMSUM(1,IMPRODUCT($N$1,2*PI()*L68*0.0000000000104))),IMDIV(1.19,IMSUM(1,IMPRODUCT($N$1,2*PI()*L68*0.00000000000169))))</f>
        <v>#REF!</v>
      </c>
      <c r="N68" t="e">
        <f t="shared" ref="N68:N131" si="32">IMPRODUCT(M68,$N$1,2*PI()*L68*0.0000000000088542)</f>
        <v>#REF!</v>
      </c>
      <c r="O68" t="e">
        <f t="shared" ref="O68:O131" si="33">IMREAL(M68)</f>
        <v>#REF!</v>
      </c>
      <c r="P68" t="e">
        <f t="shared" ref="P68:P131" si="34">-IMAGINARY(M68)</f>
        <v>#REF!</v>
      </c>
      <c r="Q68" t="e">
        <f t="shared" ref="Q68:Q131" si="35">IMREAL(N68)</f>
        <v>#REF!</v>
      </c>
      <c r="R68" t="e">
        <f t="shared" ref="R68:R131" si="36">IMAGINARY(N68)</f>
        <v>#REF!</v>
      </c>
      <c r="U68">
        <f>Reflection!Q68</f>
        <v>13700000</v>
      </c>
      <c r="V68" t="str">
        <f t="shared" ref="V68:V131" si="37">IMSUM($W$1,IMDIV(($X$1-$W$1),IMSUM(IMPOWER(IMPRODUCT($AC$1,2*PI()*U68*$Y$1),(1-$Z$1)),1)),IMDIV($AA$1,IMPRODUCT($AC$1,2*PI()*U68*0.000000000008854)))</f>
        <v>78.2848586832324-148.06967658703i</v>
      </c>
      <c r="W68" t="str">
        <f t="shared" ref="W68:W131" si="38">IMPRODUCT(V68,$N$1,2*PI()*U68*0.0000000000088542)</f>
        <v>0.112853723032746+0.0596660839891986i</v>
      </c>
      <c r="X68">
        <f t="shared" ref="X68:X131" si="39">IMREAL(V68)</f>
        <v>78.2848586832324</v>
      </c>
      <c r="Y68">
        <f t="shared" ref="Y68:Y131" si="40">-IMAGINARY(V68)</f>
        <v>148.06967658702999</v>
      </c>
      <c r="Z68">
        <f t="shared" ref="Z68:Z131" si="41">IMREAL(W68)</f>
        <v>0.112853723032746</v>
      </c>
      <c r="AA68">
        <f t="shared" ref="AA68:AA131" si="42">IMAGINARY(W68)</f>
        <v>5.96660839891986E-2</v>
      </c>
      <c r="AE68" t="e">
        <f>Reflection!Y68</f>
        <v>#REF!</v>
      </c>
      <c r="AF68" t="e">
        <f>IMDIV(IMPRODUCT(IMSUB(C68,V68),IMSUB(Reflection!AB68,Reflection!D68),IMSUB(Reflection!L68,Reflection!T68)),IMPRODUCT(IMSUB(Permitivity!M68,Permitivity!V68),IMSUB(Reflection!AB68,Reflection!L68),IMSUB(Reflection!D68,Reflection!T68)))</f>
        <v>#REF!</v>
      </c>
      <c r="AG68" t="e">
        <f t="shared" ref="AG68:AG131" si="43">IMDIV(IMSUB(C68,IMPRODUCT(AF68,M68)),IMSUB(1,AF68))</f>
        <v>#REF!</v>
      </c>
      <c r="AH68" t="e">
        <f t="shared" si="24"/>
        <v>#REF!</v>
      </c>
      <c r="AI68" t="e">
        <f t="shared" ref="AI68:AI131" si="44">IMREAL(AG68)</f>
        <v>#REF!</v>
      </c>
      <c r="AJ68" t="e">
        <f t="shared" ref="AJ68:AJ131" si="45">-IMAGINARY(AG68)</f>
        <v>#REF!</v>
      </c>
      <c r="AK68" t="e">
        <f t="shared" ref="AK68:AK131" si="46">IMREAL(AH68)</f>
        <v>#REF!</v>
      </c>
      <c r="AL68" t="e">
        <f t="shared" ref="AL68:AL131" si="47">IMAGINARY(AH68)</f>
        <v>#REF!</v>
      </c>
    </row>
    <row r="69" spans="2:38" x14ac:dyDescent="0.15">
      <c r="B69" t="e">
        <f>Experiment!#REF!</f>
        <v>#REF!</v>
      </c>
      <c r="C69" t="e">
        <f t="shared" si="25"/>
        <v>#REF!</v>
      </c>
      <c r="D69" t="e">
        <f t="shared" si="26"/>
        <v>#REF!</v>
      </c>
      <c r="E69" t="e">
        <f t="shared" si="27"/>
        <v>#REF!</v>
      </c>
      <c r="F69" t="e">
        <f t="shared" si="28"/>
        <v>#REF!</v>
      </c>
      <c r="G69" t="e">
        <f t="shared" si="29"/>
        <v>#REF!</v>
      </c>
      <c r="H69" t="e">
        <f t="shared" si="30"/>
        <v>#REF!</v>
      </c>
      <c r="L69" t="e">
        <f>Reflection!I69</f>
        <v>#REF!</v>
      </c>
      <c r="M69" t="e">
        <f t="shared" si="31"/>
        <v>#REF!</v>
      </c>
      <c r="N69" t="e">
        <f t="shared" si="32"/>
        <v>#REF!</v>
      </c>
      <c r="O69" t="e">
        <f t="shared" si="33"/>
        <v>#REF!</v>
      </c>
      <c r="P69" t="e">
        <f t="shared" si="34"/>
        <v>#REF!</v>
      </c>
      <c r="Q69" t="e">
        <f t="shared" si="35"/>
        <v>#REF!</v>
      </c>
      <c r="R69" t="e">
        <f t="shared" si="36"/>
        <v>#REF!</v>
      </c>
      <c r="U69">
        <f>Reflection!Q69</f>
        <v>14200000</v>
      </c>
      <c r="V69" t="str">
        <f t="shared" si="37"/>
        <v>78.2848535366605-142.859679433291i</v>
      </c>
      <c r="W69" t="str">
        <f t="shared" si="38"/>
        <v>0.1128566648118+0.0618436742296713i</v>
      </c>
      <c r="X69">
        <f t="shared" si="39"/>
        <v>78.284853536660506</v>
      </c>
      <c r="Y69">
        <f t="shared" si="40"/>
        <v>142.85967943329101</v>
      </c>
      <c r="Z69">
        <f t="shared" si="41"/>
        <v>0.1128566648118</v>
      </c>
      <c r="AA69">
        <f t="shared" si="42"/>
        <v>6.1843674229671297E-2</v>
      </c>
      <c r="AE69" t="e">
        <f>Reflection!Y69</f>
        <v>#REF!</v>
      </c>
      <c r="AF69" t="e">
        <f>IMDIV(IMPRODUCT(IMSUB(C69,V69),IMSUB(Reflection!AB69,Reflection!D69),IMSUB(Reflection!L69,Reflection!T69)),IMPRODUCT(IMSUB(Permitivity!M69,Permitivity!V69),IMSUB(Reflection!AB69,Reflection!L69),IMSUB(Reflection!D69,Reflection!T69)))</f>
        <v>#REF!</v>
      </c>
      <c r="AG69" t="e">
        <f t="shared" si="43"/>
        <v>#REF!</v>
      </c>
      <c r="AH69" t="e">
        <f t="shared" si="24"/>
        <v>#REF!</v>
      </c>
      <c r="AI69" t="e">
        <f t="shared" si="44"/>
        <v>#REF!</v>
      </c>
      <c r="AJ69" t="e">
        <f t="shared" si="45"/>
        <v>#REF!</v>
      </c>
      <c r="AK69" t="e">
        <f t="shared" si="46"/>
        <v>#REF!</v>
      </c>
      <c r="AL69" t="e">
        <f t="shared" si="47"/>
        <v>#REF!</v>
      </c>
    </row>
    <row r="70" spans="2:38" x14ac:dyDescent="0.15">
      <c r="B70" t="e">
        <f>Experiment!#REF!</f>
        <v>#REF!</v>
      </c>
      <c r="C70" t="e">
        <f t="shared" si="25"/>
        <v>#REF!</v>
      </c>
      <c r="D70" t="e">
        <f t="shared" si="26"/>
        <v>#REF!</v>
      </c>
      <c r="E70" t="e">
        <f t="shared" si="27"/>
        <v>#REF!</v>
      </c>
      <c r="F70" t="e">
        <f t="shared" si="28"/>
        <v>#REF!</v>
      </c>
      <c r="G70" t="e">
        <f t="shared" si="29"/>
        <v>#REF!</v>
      </c>
      <c r="H70" t="e">
        <f t="shared" si="30"/>
        <v>#REF!</v>
      </c>
      <c r="L70" t="e">
        <f>Reflection!I70</f>
        <v>#REF!</v>
      </c>
      <c r="M70" t="e">
        <f t="shared" si="31"/>
        <v>#REF!</v>
      </c>
      <c r="N70" t="e">
        <f t="shared" si="32"/>
        <v>#REF!</v>
      </c>
      <c r="O70" t="e">
        <f t="shared" si="33"/>
        <v>#REF!</v>
      </c>
      <c r="P70" t="e">
        <f t="shared" si="34"/>
        <v>#REF!</v>
      </c>
      <c r="Q70" t="e">
        <f t="shared" si="35"/>
        <v>#REF!</v>
      </c>
      <c r="R70" t="e">
        <f t="shared" si="36"/>
        <v>#REF!</v>
      </c>
      <c r="U70">
        <f>Reflection!Q70</f>
        <v>14800000</v>
      </c>
      <c r="V70" t="str">
        <f t="shared" si="37"/>
        <v>78.2848472315271-137.072527170004i</v>
      </c>
      <c r="W70" t="str">
        <f t="shared" si="38"/>
        <v>0.112860334012024+0.0644567820338829i</v>
      </c>
      <c r="X70">
        <f t="shared" si="39"/>
        <v>78.284847231527095</v>
      </c>
      <c r="Y70">
        <f t="shared" si="40"/>
        <v>137.07252717000401</v>
      </c>
      <c r="Z70">
        <f t="shared" si="41"/>
        <v>0.112860334012024</v>
      </c>
      <c r="AA70">
        <f t="shared" si="42"/>
        <v>6.4456782033882901E-2</v>
      </c>
      <c r="AE70" t="e">
        <f>Reflection!Y70</f>
        <v>#REF!</v>
      </c>
      <c r="AF70" t="e">
        <f>IMDIV(IMPRODUCT(IMSUB(C70,V70),IMSUB(Reflection!AB70,Reflection!D70),IMSUB(Reflection!L70,Reflection!T70)),IMPRODUCT(IMSUB(Permitivity!M70,Permitivity!V70),IMSUB(Reflection!AB70,Reflection!L70),IMSUB(Reflection!D70,Reflection!T70)))</f>
        <v>#REF!</v>
      </c>
      <c r="AG70" t="e">
        <f t="shared" si="43"/>
        <v>#REF!</v>
      </c>
      <c r="AH70" t="e">
        <f t="shared" si="24"/>
        <v>#REF!</v>
      </c>
      <c r="AI70" t="e">
        <f t="shared" si="44"/>
        <v>#REF!</v>
      </c>
      <c r="AJ70" t="e">
        <f t="shared" si="45"/>
        <v>#REF!</v>
      </c>
      <c r="AK70" t="e">
        <f t="shared" si="46"/>
        <v>#REF!</v>
      </c>
      <c r="AL70" t="e">
        <f t="shared" si="47"/>
        <v>#REF!</v>
      </c>
    </row>
    <row r="71" spans="2:38" x14ac:dyDescent="0.15">
      <c r="B71" t="e">
        <f>Experiment!#REF!</f>
        <v>#REF!</v>
      </c>
      <c r="C71" t="e">
        <f t="shared" si="25"/>
        <v>#REF!</v>
      </c>
      <c r="D71" t="e">
        <f t="shared" si="26"/>
        <v>#REF!</v>
      </c>
      <c r="E71" t="e">
        <f t="shared" si="27"/>
        <v>#REF!</v>
      </c>
      <c r="F71" t="e">
        <f t="shared" si="28"/>
        <v>#REF!</v>
      </c>
      <c r="G71" t="e">
        <f t="shared" si="29"/>
        <v>#REF!</v>
      </c>
      <c r="H71" t="e">
        <f t="shared" si="30"/>
        <v>#REF!</v>
      </c>
      <c r="L71" t="e">
        <f>Reflection!I71</f>
        <v>#REF!</v>
      </c>
      <c r="M71" t="e">
        <f t="shared" si="31"/>
        <v>#REF!</v>
      </c>
      <c r="N71" t="e">
        <f t="shared" si="32"/>
        <v>#REF!</v>
      </c>
      <c r="O71" t="e">
        <f t="shared" si="33"/>
        <v>#REF!</v>
      </c>
      <c r="P71" t="e">
        <f t="shared" si="34"/>
        <v>#REF!</v>
      </c>
      <c r="Q71" t="e">
        <f t="shared" si="35"/>
        <v>#REF!</v>
      </c>
      <c r="R71" t="e">
        <f t="shared" si="36"/>
        <v>#REF!</v>
      </c>
      <c r="U71">
        <f>Reflection!Q71</f>
        <v>15400000</v>
      </c>
      <c r="V71" t="str">
        <f t="shared" si="37"/>
        <v>78.284840785401-131.736498905791i</v>
      </c>
      <c r="W71" t="str">
        <f t="shared" si="38"/>
        <v>0.112864154915049+0.0670698892963751i</v>
      </c>
      <c r="X71">
        <f t="shared" si="39"/>
        <v>78.284840785401002</v>
      </c>
      <c r="Y71">
        <f t="shared" si="40"/>
        <v>131.736498905791</v>
      </c>
      <c r="Z71">
        <f t="shared" si="41"/>
        <v>0.112864154915049</v>
      </c>
      <c r="AA71">
        <f t="shared" si="42"/>
        <v>6.7069889296375099E-2</v>
      </c>
      <c r="AE71" t="e">
        <f>Reflection!Y71</f>
        <v>#REF!</v>
      </c>
      <c r="AF71" t="e">
        <f>IMDIV(IMPRODUCT(IMSUB(C71,V71),IMSUB(Reflection!AB71,Reflection!D71),IMSUB(Reflection!L71,Reflection!T71)),IMPRODUCT(IMSUB(Permitivity!M71,Permitivity!V71),IMSUB(Reflection!AB71,Reflection!L71),IMSUB(Reflection!D71,Reflection!T71)))</f>
        <v>#REF!</v>
      </c>
      <c r="AG71" t="e">
        <f t="shared" si="43"/>
        <v>#REF!</v>
      </c>
      <c r="AH71" t="e">
        <f t="shared" si="24"/>
        <v>#REF!</v>
      </c>
      <c r="AI71" t="e">
        <f t="shared" si="44"/>
        <v>#REF!</v>
      </c>
      <c r="AJ71" t="e">
        <f t="shared" si="45"/>
        <v>#REF!</v>
      </c>
      <c r="AK71" t="e">
        <f t="shared" si="46"/>
        <v>#REF!</v>
      </c>
      <c r="AL71" t="e">
        <f t="shared" si="47"/>
        <v>#REF!</v>
      </c>
    </row>
    <row r="72" spans="2:38" x14ac:dyDescent="0.15">
      <c r="B72" t="e">
        <f>Experiment!#REF!</f>
        <v>#REF!</v>
      </c>
      <c r="C72" t="e">
        <f t="shared" si="25"/>
        <v>#REF!</v>
      </c>
      <c r="D72" t="e">
        <f t="shared" si="26"/>
        <v>#REF!</v>
      </c>
      <c r="E72" t="e">
        <f t="shared" si="27"/>
        <v>#REF!</v>
      </c>
      <c r="F72" t="e">
        <f t="shared" si="28"/>
        <v>#REF!</v>
      </c>
      <c r="G72" t="e">
        <f t="shared" si="29"/>
        <v>#REF!</v>
      </c>
      <c r="H72" t="e">
        <f t="shared" si="30"/>
        <v>#REF!</v>
      </c>
      <c r="L72" t="e">
        <f>Reflection!I72</f>
        <v>#REF!</v>
      </c>
      <c r="M72" t="e">
        <f t="shared" si="31"/>
        <v>#REF!</v>
      </c>
      <c r="N72" t="e">
        <f t="shared" si="32"/>
        <v>#REF!</v>
      </c>
      <c r="O72" t="e">
        <f t="shared" si="33"/>
        <v>#REF!</v>
      </c>
      <c r="P72" t="e">
        <f t="shared" si="34"/>
        <v>#REF!</v>
      </c>
      <c r="Q72" t="e">
        <f t="shared" si="35"/>
        <v>#REF!</v>
      </c>
      <c r="R72" t="e">
        <f t="shared" si="36"/>
        <v>#REF!</v>
      </c>
      <c r="U72">
        <f>Reflection!Q72</f>
        <v>16100000.000000002</v>
      </c>
      <c r="V72" t="str">
        <f t="shared" si="37"/>
        <v>78.2848330867293-126.014015985271i</v>
      </c>
      <c r="W72" t="str">
        <f t="shared" si="38"/>
        <v>0.112868804364123+0.0701185137324474i</v>
      </c>
      <c r="X72">
        <f t="shared" si="39"/>
        <v>78.284833086729293</v>
      </c>
      <c r="Y72">
        <f t="shared" si="40"/>
        <v>126.014015985271</v>
      </c>
      <c r="Z72">
        <f t="shared" si="41"/>
        <v>0.112868804364123</v>
      </c>
      <c r="AA72">
        <f t="shared" si="42"/>
        <v>7.0118513732447402E-2</v>
      </c>
      <c r="AE72" t="e">
        <f>Reflection!Y72</f>
        <v>#REF!</v>
      </c>
      <c r="AF72" t="e">
        <f>IMDIV(IMPRODUCT(IMSUB(C72,V72),IMSUB(Reflection!AB72,Reflection!D72),IMSUB(Reflection!L72,Reflection!T72)),IMPRODUCT(IMSUB(Permitivity!M72,Permitivity!V72),IMSUB(Reflection!AB72,Reflection!L72),IMSUB(Reflection!D72,Reflection!T72)))</f>
        <v>#REF!</v>
      </c>
      <c r="AG72" t="e">
        <f t="shared" si="43"/>
        <v>#REF!</v>
      </c>
      <c r="AH72" t="e">
        <f t="shared" si="24"/>
        <v>#REF!</v>
      </c>
      <c r="AI72" t="e">
        <f t="shared" si="44"/>
        <v>#REF!</v>
      </c>
      <c r="AJ72" t="e">
        <f t="shared" si="45"/>
        <v>#REF!</v>
      </c>
      <c r="AK72" t="e">
        <f t="shared" si="46"/>
        <v>#REF!</v>
      </c>
      <c r="AL72" t="e">
        <f t="shared" si="47"/>
        <v>#REF!</v>
      </c>
    </row>
    <row r="73" spans="2:38" x14ac:dyDescent="0.15">
      <c r="B73" t="e">
        <f>Experiment!#REF!</f>
        <v>#REF!</v>
      </c>
      <c r="C73" t="e">
        <f t="shared" si="25"/>
        <v>#REF!</v>
      </c>
      <c r="D73" t="e">
        <f t="shared" si="26"/>
        <v>#REF!</v>
      </c>
      <c r="E73" t="e">
        <f t="shared" si="27"/>
        <v>#REF!</v>
      </c>
      <c r="F73" t="e">
        <f t="shared" si="28"/>
        <v>#REF!</v>
      </c>
      <c r="G73" t="e">
        <f t="shared" si="29"/>
        <v>#REF!</v>
      </c>
      <c r="H73" t="e">
        <f t="shared" si="30"/>
        <v>#REF!</v>
      </c>
      <c r="L73" t="e">
        <f>Reflection!I73</f>
        <v>#REF!</v>
      </c>
      <c r="M73" t="e">
        <f t="shared" si="31"/>
        <v>#REF!</v>
      </c>
      <c r="N73" t="e">
        <f t="shared" si="32"/>
        <v>#REF!</v>
      </c>
      <c r="O73" t="e">
        <f t="shared" si="33"/>
        <v>#REF!</v>
      </c>
      <c r="P73" t="e">
        <f t="shared" si="34"/>
        <v>#REF!</v>
      </c>
      <c r="Q73" t="e">
        <f t="shared" si="35"/>
        <v>#REF!</v>
      </c>
      <c r="R73" t="e">
        <f t="shared" si="36"/>
        <v>#REF!</v>
      </c>
      <c r="U73">
        <f>Reflection!Q73</f>
        <v>16700000</v>
      </c>
      <c r="V73" t="str">
        <f t="shared" si="37"/>
        <v>78.2848263351388-121.491032713322i</v>
      </c>
      <c r="W73" t="str">
        <f t="shared" si="38"/>
        <v>0.112872953939781+0.0727316197727977i</v>
      </c>
      <c r="X73">
        <f t="shared" si="39"/>
        <v>78.284826335138803</v>
      </c>
      <c r="Y73">
        <f t="shared" si="40"/>
        <v>121.491032713322</v>
      </c>
      <c r="Z73">
        <f t="shared" si="41"/>
        <v>0.112872953939781</v>
      </c>
      <c r="AA73">
        <f t="shared" si="42"/>
        <v>7.2731619772797698E-2</v>
      </c>
      <c r="AE73" t="e">
        <f>Reflection!Y73</f>
        <v>#REF!</v>
      </c>
      <c r="AF73" t="e">
        <f>IMDIV(IMPRODUCT(IMSUB(C73,V73),IMSUB(Reflection!AB73,Reflection!D73),IMSUB(Reflection!L73,Reflection!T73)),IMPRODUCT(IMSUB(Permitivity!M73,Permitivity!V73),IMSUB(Reflection!AB73,Reflection!L73),IMSUB(Reflection!D73,Reflection!T73)))</f>
        <v>#REF!</v>
      </c>
      <c r="AG73" t="e">
        <f t="shared" si="43"/>
        <v>#REF!</v>
      </c>
      <c r="AH73" t="e">
        <f t="shared" si="24"/>
        <v>#REF!</v>
      </c>
      <c r="AI73" t="e">
        <f t="shared" si="44"/>
        <v>#REF!</v>
      </c>
      <c r="AJ73" t="e">
        <f t="shared" si="45"/>
        <v>#REF!</v>
      </c>
      <c r="AK73" t="e">
        <f t="shared" si="46"/>
        <v>#REF!</v>
      </c>
      <c r="AL73" t="e">
        <f t="shared" si="47"/>
        <v>#REF!</v>
      </c>
    </row>
    <row r="74" spans="2:38" x14ac:dyDescent="0.15">
      <c r="B74" t="e">
        <f>Experiment!#REF!</f>
        <v>#REF!</v>
      </c>
      <c r="C74" t="e">
        <f t="shared" si="25"/>
        <v>#REF!</v>
      </c>
      <c r="D74" t="e">
        <f t="shared" si="26"/>
        <v>#REF!</v>
      </c>
      <c r="E74" t="e">
        <f t="shared" si="27"/>
        <v>#REF!</v>
      </c>
      <c r="F74" t="e">
        <f t="shared" si="28"/>
        <v>#REF!</v>
      </c>
      <c r="G74" t="e">
        <f t="shared" si="29"/>
        <v>#REF!</v>
      </c>
      <c r="H74" t="e">
        <f t="shared" si="30"/>
        <v>#REF!</v>
      </c>
      <c r="L74" t="e">
        <f>Reflection!I74</f>
        <v>#REF!</v>
      </c>
      <c r="M74" t="e">
        <f t="shared" si="31"/>
        <v>#REF!</v>
      </c>
      <c r="N74" t="e">
        <f t="shared" si="32"/>
        <v>#REF!</v>
      </c>
      <c r="O74" t="e">
        <f t="shared" si="33"/>
        <v>#REF!</v>
      </c>
      <c r="P74" t="e">
        <f t="shared" si="34"/>
        <v>#REF!</v>
      </c>
      <c r="Q74" t="e">
        <f t="shared" si="35"/>
        <v>#REF!</v>
      </c>
      <c r="R74" t="e">
        <f t="shared" si="36"/>
        <v>#REF!</v>
      </c>
      <c r="U74">
        <f>Reflection!Q74</f>
        <v>17400000</v>
      </c>
      <c r="V74" t="str">
        <f t="shared" si="37"/>
        <v>78.2848182801068-116.608661658948i</v>
      </c>
      <c r="W74" t="str">
        <f t="shared" si="38"/>
        <v>0.112877986827481+0.075780242744391i</v>
      </c>
      <c r="X74">
        <f t="shared" si="39"/>
        <v>78.284818280106805</v>
      </c>
      <c r="Y74">
        <f t="shared" si="40"/>
        <v>116.60866165894799</v>
      </c>
      <c r="Z74">
        <f t="shared" si="41"/>
        <v>0.112877986827481</v>
      </c>
      <c r="AA74">
        <f t="shared" si="42"/>
        <v>7.5780242744391005E-2</v>
      </c>
      <c r="AE74" t="e">
        <f>Reflection!Y74</f>
        <v>#REF!</v>
      </c>
      <c r="AF74" t="e">
        <f>IMDIV(IMPRODUCT(IMSUB(C74,V74),IMSUB(Reflection!AB74,Reflection!D74),IMSUB(Reflection!L74,Reflection!T74)),IMPRODUCT(IMSUB(Permitivity!M74,Permitivity!V74),IMSUB(Reflection!AB74,Reflection!L74),IMSUB(Reflection!D74,Reflection!T74)))</f>
        <v>#REF!</v>
      </c>
      <c r="AG74" t="e">
        <f t="shared" si="43"/>
        <v>#REF!</v>
      </c>
      <c r="AH74" t="e">
        <f t="shared" si="24"/>
        <v>#REF!</v>
      </c>
      <c r="AI74" t="e">
        <f t="shared" si="44"/>
        <v>#REF!</v>
      </c>
      <c r="AJ74" t="e">
        <f t="shared" si="45"/>
        <v>#REF!</v>
      </c>
      <c r="AK74" t="e">
        <f t="shared" si="46"/>
        <v>#REF!</v>
      </c>
      <c r="AL74" t="e">
        <f t="shared" si="47"/>
        <v>#REF!</v>
      </c>
    </row>
    <row r="75" spans="2:38" x14ac:dyDescent="0.15">
      <c r="B75" t="e">
        <f>Experiment!#REF!</f>
        <v>#REF!</v>
      </c>
      <c r="C75" t="e">
        <f t="shared" si="25"/>
        <v>#REF!</v>
      </c>
      <c r="D75" t="e">
        <f t="shared" si="26"/>
        <v>#REF!</v>
      </c>
      <c r="E75" t="e">
        <f t="shared" si="27"/>
        <v>#REF!</v>
      </c>
      <c r="F75" t="e">
        <f t="shared" si="28"/>
        <v>#REF!</v>
      </c>
      <c r="G75" t="e">
        <f t="shared" si="29"/>
        <v>#REF!</v>
      </c>
      <c r="H75" t="e">
        <f t="shared" si="30"/>
        <v>#REF!</v>
      </c>
      <c r="L75" t="e">
        <f>Reflection!I75</f>
        <v>#REF!</v>
      </c>
      <c r="M75" t="e">
        <f t="shared" si="31"/>
        <v>#REF!</v>
      </c>
      <c r="N75" t="e">
        <f t="shared" si="32"/>
        <v>#REF!</v>
      </c>
      <c r="O75" t="e">
        <f t="shared" si="33"/>
        <v>#REF!</v>
      </c>
      <c r="P75" t="e">
        <f t="shared" si="34"/>
        <v>#REF!</v>
      </c>
      <c r="Q75" t="e">
        <f t="shared" si="35"/>
        <v>#REF!</v>
      </c>
      <c r="R75" t="e">
        <f t="shared" si="36"/>
        <v>#REF!</v>
      </c>
      <c r="U75">
        <f>Reflection!Q75</f>
        <v>18100000</v>
      </c>
      <c r="V75" t="str">
        <f t="shared" si="37"/>
        <v>78.2848100332003-112.104137596509i</v>
      </c>
      <c r="W75" t="str">
        <f t="shared" si="38"/>
        <v>0.112883226172017+0.0788288648954052i</v>
      </c>
      <c r="X75">
        <f t="shared" si="39"/>
        <v>78.284810033200301</v>
      </c>
      <c r="Y75">
        <f t="shared" si="40"/>
        <v>112.10413759650901</v>
      </c>
      <c r="Z75">
        <f t="shared" si="41"/>
        <v>0.112883226172017</v>
      </c>
      <c r="AA75">
        <f t="shared" si="42"/>
        <v>7.8828864895405207E-2</v>
      </c>
      <c r="AE75" t="e">
        <f>Reflection!Y75</f>
        <v>#REF!</v>
      </c>
      <c r="AF75" t="e">
        <f>IMDIV(IMPRODUCT(IMSUB(C75,V75),IMSUB(Reflection!AB75,Reflection!D75),IMSUB(Reflection!L75,Reflection!T75)),IMPRODUCT(IMSUB(Permitivity!M75,Permitivity!V75),IMSUB(Reflection!AB75,Reflection!L75),IMSUB(Reflection!D75,Reflection!T75)))</f>
        <v>#REF!</v>
      </c>
      <c r="AG75" t="e">
        <f t="shared" si="43"/>
        <v>#REF!</v>
      </c>
      <c r="AH75" t="e">
        <f t="shared" si="24"/>
        <v>#REF!</v>
      </c>
      <c r="AI75" t="e">
        <f t="shared" si="44"/>
        <v>#REF!</v>
      </c>
      <c r="AJ75" t="e">
        <f t="shared" si="45"/>
        <v>#REF!</v>
      </c>
      <c r="AK75" t="e">
        <f t="shared" si="46"/>
        <v>#REF!</v>
      </c>
      <c r="AL75" t="e">
        <f t="shared" si="47"/>
        <v>#REF!</v>
      </c>
    </row>
    <row r="76" spans="2:38" x14ac:dyDescent="0.15">
      <c r="B76" t="e">
        <f>Experiment!#REF!</f>
        <v>#REF!</v>
      </c>
      <c r="C76" t="e">
        <f t="shared" si="25"/>
        <v>#REF!</v>
      </c>
      <c r="D76" t="e">
        <f t="shared" si="26"/>
        <v>#REF!</v>
      </c>
      <c r="E76" t="e">
        <f t="shared" si="27"/>
        <v>#REF!</v>
      </c>
      <c r="F76" t="e">
        <f t="shared" si="28"/>
        <v>#REF!</v>
      </c>
      <c r="G76" t="e">
        <f t="shared" si="29"/>
        <v>#REF!</v>
      </c>
      <c r="H76" t="e">
        <f t="shared" si="30"/>
        <v>#REF!</v>
      </c>
      <c r="L76" t="e">
        <f>Reflection!I76</f>
        <v>#REF!</v>
      </c>
      <c r="M76" t="e">
        <f t="shared" si="31"/>
        <v>#REF!</v>
      </c>
      <c r="N76" t="e">
        <f t="shared" si="32"/>
        <v>#REF!</v>
      </c>
      <c r="O76" t="e">
        <f t="shared" si="33"/>
        <v>#REF!</v>
      </c>
      <c r="P76" t="e">
        <f t="shared" si="34"/>
        <v>#REF!</v>
      </c>
      <c r="Q76" t="e">
        <f t="shared" si="35"/>
        <v>#REF!</v>
      </c>
      <c r="R76" t="e">
        <f t="shared" si="36"/>
        <v>#REF!</v>
      </c>
      <c r="U76">
        <f>Reflection!Q76</f>
        <v>18900000</v>
      </c>
      <c r="V76" t="str">
        <f t="shared" si="37"/>
        <v>78.284800373226-107.364924132128i</v>
      </c>
      <c r="W76" t="str">
        <f t="shared" si="38"/>
        <v>0.112889466790007+0.0823130034630284i</v>
      </c>
      <c r="X76">
        <f t="shared" si="39"/>
        <v>78.284800373226005</v>
      </c>
      <c r="Y76">
        <f t="shared" si="40"/>
        <v>107.364924132128</v>
      </c>
      <c r="Z76">
        <f t="shared" si="41"/>
        <v>0.112889466790007</v>
      </c>
      <c r="AA76">
        <f t="shared" si="42"/>
        <v>8.2313003463028403E-2</v>
      </c>
      <c r="AE76" t="e">
        <f>Reflection!Y76</f>
        <v>#REF!</v>
      </c>
      <c r="AF76" t="e">
        <f>IMDIV(IMPRODUCT(IMSUB(C76,V76),IMSUB(Reflection!AB76,Reflection!D76),IMSUB(Reflection!L76,Reflection!T76)),IMPRODUCT(IMSUB(Permitivity!M76,Permitivity!V76),IMSUB(Reflection!AB76,Reflection!L76),IMSUB(Reflection!D76,Reflection!T76)))</f>
        <v>#REF!</v>
      </c>
      <c r="AG76" t="e">
        <f t="shared" si="43"/>
        <v>#REF!</v>
      </c>
      <c r="AH76" t="e">
        <f t="shared" si="24"/>
        <v>#REF!</v>
      </c>
      <c r="AI76" t="e">
        <f t="shared" si="44"/>
        <v>#REF!</v>
      </c>
      <c r="AJ76" t="e">
        <f t="shared" si="45"/>
        <v>#REF!</v>
      </c>
      <c r="AK76" t="e">
        <f t="shared" si="46"/>
        <v>#REF!</v>
      </c>
      <c r="AL76" t="e">
        <f t="shared" si="47"/>
        <v>#REF!</v>
      </c>
    </row>
    <row r="77" spans="2:38" x14ac:dyDescent="0.15">
      <c r="B77" t="e">
        <f>Experiment!#REF!</f>
        <v>#REF!</v>
      </c>
      <c r="C77" t="e">
        <f t="shared" si="25"/>
        <v>#REF!</v>
      </c>
      <c r="D77" t="e">
        <f t="shared" si="26"/>
        <v>#REF!</v>
      </c>
      <c r="E77" t="e">
        <f t="shared" si="27"/>
        <v>#REF!</v>
      </c>
      <c r="F77" t="e">
        <f t="shared" si="28"/>
        <v>#REF!</v>
      </c>
      <c r="G77" t="e">
        <f t="shared" si="29"/>
        <v>#REF!</v>
      </c>
      <c r="H77" t="e">
        <f t="shared" si="30"/>
        <v>#REF!</v>
      </c>
      <c r="L77" t="e">
        <f>Reflection!I77</f>
        <v>#REF!</v>
      </c>
      <c r="M77" t="e">
        <f t="shared" si="31"/>
        <v>#REF!</v>
      </c>
      <c r="N77" t="e">
        <f t="shared" si="32"/>
        <v>#REF!</v>
      </c>
      <c r="O77" t="e">
        <f t="shared" si="33"/>
        <v>#REF!</v>
      </c>
      <c r="P77" t="e">
        <f t="shared" si="34"/>
        <v>#REF!</v>
      </c>
      <c r="Q77" t="e">
        <f t="shared" si="35"/>
        <v>#REF!</v>
      </c>
      <c r="R77" t="e">
        <f t="shared" si="36"/>
        <v>#REF!</v>
      </c>
      <c r="U77">
        <f>Reflection!Q77</f>
        <v>19600000</v>
      </c>
      <c r="V77" t="str">
        <f t="shared" si="37"/>
        <v>78.2847917151868-103.535673246756i</v>
      </c>
      <c r="W77" t="str">
        <f t="shared" si="38"/>
        <v>0.1128951485197+0.0853616237802049i</v>
      </c>
      <c r="X77">
        <f t="shared" si="39"/>
        <v>78.284791715186799</v>
      </c>
      <c r="Y77">
        <f t="shared" si="40"/>
        <v>103.53567324675601</v>
      </c>
      <c r="Z77">
        <f t="shared" si="41"/>
        <v>0.11289514851970001</v>
      </c>
      <c r="AA77">
        <f t="shared" si="42"/>
        <v>8.5361623780204898E-2</v>
      </c>
      <c r="AE77" t="e">
        <f>Reflection!Y77</f>
        <v>#REF!</v>
      </c>
      <c r="AF77" t="e">
        <f>IMDIV(IMPRODUCT(IMSUB(C77,V77),IMSUB(Reflection!AB77,Reflection!D77),IMSUB(Reflection!L77,Reflection!T77)),IMPRODUCT(IMSUB(Permitivity!M77,Permitivity!V77),IMSUB(Reflection!AB77,Reflection!L77),IMSUB(Reflection!D77,Reflection!T77)))</f>
        <v>#REF!</v>
      </c>
      <c r="AG77" t="e">
        <f t="shared" si="43"/>
        <v>#REF!</v>
      </c>
      <c r="AH77" t="e">
        <f t="shared" si="24"/>
        <v>#REF!</v>
      </c>
      <c r="AI77" t="e">
        <f t="shared" si="44"/>
        <v>#REF!</v>
      </c>
      <c r="AJ77" t="e">
        <f t="shared" si="45"/>
        <v>#REF!</v>
      </c>
      <c r="AK77" t="e">
        <f t="shared" si="46"/>
        <v>#REF!</v>
      </c>
      <c r="AL77" t="e">
        <f t="shared" si="47"/>
        <v>#REF!</v>
      </c>
    </row>
    <row r="78" spans="2:38" x14ac:dyDescent="0.15">
      <c r="B78" t="e">
        <f>Experiment!#REF!</f>
        <v>#REF!</v>
      </c>
      <c r="C78" t="e">
        <f t="shared" si="25"/>
        <v>#REF!</v>
      </c>
      <c r="D78" t="e">
        <f t="shared" si="26"/>
        <v>#REF!</v>
      </c>
      <c r="E78" t="e">
        <f t="shared" si="27"/>
        <v>#REF!</v>
      </c>
      <c r="F78" t="e">
        <f t="shared" si="28"/>
        <v>#REF!</v>
      </c>
      <c r="G78" t="e">
        <f t="shared" si="29"/>
        <v>#REF!</v>
      </c>
      <c r="H78" t="e">
        <f t="shared" si="30"/>
        <v>#REF!</v>
      </c>
      <c r="L78" t="e">
        <f>Reflection!I78</f>
        <v>#REF!</v>
      </c>
      <c r="M78" t="e">
        <f t="shared" si="31"/>
        <v>#REF!</v>
      </c>
      <c r="N78" t="e">
        <f t="shared" si="32"/>
        <v>#REF!</v>
      </c>
      <c r="O78" t="e">
        <f t="shared" si="33"/>
        <v>#REF!</v>
      </c>
      <c r="P78" t="e">
        <f t="shared" si="34"/>
        <v>#REF!</v>
      </c>
      <c r="Q78" t="e">
        <f t="shared" si="35"/>
        <v>#REF!</v>
      </c>
      <c r="R78" t="e">
        <f t="shared" si="36"/>
        <v>#REF!</v>
      </c>
      <c r="U78">
        <f>Reflection!Q78</f>
        <v>20400000</v>
      </c>
      <c r="V78" t="str">
        <f t="shared" si="37"/>
        <v>78.2847815853677-99.4813950408145i</v>
      </c>
      <c r="W78" t="str">
        <f t="shared" si="38"/>
        <v>0.112901894704085+0.0888457601932226i</v>
      </c>
      <c r="X78">
        <f t="shared" si="39"/>
        <v>78.284781585367696</v>
      </c>
      <c r="Y78">
        <f t="shared" si="40"/>
        <v>99.481395040814505</v>
      </c>
      <c r="Z78">
        <f t="shared" si="41"/>
        <v>0.112901894704085</v>
      </c>
      <c r="AA78">
        <f t="shared" si="42"/>
        <v>8.88457601932226E-2</v>
      </c>
      <c r="AE78" t="e">
        <f>Reflection!Y78</f>
        <v>#REF!</v>
      </c>
      <c r="AF78" t="e">
        <f>IMDIV(IMPRODUCT(IMSUB(C78,V78),IMSUB(Reflection!AB78,Reflection!D78),IMSUB(Reflection!L78,Reflection!T78)),IMPRODUCT(IMSUB(Permitivity!M78,Permitivity!V78),IMSUB(Reflection!AB78,Reflection!L78),IMSUB(Reflection!D78,Reflection!T78)))</f>
        <v>#REF!</v>
      </c>
      <c r="AG78" t="e">
        <f t="shared" si="43"/>
        <v>#REF!</v>
      </c>
      <c r="AH78" t="e">
        <f t="shared" si="24"/>
        <v>#REF!</v>
      </c>
      <c r="AI78" t="e">
        <f t="shared" si="44"/>
        <v>#REF!</v>
      </c>
      <c r="AJ78" t="e">
        <f t="shared" si="45"/>
        <v>#REF!</v>
      </c>
      <c r="AK78" t="e">
        <f t="shared" si="46"/>
        <v>#REF!</v>
      </c>
      <c r="AL78" t="e">
        <f t="shared" si="47"/>
        <v>#REF!</v>
      </c>
    </row>
    <row r="79" spans="2:38" x14ac:dyDescent="0.15">
      <c r="B79" t="e">
        <f>Experiment!#REF!</f>
        <v>#REF!</v>
      </c>
      <c r="C79" t="e">
        <f t="shared" si="25"/>
        <v>#REF!</v>
      </c>
      <c r="D79" t="e">
        <f t="shared" si="26"/>
        <v>#REF!</v>
      </c>
      <c r="E79" t="e">
        <f t="shared" si="27"/>
        <v>#REF!</v>
      </c>
      <c r="F79" t="e">
        <f t="shared" si="28"/>
        <v>#REF!</v>
      </c>
      <c r="G79" t="e">
        <f t="shared" si="29"/>
        <v>#REF!</v>
      </c>
      <c r="H79" t="e">
        <f t="shared" si="30"/>
        <v>#REF!</v>
      </c>
      <c r="L79" t="e">
        <f>Reflection!I79</f>
        <v>#REF!</v>
      </c>
      <c r="M79" t="e">
        <f t="shared" si="31"/>
        <v>#REF!</v>
      </c>
      <c r="N79" t="e">
        <f t="shared" si="32"/>
        <v>#REF!</v>
      </c>
      <c r="O79" t="e">
        <f t="shared" si="33"/>
        <v>#REF!</v>
      </c>
      <c r="P79" t="e">
        <f t="shared" si="34"/>
        <v>#REF!</v>
      </c>
      <c r="Q79" t="e">
        <f t="shared" si="35"/>
        <v>#REF!</v>
      </c>
      <c r="R79" t="e">
        <f t="shared" si="36"/>
        <v>#REF!</v>
      </c>
      <c r="U79">
        <f>Reflection!Q79</f>
        <v>21300000</v>
      </c>
      <c r="V79" t="str">
        <f t="shared" si="37"/>
        <v>78.2847698898155-95.2846325344157i</v>
      </c>
      <c r="W79" t="str">
        <f t="shared" si="38"/>
        <v>0.112909806444093+0.0927654122251755i</v>
      </c>
      <c r="X79">
        <f t="shared" si="39"/>
        <v>78.284769889815493</v>
      </c>
      <c r="Y79">
        <f t="shared" si="40"/>
        <v>95.284632534415707</v>
      </c>
      <c r="Z79">
        <f t="shared" si="41"/>
        <v>0.112909806444093</v>
      </c>
      <c r="AA79">
        <f t="shared" si="42"/>
        <v>9.2765412225175495E-2</v>
      </c>
      <c r="AE79" t="e">
        <f>Reflection!Y79</f>
        <v>#REF!</v>
      </c>
      <c r="AF79" t="e">
        <f>IMDIV(IMPRODUCT(IMSUB(C79,V79),IMSUB(Reflection!AB79,Reflection!D79),IMSUB(Reflection!L79,Reflection!T79)),IMPRODUCT(IMSUB(Permitivity!M79,Permitivity!V79),IMSUB(Reflection!AB79,Reflection!L79),IMSUB(Reflection!D79,Reflection!T79)))</f>
        <v>#REF!</v>
      </c>
      <c r="AG79" t="e">
        <f t="shared" si="43"/>
        <v>#REF!</v>
      </c>
      <c r="AH79" t="e">
        <f t="shared" si="24"/>
        <v>#REF!</v>
      </c>
      <c r="AI79" t="e">
        <f t="shared" si="44"/>
        <v>#REF!</v>
      </c>
      <c r="AJ79" t="e">
        <f t="shared" si="45"/>
        <v>#REF!</v>
      </c>
      <c r="AK79" t="e">
        <f t="shared" si="46"/>
        <v>#REF!</v>
      </c>
      <c r="AL79" t="e">
        <f t="shared" si="47"/>
        <v>#REF!</v>
      </c>
    </row>
    <row r="80" spans="2:38" x14ac:dyDescent="0.15">
      <c r="B80" t="e">
        <f>Experiment!#REF!</f>
        <v>#REF!</v>
      </c>
      <c r="C80" t="e">
        <f t="shared" si="25"/>
        <v>#REF!</v>
      </c>
      <c r="D80" t="e">
        <f t="shared" si="26"/>
        <v>#REF!</v>
      </c>
      <c r="E80" t="e">
        <f t="shared" si="27"/>
        <v>#REF!</v>
      </c>
      <c r="F80" t="e">
        <f t="shared" si="28"/>
        <v>#REF!</v>
      </c>
      <c r="G80" t="e">
        <f t="shared" si="29"/>
        <v>#REF!</v>
      </c>
      <c r="H80" t="e">
        <f t="shared" si="30"/>
        <v>#REF!</v>
      </c>
      <c r="L80" t="e">
        <f>Reflection!I80</f>
        <v>#REF!</v>
      </c>
      <c r="M80" t="e">
        <f t="shared" si="31"/>
        <v>#REF!</v>
      </c>
      <c r="N80" t="e">
        <f t="shared" si="32"/>
        <v>#REF!</v>
      </c>
      <c r="O80" t="e">
        <f t="shared" si="33"/>
        <v>#REF!</v>
      </c>
      <c r="P80" t="e">
        <f t="shared" si="34"/>
        <v>#REF!</v>
      </c>
      <c r="Q80" t="e">
        <f t="shared" si="35"/>
        <v>#REF!</v>
      </c>
      <c r="R80" t="e">
        <f t="shared" si="36"/>
        <v>#REF!</v>
      </c>
      <c r="U80">
        <f>Reflection!Q80</f>
        <v>22200000</v>
      </c>
      <c r="V80" t="str">
        <f t="shared" si="37"/>
        <v>78.2847578771555-91.4284243578506i</v>
      </c>
      <c r="W80" t="str">
        <f t="shared" si="38"/>
        <v>0.112918059412691+0.0966850626943098i</v>
      </c>
      <c r="X80">
        <f t="shared" si="39"/>
        <v>78.284757877155499</v>
      </c>
      <c r="Y80">
        <f t="shared" si="40"/>
        <v>91.428424357850602</v>
      </c>
      <c r="Z80">
        <f t="shared" si="41"/>
        <v>0.11291805941269099</v>
      </c>
      <c r="AA80">
        <f t="shared" si="42"/>
        <v>9.6685062694309806E-2</v>
      </c>
      <c r="AE80" t="e">
        <f>Reflection!Y80</f>
        <v>#REF!</v>
      </c>
      <c r="AF80" t="e">
        <f>IMDIV(IMPRODUCT(IMSUB(C80,V80),IMSUB(Reflection!AB80,Reflection!D80),IMSUB(Reflection!L80,Reflection!T80)),IMPRODUCT(IMSUB(Permitivity!M80,Permitivity!V80),IMSUB(Reflection!AB80,Reflection!L80),IMSUB(Reflection!D80,Reflection!T80)))</f>
        <v>#REF!</v>
      </c>
      <c r="AG80" t="e">
        <f t="shared" si="43"/>
        <v>#REF!</v>
      </c>
      <c r="AH80" t="e">
        <f t="shared" si="24"/>
        <v>#REF!</v>
      </c>
      <c r="AI80" t="e">
        <f t="shared" si="44"/>
        <v>#REF!</v>
      </c>
      <c r="AJ80" t="e">
        <f t="shared" si="45"/>
        <v>#REF!</v>
      </c>
      <c r="AK80" t="e">
        <f t="shared" si="46"/>
        <v>#REF!</v>
      </c>
      <c r="AL80" t="e">
        <f t="shared" si="47"/>
        <v>#REF!</v>
      </c>
    </row>
    <row r="81" spans="2:38" x14ac:dyDescent="0.15">
      <c r="B81" t="e">
        <f>Experiment!#REF!</f>
        <v>#REF!</v>
      </c>
      <c r="C81" t="e">
        <f t="shared" si="25"/>
        <v>#REF!</v>
      </c>
      <c r="D81" t="e">
        <f t="shared" si="26"/>
        <v>#REF!</v>
      </c>
      <c r="E81" t="e">
        <f t="shared" si="27"/>
        <v>#REF!</v>
      </c>
      <c r="F81" t="e">
        <f t="shared" si="28"/>
        <v>#REF!</v>
      </c>
      <c r="G81" t="e">
        <f t="shared" si="29"/>
        <v>#REF!</v>
      </c>
      <c r="H81" t="e">
        <f t="shared" si="30"/>
        <v>#REF!</v>
      </c>
      <c r="L81" t="e">
        <f>Reflection!I81</f>
        <v>#REF!</v>
      </c>
      <c r="M81" t="e">
        <f t="shared" si="31"/>
        <v>#REF!</v>
      </c>
      <c r="N81" t="e">
        <f t="shared" si="32"/>
        <v>#REF!</v>
      </c>
      <c r="O81" t="e">
        <f t="shared" si="33"/>
        <v>#REF!</v>
      </c>
      <c r="P81" t="e">
        <f t="shared" si="34"/>
        <v>#REF!</v>
      </c>
      <c r="Q81" t="e">
        <f t="shared" si="35"/>
        <v>#REF!</v>
      </c>
      <c r="R81" t="e">
        <f t="shared" si="36"/>
        <v>#REF!</v>
      </c>
      <c r="U81">
        <f>Reflection!Q81</f>
        <v>23100000</v>
      </c>
      <c r="V81" t="str">
        <f t="shared" si="37"/>
        <v>78.2847455474026-87.8729654504238i</v>
      </c>
      <c r="W81" t="str">
        <f t="shared" si="38"/>
        <v>0.11292665359811+0.100604711553013i</v>
      </c>
      <c r="X81">
        <f t="shared" si="39"/>
        <v>78.284745547402594</v>
      </c>
      <c r="Y81">
        <f t="shared" si="40"/>
        <v>87.872965450423806</v>
      </c>
      <c r="Z81">
        <f t="shared" si="41"/>
        <v>0.11292665359810999</v>
      </c>
      <c r="AA81">
        <f t="shared" si="42"/>
        <v>0.100604711553013</v>
      </c>
      <c r="AE81" t="e">
        <f>Reflection!Y81</f>
        <v>#REF!</v>
      </c>
      <c r="AF81" t="e">
        <f>IMDIV(IMPRODUCT(IMSUB(C81,V81),IMSUB(Reflection!AB81,Reflection!D81),IMSUB(Reflection!L81,Reflection!T81)),IMPRODUCT(IMSUB(Permitivity!M81,Permitivity!V81),IMSUB(Reflection!AB81,Reflection!L81),IMSUB(Reflection!D81,Reflection!T81)))</f>
        <v>#REF!</v>
      </c>
      <c r="AG81" t="e">
        <f t="shared" si="43"/>
        <v>#REF!</v>
      </c>
      <c r="AH81" t="e">
        <f t="shared" si="24"/>
        <v>#REF!</v>
      </c>
      <c r="AI81" t="e">
        <f t="shared" si="44"/>
        <v>#REF!</v>
      </c>
      <c r="AJ81" t="e">
        <f t="shared" si="45"/>
        <v>#REF!</v>
      </c>
      <c r="AK81" t="e">
        <f t="shared" si="46"/>
        <v>#REF!</v>
      </c>
      <c r="AL81" t="e">
        <f t="shared" si="47"/>
        <v>#REF!</v>
      </c>
    </row>
    <row r="82" spans="2:38" x14ac:dyDescent="0.15">
      <c r="B82" t="e">
        <f>Experiment!#REF!</f>
        <v>#REF!</v>
      </c>
      <c r="C82" t="e">
        <f t="shared" si="25"/>
        <v>#REF!</v>
      </c>
      <c r="D82" t="e">
        <f t="shared" si="26"/>
        <v>#REF!</v>
      </c>
      <c r="E82" t="e">
        <f t="shared" si="27"/>
        <v>#REF!</v>
      </c>
      <c r="F82" t="e">
        <f t="shared" si="28"/>
        <v>#REF!</v>
      </c>
      <c r="G82" t="e">
        <f t="shared" si="29"/>
        <v>#REF!</v>
      </c>
      <c r="H82" t="e">
        <f t="shared" si="30"/>
        <v>#REF!</v>
      </c>
      <c r="L82" t="e">
        <f>Reflection!I82</f>
        <v>#REF!</v>
      </c>
      <c r="M82" t="e">
        <f t="shared" si="31"/>
        <v>#REF!</v>
      </c>
      <c r="N82" t="e">
        <f t="shared" si="32"/>
        <v>#REF!</v>
      </c>
      <c r="O82" t="e">
        <f t="shared" si="33"/>
        <v>#REF!</v>
      </c>
      <c r="P82" t="e">
        <f t="shared" si="34"/>
        <v>#REF!</v>
      </c>
      <c r="Q82" t="e">
        <f t="shared" si="35"/>
        <v>#REF!</v>
      </c>
      <c r="R82" t="e">
        <f t="shared" si="36"/>
        <v>#REF!</v>
      </c>
      <c r="U82">
        <f>Reflection!Q82</f>
        <v>24000000</v>
      </c>
      <c r="V82" t="str">
        <f t="shared" si="37"/>
        <v>78.2847329005718-84.584421510878i</v>
      </c>
      <c r="W82" t="str">
        <f t="shared" si="38"/>
        <v>0.11293558898903+0.104524358753674i</v>
      </c>
      <c r="X82">
        <f t="shared" si="39"/>
        <v>78.284732900571797</v>
      </c>
      <c r="Y82">
        <f t="shared" si="40"/>
        <v>84.584421510878002</v>
      </c>
      <c r="Z82">
        <f t="shared" si="41"/>
        <v>0.11293558898903</v>
      </c>
      <c r="AA82">
        <f t="shared" si="42"/>
        <v>0.104524358753674</v>
      </c>
      <c r="AE82" t="e">
        <f>Reflection!Y82</f>
        <v>#REF!</v>
      </c>
      <c r="AF82" t="e">
        <f>IMDIV(IMPRODUCT(IMSUB(C82,V82),IMSUB(Reflection!AB82,Reflection!D82),IMSUB(Reflection!L82,Reflection!T82)),IMPRODUCT(IMSUB(Permitivity!M82,Permitivity!V82),IMSUB(Reflection!AB82,Reflection!L82),IMSUB(Reflection!D82,Reflection!T82)))</f>
        <v>#REF!</v>
      </c>
      <c r="AG82" t="e">
        <f t="shared" si="43"/>
        <v>#REF!</v>
      </c>
      <c r="AH82" t="e">
        <f t="shared" si="24"/>
        <v>#REF!</v>
      </c>
      <c r="AI82" t="e">
        <f t="shared" si="44"/>
        <v>#REF!</v>
      </c>
      <c r="AJ82" t="e">
        <f t="shared" si="45"/>
        <v>#REF!</v>
      </c>
      <c r="AK82" t="e">
        <f t="shared" si="46"/>
        <v>#REF!</v>
      </c>
      <c r="AL82" t="e">
        <f t="shared" si="47"/>
        <v>#REF!</v>
      </c>
    </row>
    <row r="83" spans="2:38" x14ac:dyDescent="0.15">
      <c r="B83" t="e">
        <f>Experiment!#REF!</f>
        <v>#REF!</v>
      </c>
      <c r="C83" t="e">
        <f t="shared" si="25"/>
        <v>#REF!</v>
      </c>
      <c r="D83" t="e">
        <f t="shared" si="26"/>
        <v>#REF!</v>
      </c>
      <c r="E83" t="e">
        <f t="shared" si="27"/>
        <v>#REF!</v>
      </c>
      <c r="F83" t="e">
        <f t="shared" si="28"/>
        <v>#REF!</v>
      </c>
      <c r="G83" t="e">
        <f t="shared" si="29"/>
        <v>#REF!</v>
      </c>
      <c r="H83" t="e">
        <f t="shared" si="30"/>
        <v>#REF!</v>
      </c>
      <c r="L83" t="e">
        <f>Reflection!I83</f>
        <v>#REF!</v>
      </c>
      <c r="M83" t="e">
        <f t="shared" si="31"/>
        <v>#REF!</v>
      </c>
      <c r="N83" t="e">
        <f t="shared" si="32"/>
        <v>#REF!</v>
      </c>
      <c r="O83" t="e">
        <f t="shared" si="33"/>
        <v>#REF!</v>
      </c>
      <c r="P83" t="e">
        <f t="shared" si="34"/>
        <v>#REF!</v>
      </c>
      <c r="Q83" t="e">
        <f t="shared" si="35"/>
        <v>#REF!</v>
      </c>
      <c r="R83" t="e">
        <f t="shared" si="36"/>
        <v>#REF!</v>
      </c>
      <c r="U83">
        <f>Reflection!Q83</f>
        <v>25000000</v>
      </c>
      <c r="V83" t="str">
        <f t="shared" si="37"/>
        <v>78.2847184766755-81.2084707869184i</v>
      </c>
      <c r="W83" t="str">
        <f t="shared" si="38"/>
        <v>0.112945917367198+0.108879520307446i</v>
      </c>
      <c r="X83">
        <f t="shared" si="39"/>
        <v>78.284718476675494</v>
      </c>
      <c r="Y83">
        <f t="shared" si="40"/>
        <v>81.208470786918397</v>
      </c>
      <c r="Z83">
        <f t="shared" si="41"/>
        <v>0.112945917367198</v>
      </c>
      <c r="AA83">
        <f t="shared" si="42"/>
        <v>0.10887952030744601</v>
      </c>
      <c r="AE83" t="e">
        <f>Reflection!Y83</f>
        <v>#REF!</v>
      </c>
      <c r="AF83" t="e">
        <f>IMDIV(IMPRODUCT(IMSUB(C83,V83),IMSUB(Reflection!AB83,Reflection!D83),IMSUB(Reflection!L83,Reflection!T83)),IMPRODUCT(IMSUB(Permitivity!M83,Permitivity!V83),IMSUB(Reflection!AB83,Reflection!L83),IMSUB(Reflection!D83,Reflection!T83)))</f>
        <v>#REF!</v>
      </c>
      <c r="AG83" t="e">
        <f t="shared" si="43"/>
        <v>#REF!</v>
      </c>
      <c r="AH83" t="e">
        <f t="shared" si="24"/>
        <v>#REF!</v>
      </c>
      <c r="AI83" t="e">
        <f t="shared" si="44"/>
        <v>#REF!</v>
      </c>
      <c r="AJ83" t="e">
        <f t="shared" si="45"/>
        <v>#REF!</v>
      </c>
      <c r="AK83" t="e">
        <f t="shared" si="46"/>
        <v>#REF!</v>
      </c>
      <c r="AL83" t="e">
        <f t="shared" si="47"/>
        <v>#REF!</v>
      </c>
    </row>
    <row r="84" spans="2:38" x14ac:dyDescent="0.15">
      <c r="B84" t="e">
        <f>Experiment!#REF!</f>
        <v>#REF!</v>
      </c>
      <c r="C84" t="e">
        <f t="shared" si="25"/>
        <v>#REF!</v>
      </c>
      <c r="D84" t="e">
        <f t="shared" si="26"/>
        <v>#REF!</v>
      </c>
      <c r="E84" t="e">
        <f t="shared" si="27"/>
        <v>#REF!</v>
      </c>
      <c r="F84" t="e">
        <f t="shared" si="28"/>
        <v>#REF!</v>
      </c>
      <c r="G84" t="e">
        <f t="shared" si="29"/>
        <v>#REF!</v>
      </c>
      <c r="H84" t="e">
        <f t="shared" si="30"/>
        <v>#REF!</v>
      </c>
      <c r="L84" t="e">
        <f>Reflection!I84</f>
        <v>#REF!</v>
      </c>
      <c r="M84" t="e">
        <f t="shared" si="31"/>
        <v>#REF!</v>
      </c>
      <c r="N84" t="e">
        <f t="shared" si="32"/>
        <v>#REF!</v>
      </c>
      <c r="O84" t="e">
        <f t="shared" si="33"/>
        <v>#REF!</v>
      </c>
      <c r="P84" t="e">
        <f t="shared" si="34"/>
        <v>#REF!</v>
      </c>
      <c r="Q84" t="e">
        <f t="shared" si="35"/>
        <v>#REF!</v>
      </c>
      <c r="R84" t="e">
        <f t="shared" si="36"/>
        <v>#REF!</v>
      </c>
      <c r="U84">
        <f>Reflection!Q84</f>
        <v>26000000</v>
      </c>
      <c r="V84" t="str">
        <f t="shared" si="37"/>
        <v>78.2847036613639-78.0924997857846i</v>
      </c>
      <c r="W84" t="str">
        <f t="shared" si="38"/>
        <v>0.112956666958848+0.11323467969018i</v>
      </c>
      <c r="X84">
        <f t="shared" si="39"/>
        <v>78.284703661363906</v>
      </c>
      <c r="Y84">
        <f t="shared" si="40"/>
        <v>78.092499785784597</v>
      </c>
      <c r="Z84">
        <f t="shared" si="41"/>
        <v>0.112956666958848</v>
      </c>
      <c r="AA84">
        <f t="shared" si="42"/>
        <v>0.11323467969018</v>
      </c>
      <c r="AE84" t="e">
        <f>Reflection!Y84</f>
        <v>#REF!</v>
      </c>
      <c r="AF84" t="e">
        <f>IMDIV(IMPRODUCT(IMSUB(C84,V84),IMSUB(Reflection!AB84,Reflection!D84),IMSUB(Reflection!L84,Reflection!T84)),IMPRODUCT(IMSUB(Permitivity!M84,Permitivity!V84),IMSUB(Reflection!AB84,Reflection!L84),IMSUB(Reflection!D84,Reflection!T84)))</f>
        <v>#REF!</v>
      </c>
      <c r="AG84" t="e">
        <f t="shared" si="43"/>
        <v>#REF!</v>
      </c>
      <c r="AH84" t="e">
        <f t="shared" si="24"/>
        <v>#REF!</v>
      </c>
      <c r="AI84" t="e">
        <f t="shared" si="44"/>
        <v>#REF!</v>
      </c>
      <c r="AJ84" t="e">
        <f t="shared" si="45"/>
        <v>#REF!</v>
      </c>
      <c r="AK84" t="e">
        <f t="shared" si="46"/>
        <v>#REF!</v>
      </c>
      <c r="AL84" t="e">
        <f t="shared" si="47"/>
        <v>#REF!</v>
      </c>
    </row>
    <row r="85" spans="2:38" x14ac:dyDescent="0.15">
      <c r="B85" t="e">
        <f>Experiment!#REF!</f>
        <v>#REF!</v>
      </c>
      <c r="C85" t="e">
        <f t="shared" si="25"/>
        <v>#REF!</v>
      </c>
      <c r="D85" t="e">
        <f t="shared" si="26"/>
        <v>#REF!</v>
      </c>
      <c r="E85" t="e">
        <f t="shared" si="27"/>
        <v>#REF!</v>
      </c>
      <c r="F85" t="e">
        <f t="shared" si="28"/>
        <v>#REF!</v>
      </c>
      <c r="G85" t="e">
        <f t="shared" si="29"/>
        <v>#REF!</v>
      </c>
      <c r="H85" t="e">
        <f t="shared" si="30"/>
        <v>#REF!</v>
      </c>
      <c r="L85" t="e">
        <f>Reflection!I85</f>
        <v>#REF!</v>
      </c>
      <c r="M85" t="e">
        <f t="shared" si="31"/>
        <v>#REF!</v>
      </c>
      <c r="N85" t="e">
        <f t="shared" si="32"/>
        <v>#REF!</v>
      </c>
      <c r="O85" t="e">
        <f t="shared" si="33"/>
        <v>#REF!</v>
      </c>
      <c r="P85" t="e">
        <f t="shared" si="34"/>
        <v>#REF!</v>
      </c>
      <c r="Q85" t="e">
        <f t="shared" si="35"/>
        <v>#REF!</v>
      </c>
      <c r="R85" t="e">
        <f t="shared" si="36"/>
        <v>#REF!</v>
      </c>
      <c r="U85">
        <f>Reflection!Q85</f>
        <v>27100000</v>
      </c>
      <c r="V85" t="str">
        <f t="shared" si="37"/>
        <v>78.2846869124588-74.9308592719603i</v>
      </c>
      <c r="W85" t="str">
        <f t="shared" si="38"/>
        <v>0.11296897799468+0.118025352425705i</v>
      </c>
      <c r="X85">
        <f t="shared" si="39"/>
        <v>78.284686912458795</v>
      </c>
      <c r="Y85">
        <f t="shared" si="40"/>
        <v>74.930859271960301</v>
      </c>
      <c r="Z85">
        <f t="shared" si="41"/>
        <v>0.11296897799468</v>
      </c>
      <c r="AA85">
        <f t="shared" si="42"/>
        <v>0.118025352425705</v>
      </c>
      <c r="AE85" t="e">
        <f>Reflection!Y85</f>
        <v>#REF!</v>
      </c>
      <c r="AF85" t="e">
        <f>IMDIV(IMPRODUCT(IMSUB(C85,V85),IMSUB(Reflection!AB85,Reflection!D85),IMSUB(Reflection!L85,Reflection!T85)),IMPRODUCT(IMSUB(Permitivity!M85,Permitivity!V85),IMSUB(Reflection!AB85,Reflection!L85),IMSUB(Reflection!D85,Reflection!T85)))</f>
        <v>#REF!</v>
      </c>
      <c r="AG85" t="e">
        <f t="shared" si="43"/>
        <v>#REF!</v>
      </c>
      <c r="AH85" t="e">
        <f t="shared" si="24"/>
        <v>#REF!</v>
      </c>
      <c r="AI85" t="e">
        <f t="shared" si="44"/>
        <v>#REF!</v>
      </c>
      <c r="AJ85" t="e">
        <f t="shared" si="45"/>
        <v>#REF!</v>
      </c>
      <c r="AK85" t="e">
        <f t="shared" si="46"/>
        <v>#REF!</v>
      </c>
      <c r="AL85" t="e">
        <f t="shared" si="47"/>
        <v>#REF!</v>
      </c>
    </row>
    <row r="86" spans="2:38" x14ac:dyDescent="0.15">
      <c r="B86" t="e">
        <f>Experiment!#REF!</f>
        <v>#REF!</v>
      </c>
      <c r="C86" t="e">
        <f t="shared" si="25"/>
        <v>#REF!</v>
      </c>
      <c r="D86" t="e">
        <f t="shared" si="26"/>
        <v>#REF!</v>
      </c>
      <c r="E86" t="e">
        <f t="shared" si="27"/>
        <v>#REF!</v>
      </c>
      <c r="F86" t="e">
        <f t="shared" si="28"/>
        <v>#REF!</v>
      </c>
      <c r="G86" t="e">
        <f t="shared" si="29"/>
        <v>#REF!</v>
      </c>
      <c r="H86" t="e">
        <f t="shared" si="30"/>
        <v>#REF!</v>
      </c>
      <c r="L86" t="e">
        <f>Reflection!I86</f>
        <v>#REF!</v>
      </c>
      <c r="M86" t="e">
        <f t="shared" si="31"/>
        <v>#REF!</v>
      </c>
      <c r="N86" t="e">
        <f t="shared" si="32"/>
        <v>#REF!</v>
      </c>
      <c r="O86" t="e">
        <f t="shared" si="33"/>
        <v>#REF!</v>
      </c>
      <c r="P86" t="e">
        <f t="shared" si="34"/>
        <v>#REF!</v>
      </c>
      <c r="Q86" t="e">
        <f t="shared" si="35"/>
        <v>#REF!</v>
      </c>
      <c r="R86" t="e">
        <f t="shared" si="36"/>
        <v>#REF!</v>
      </c>
      <c r="U86">
        <f>Reflection!Q86</f>
        <v>28200000</v>
      </c>
      <c r="V86" t="str">
        <f t="shared" si="37"/>
        <v>78.2846696899907-72.0161964119257i</v>
      </c>
      <c r="W86" t="str">
        <f t="shared" si="38"/>
        <v>0.112981798664241+0.122816022368359i</v>
      </c>
      <c r="X86">
        <f t="shared" si="39"/>
        <v>78.284669689990693</v>
      </c>
      <c r="Y86">
        <f t="shared" si="40"/>
        <v>72.016196411925705</v>
      </c>
      <c r="Z86">
        <f t="shared" si="41"/>
        <v>0.112981798664241</v>
      </c>
      <c r="AA86">
        <f t="shared" si="42"/>
        <v>0.12281602236835901</v>
      </c>
      <c r="AE86" t="e">
        <f>Reflection!Y86</f>
        <v>#REF!</v>
      </c>
      <c r="AF86" t="e">
        <f>IMDIV(IMPRODUCT(IMSUB(C86,V86),IMSUB(Reflection!AB86,Reflection!D86),IMSUB(Reflection!L86,Reflection!T86)),IMPRODUCT(IMSUB(Permitivity!M86,Permitivity!V86),IMSUB(Reflection!AB86,Reflection!L86),IMSUB(Reflection!D86,Reflection!T86)))</f>
        <v>#REF!</v>
      </c>
      <c r="AG86" t="e">
        <f t="shared" si="43"/>
        <v>#REF!</v>
      </c>
      <c r="AH86" t="e">
        <f t="shared" si="24"/>
        <v>#REF!</v>
      </c>
      <c r="AI86" t="e">
        <f t="shared" si="44"/>
        <v>#REF!</v>
      </c>
      <c r="AJ86" t="e">
        <f t="shared" si="45"/>
        <v>#REF!</v>
      </c>
      <c r="AK86" t="e">
        <f t="shared" si="46"/>
        <v>#REF!</v>
      </c>
      <c r="AL86" t="e">
        <f t="shared" si="47"/>
        <v>#REF!</v>
      </c>
    </row>
    <row r="87" spans="2:38" x14ac:dyDescent="0.15">
      <c r="B87" t="e">
        <f>Experiment!#REF!</f>
        <v>#REF!</v>
      </c>
      <c r="C87" t="e">
        <f t="shared" si="25"/>
        <v>#REF!</v>
      </c>
      <c r="D87" t="e">
        <f t="shared" si="26"/>
        <v>#REF!</v>
      </c>
      <c r="E87" t="e">
        <f t="shared" si="27"/>
        <v>#REF!</v>
      </c>
      <c r="F87" t="e">
        <f t="shared" si="28"/>
        <v>#REF!</v>
      </c>
      <c r="G87" t="e">
        <f t="shared" si="29"/>
        <v>#REF!</v>
      </c>
      <c r="H87" t="e">
        <f t="shared" si="30"/>
        <v>#REF!</v>
      </c>
      <c r="L87" t="e">
        <f>Reflection!I87</f>
        <v>#REF!</v>
      </c>
      <c r="M87" t="e">
        <f t="shared" si="31"/>
        <v>#REF!</v>
      </c>
      <c r="N87" t="e">
        <f t="shared" si="32"/>
        <v>#REF!</v>
      </c>
      <c r="O87" t="e">
        <f t="shared" si="33"/>
        <v>#REF!</v>
      </c>
      <c r="P87" t="e">
        <f t="shared" si="34"/>
        <v>#REF!</v>
      </c>
      <c r="Q87" t="e">
        <f t="shared" si="35"/>
        <v>#REF!</v>
      </c>
      <c r="R87" t="e">
        <f t="shared" si="36"/>
        <v>#REF!</v>
      </c>
      <c r="U87">
        <f>Reflection!Q87</f>
        <v>29400000</v>
      </c>
      <c r="V87" t="str">
        <f t="shared" si="37"/>
        <v>78.2846503617747-69.085666291846i</v>
      </c>
      <c r="W87" t="str">
        <f t="shared" si="38"/>
        <v>0.112996366064265+0.128042204472973i</v>
      </c>
      <c r="X87">
        <f t="shared" si="39"/>
        <v>78.284650361774695</v>
      </c>
      <c r="Y87">
        <f t="shared" si="40"/>
        <v>69.085666291845996</v>
      </c>
      <c r="Z87">
        <f t="shared" si="41"/>
        <v>0.112996366064265</v>
      </c>
      <c r="AA87">
        <f t="shared" si="42"/>
        <v>0.12804220447297299</v>
      </c>
      <c r="AE87" t="e">
        <f>Reflection!Y87</f>
        <v>#REF!</v>
      </c>
      <c r="AF87" t="e">
        <f>IMDIV(IMPRODUCT(IMSUB(C87,V87),IMSUB(Reflection!AB87,Reflection!D87),IMSUB(Reflection!L87,Reflection!T87)),IMPRODUCT(IMSUB(Permitivity!M87,Permitivity!V87),IMSUB(Reflection!AB87,Reflection!L87),IMSUB(Reflection!D87,Reflection!T87)))</f>
        <v>#REF!</v>
      </c>
      <c r="AG87" t="e">
        <f t="shared" si="43"/>
        <v>#REF!</v>
      </c>
      <c r="AH87" t="e">
        <f t="shared" si="24"/>
        <v>#REF!</v>
      </c>
      <c r="AI87" t="e">
        <f t="shared" si="44"/>
        <v>#REF!</v>
      </c>
      <c r="AJ87" t="e">
        <f t="shared" si="45"/>
        <v>#REF!</v>
      </c>
      <c r="AK87" t="e">
        <f t="shared" si="46"/>
        <v>#REF!</v>
      </c>
      <c r="AL87" t="e">
        <f t="shared" si="47"/>
        <v>#REF!</v>
      </c>
    </row>
    <row r="88" spans="2:38" x14ac:dyDescent="0.15">
      <c r="B88" t="e">
        <f>Experiment!#REF!</f>
        <v>#REF!</v>
      </c>
      <c r="C88" t="e">
        <f t="shared" si="25"/>
        <v>#REF!</v>
      </c>
      <c r="D88" t="e">
        <f t="shared" si="26"/>
        <v>#REF!</v>
      </c>
      <c r="E88" t="e">
        <f t="shared" si="27"/>
        <v>#REF!</v>
      </c>
      <c r="F88" t="e">
        <f t="shared" si="28"/>
        <v>#REF!</v>
      </c>
      <c r="G88" t="e">
        <f t="shared" si="29"/>
        <v>#REF!</v>
      </c>
      <c r="H88" t="e">
        <f t="shared" si="30"/>
        <v>#REF!</v>
      </c>
      <c r="L88" t="e">
        <f>Reflection!I88</f>
        <v>#REF!</v>
      </c>
      <c r="M88" t="e">
        <f t="shared" si="31"/>
        <v>#REF!</v>
      </c>
      <c r="N88" t="e">
        <f t="shared" si="32"/>
        <v>#REF!</v>
      </c>
      <c r="O88" t="e">
        <f t="shared" si="33"/>
        <v>#REF!</v>
      </c>
      <c r="P88" t="e">
        <f t="shared" si="34"/>
        <v>#REF!</v>
      </c>
      <c r="Q88" t="e">
        <f t="shared" si="35"/>
        <v>#REF!</v>
      </c>
      <c r="R88" t="e">
        <f t="shared" si="36"/>
        <v>#REF!</v>
      </c>
      <c r="U88">
        <f>Reflection!Q88</f>
        <v>30600000</v>
      </c>
      <c r="V88" t="str">
        <f t="shared" si="37"/>
        <v>78.2846304700379-66.385337921265i</v>
      </c>
      <c r="W88" t="str">
        <f t="shared" si="38"/>
        <v>0.113011539928748+0.133268383037605i</v>
      </c>
      <c r="X88">
        <f t="shared" si="39"/>
        <v>78.284630470037897</v>
      </c>
      <c r="Y88">
        <f t="shared" si="40"/>
        <v>66.385337921265005</v>
      </c>
      <c r="Z88">
        <f t="shared" si="41"/>
        <v>0.113011539928748</v>
      </c>
      <c r="AA88">
        <f t="shared" si="42"/>
        <v>0.13326838303760499</v>
      </c>
      <c r="AE88" t="e">
        <f>Reflection!Y88</f>
        <v>#REF!</v>
      </c>
      <c r="AF88" t="e">
        <f>IMDIV(IMPRODUCT(IMSUB(C88,V88),IMSUB(Reflection!AB88,Reflection!D88),IMSUB(Reflection!L88,Reflection!T88)),IMPRODUCT(IMSUB(Permitivity!M88,Permitivity!V88),IMSUB(Reflection!AB88,Reflection!L88),IMSUB(Reflection!D88,Reflection!T88)))</f>
        <v>#REF!</v>
      </c>
      <c r="AG88" t="e">
        <f t="shared" si="43"/>
        <v>#REF!</v>
      </c>
      <c r="AH88" t="e">
        <f t="shared" si="24"/>
        <v>#REF!</v>
      </c>
      <c r="AI88" t="e">
        <f t="shared" si="44"/>
        <v>#REF!</v>
      </c>
      <c r="AJ88" t="e">
        <f t="shared" si="45"/>
        <v>#REF!</v>
      </c>
      <c r="AK88" t="e">
        <f t="shared" si="46"/>
        <v>#REF!</v>
      </c>
      <c r="AL88" t="e">
        <f t="shared" si="47"/>
        <v>#REF!</v>
      </c>
    </row>
    <row r="89" spans="2:38" x14ac:dyDescent="0.15">
      <c r="B89" t="e">
        <f>Experiment!#REF!</f>
        <v>#REF!</v>
      </c>
      <c r="C89" t="e">
        <f t="shared" si="25"/>
        <v>#REF!</v>
      </c>
      <c r="D89" t="e">
        <f t="shared" si="26"/>
        <v>#REF!</v>
      </c>
      <c r="E89" t="e">
        <f t="shared" si="27"/>
        <v>#REF!</v>
      </c>
      <c r="F89" t="e">
        <f t="shared" si="28"/>
        <v>#REF!</v>
      </c>
      <c r="G89" t="e">
        <f t="shared" si="29"/>
        <v>#REF!</v>
      </c>
      <c r="H89" t="e">
        <f t="shared" si="30"/>
        <v>#REF!</v>
      </c>
      <c r="L89" t="e">
        <f>Reflection!I89</f>
        <v>#REF!</v>
      </c>
      <c r="M89" t="e">
        <f t="shared" si="31"/>
        <v>#REF!</v>
      </c>
      <c r="N89" t="e">
        <f t="shared" si="32"/>
        <v>#REF!</v>
      </c>
      <c r="O89" t="e">
        <f t="shared" si="33"/>
        <v>#REF!</v>
      </c>
      <c r="P89" t="e">
        <f t="shared" si="34"/>
        <v>#REF!</v>
      </c>
      <c r="Q89" t="e">
        <f t="shared" si="35"/>
        <v>#REF!</v>
      </c>
      <c r="R89" t="e">
        <f t="shared" si="36"/>
        <v>#REF!</v>
      </c>
      <c r="U89">
        <f>Reflection!Q89</f>
        <v>31800000</v>
      </c>
      <c r="V89" t="str">
        <f t="shared" si="37"/>
        <v>78.2846100148116-63.889150713108i</v>
      </c>
      <c r="W89" t="str">
        <f t="shared" si="38"/>
        <v>0.113027320237063+0.138494557949451i</v>
      </c>
      <c r="X89">
        <f t="shared" si="39"/>
        <v>78.284610014811605</v>
      </c>
      <c r="Y89">
        <f t="shared" si="40"/>
        <v>63.889150713108002</v>
      </c>
      <c r="Z89">
        <f t="shared" si="41"/>
        <v>0.11302732023706299</v>
      </c>
      <c r="AA89">
        <f t="shared" si="42"/>
        <v>0.13849455794945101</v>
      </c>
      <c r="AE89" t="e">
        <f>Reflection!Y89</f>
        <v>#REF!</v>
      </c>
      <c r="AF89" t="e">
        <f>IMDIV(IMPRODUCT(IMSUB(C89,V89),IMSUB(Reflection!AB89,Reflection!D89),IMSUB(Reflection!L89,Reflection!T89)),IMPRODUCT(IMSUB(Permitivity!M89,Permitivity!V89),IMSUB(Reflection!AB89,Reflection!L89),IMSUB(Reflection!D89,Reflection!T89)))</f>
        <v>#REF!</v>
      </c>
      <c r="AG89" t="e">
        <f t="shared" si="43"/>
        <v>#REF!</v>
      </c>
      <c r="AH89" t="e">
        <f t="shared" si="24"/>
        <v>#REF!</v>
      </c>
      <c r="AI89" t="e">
        <f t="shared" si="44"/>
        <v>#REF!</v>
      </c>
      <c r="AJ89" t="e">
        <f t="shared" si="45"/>
        <v>#REF!</v>
      </c>
      <c r="AK89" t="e">
        <f t="shared" si="46"/>
        <v>#REF!</v>
      </c>
      <c r="AL89" t="e">
        <f t="shared" si="47"/>
        <v>#REF!</v>
      </c>
    </row>
    <row r="90" spans="2:38" x14ac:dyDescent="0.15">
      <c r="B90" t="e">
        <f>Experiment!#REF!</f>
        <v>#REF!</v>
      </c>
      <c r="C90" t="e">
        <f t="shared" si="25"/>
        <v>#REF!</v>
      </c>
      <c r="D90" t="e">
        <f t="shared" si="26"/>
        <v>#REF!</v>
      </c>
      <c r="E90" t="e">
        <f t="shared" si="27"/>
        <v>#REF!</v>
      </c>
      <c r="F90" t="e">
        <f t="shared" si="28"/>
        <v>#REF!</v>
      </c>
      <c r="G90" t="e">
        <f t="shared" si="29"/>
        <v>#REF!</v>
      </c>
      <c r="H90" t="e">
        <f t="shared" si="30"/>
        <v>#REF!</v>
      </c>
      <c r="L90" t="e">
        <f>Reflection!I90</f>
        <v>#REF!</v>
      </c>
      <c r="M90" t="e">
        <f t="shared" si="31"/>
        <v>#REF!</v>
      </c>
      <c r="N90" t="e">
        <f t="shared" si="32"/>
        <v>#REF!</v>
      </c>
      <c r="O90" t="e">
        <f t="shared" si="33"/>
        <v>#REF!</v>
      </c>
      <c r="P90" t="e">
        <f t="shared" si="34"/>
        <v>#REF!</v>
      </c>
      <c r="Q90" t="e">
        <f t="shared" si="35"/>
        <v>#REF!</v>
      </c>
      <c r="R90" t="e">
        <f t="shared" si="36"/>
        <v>#REF!</v>
      </c>
      <c r="U90">
        <f>Reflection!Q90</f>
        <v>33100000</v>
      </c>
      <c r="V90" t="str">
        <f t="shared" si="37"/>
        <v>78.2845872191341-61.3895644584389i</v>
      </c>
      <c r="W90" t="str">
        <f t="shared" si="38"/>
        <v>0.113045099903027+0.144156243184385i</v>
      </c>
      <c r="X90">
        <f t="shared" si="39"/>
        <v>78.284587219134096</v>
      </c>
      <c r="Y90">
        <f t="shared" si="40"/>
        <v>61.389564458438898</v>
      </c>
      <c r="Z90">
        <f t="shared" si="41"/>
        <v>0.113045099903027</v>
      </c>
      <c r="AA90">
        <f t="shared" si="42"/>
        <v>0.144156243184385</v>
      </c>
      <c r="AE90" t="e">
        <f>Reflection!Y90</f>
        <v>#REF!</v>
      </c>
      <c r="AF90" t="e">
        <f>IMDIV(IMPRODUCT(IMSUB(C90,V90),IMSUB(Reflection!AB90,Reflection!D90),IMSUB(Reflection!L90,Reflection!T90)),IMPRODUCT(IMSUB(Permitivity!M90,Permitivity!V90),IMSUB(Reflection!AB90,Reflection!L90),IMSUB(Reflection!D90,Reflection!T90)))</f>
        <v>#REF!</v>
      </c>
      <c r="AG90" t="e">
        <f t="shared" si="43"/>
        <v>#REF!</v>
      </c>
      <c r="AH90" t="e">
        <f t="shared" si="24"/>
        <v>#REF!</v>
      </c>
      <c r="AI90" t="e">
        <f t="shared" si="44"/>
        <v>#REF!</v>
      </c>
      <c r="AJ90" t="e">
        <f t="shared" si="45"/>
        <v>#REF!</v>
      </c>
      <c r="AK90" t="e">
        <f t="shared" si="46"/>
        <v>#REF!</v>
      </c>
      <c r="AL90" t="e">
        <f t="shared" si="47"/>
        <v>#REF!</v>
      </c>
    </row>
    <row r="91" spans="2:38" x14ac:dyDescent="0.15">
      <c r="B91" t="e">
        <f>Experiment!#REF!</f>
        <v>#REF!</v>
      </c>
      <c r="C91" t="e">
        <f t="shared" si="25"/>
        <v>#REF!</v>
      </c>
      <c r="D91" t="e">
        <f t="shared" si="26"/>
        <v>#REF!</v>
      </c>
      <c r="E91" t="e">
        <f t="shared" si="27"/>
        <v>#REF!</v>
      </c>
      <c r="F91" t="e">
        <f t="shared" si="28"/>
        <v>#REF!</v>
      </c>
      <c r="G91" t="e">
        <f t="shared" si="29"/>
        <v>#REF!</v>
      </c>
      <c r="H91" t="e">
        <f t="shared" si="30"/>
        <v>#REF!</v>
      </c>
      <c r="L91" t="e">
        <f>Reflection!I91</f>
        <v>#REF!</v>
      </c>
      <c r="M91" t="e">
        <f t="shared" si="31"/>
        <v>#REF!</v>
      </c>
      <c r="N91" t="e">
        <f t="shared" si="32"/>
        <v>#REF!</v>
      </c>
      <c r="O91" t="e">
        <f t="shared" si="33"/>
        <v>#REF!</v>
      </c>
      <c r="P91" t="e">
        <f t="shared" si="34"/>
        <v>#REF!</v>
      </c>
      <c r="Q91" t="e">
        <f t="shared" si="35"/>
        <v>#REF!</v>
      </c>
      <c r="R91" t="e">
        <f t="shared" si="36"/>
        <v>#REF!</v>
      </c>
      <c r="U91">
        <f>Reflection!Q91</f>
        <v>34500000</v>
      </c>
      <c r="V91" t="str">
        <f t="shared" si="37"/>
        <v>78.2845619304422-58.9087844873663i</v>
      </c>
      <c r="W91" t="str">
        <f t="shared" si="38"/>
        <v>0.113065043139045+0.150253437561335i</v>
      </c>
      <c r="X91">
        <f t="shared" si="39"/>
        <v>78.284561930442194</v>
      </c>
      <c r="Y91">
        <f t="shared" si="40"/>
        <v>58.908784487366297</v>
      </c>
      <c r="Z91">
        <f t="shared" si="41"/>
        <v>0.113065043139045</v>
      </c>
      <c r="AA91">
        <f t="shared" si="42"/>
        <v>0.150253437561335</v>
      </c>
      <c r="AE91" t="e">
        <f>Reflection!Y91</f>
        <v>#REF!</v>
      </c>
      <c r="AF91" t="e">
        <f>IMDIV(IMPRODUCT(IMSUB(C91,V91),IMSUB(Reflection!AB91,Reflection!D91),IMSUB(Reflection!L91,Reflection!T91)),IMPRODUCT(IMSUB(Permitivity!M91,Permitivity!V91),IMSUB(Reflection!AB91,Reflection!L91),IMSUB(Reflection!D91,Reflection!T91)))</f>
        <v>#REF!</v>
      </c>
      <c r="AG91" t="e">
        <f t="shared" si="43"/>
        <v>#REF!</v>
      </c>
      <c r="AH91" t="e">
        <f t="shared" si="24"/>
        <v>#REF!</v>
      </c>
      <c r="AI91" t="e">
        <f t="shared" si="44"/>
        <v>#REF!</v>
      </c>
      <c r="AJ91" t="e">
        <f t="shared" si="45"/>
        <v>#REF!</v>
      </c>
      <c r="AK91" t="e">
        <f t="shared" si="46"/>
        <v>#REF!</v>
      </c>
      <c r="AL91" t="e">
        <f t="shared" si="47"/>
        <v>#REF!</v>
      </c>
    </row>
    <row r="92" spans="2:38" x14ac:dyDescent="0.15">
      <c r="B92" t="e">
        <f>Experiment!#REF!</f>
        <v>#REF!</v>
      </c>
      <c r="C92" t="e">
        <f t="shared" si="25"/>
        <v>#REF!</v>
      </c>
      <c r="D92" t="e">
        <f t="shared" si="26"/>
        <v>#REF!</v>
      </c>
      <c r="E92" t="e">
        <f t="shared" si="27"/>
        <v>#REF!</v>
      </c>
      <c r="F92" t="e">
        <f t="shared" si="28"/>
        <v>#REF!</v>
      </c>
      <c r="G92" t="e">
        <f t="shared" si="29"/>
        <v>#REF!</v>
      </c>
      <c r="H92" t="e">
        <f t="shared" si="30"/>
        <v>#REF!</v>
      </c>
      <c r="L92" t="e">
        <f>Reflection!I92</f>
        <v>#REF!</v>
      </c>
      <c r="M92" t="e">
        <f t="shared" si="31"/>
        <v>#REF!</v>
      </c>
      <c r="N92" t="e">
        <f t="shared" si="32"/>
        <v>#REF!</v>
      </c>
      <c r="O92" t="e">
        <f t="shared" si="33"/>
        <v>#REF!</v>
      </c>
      <c r="P92" t="e">
        <f t="shared" si="34"/>
        <v>#REF!</v>
      </c>
      <c r="Q92" t="e">
        <f t="shared" si="35"/>
        <v>#REF!</v>
      </c>
      <c r="R92" t="e">
        <f t="shared" si="36"/>
        <v>#REF!</v>
      </c>
      <c r="U92">
        <f>Reflection!Q92</f>
        <v>35900000</v>
      </c>
      <c r="V92" t="str">
        <f t="shared" si="37"/>
        <v>78.2845358749031-56.6219047864465i</v>
      </c>
      <c r="W92" t="str">
        <f t="shared" si="38"/>
        <v>0.113085811727742+0.156350626467481i</v>
      </c>
      <c r="X92">
        <f t="shared" si="39"/>
        <v>78.284535874903099</v>
      </c>
      <c r="Y92">
        <f t="shared" si="40"/>
        <v>56.6219047864465</v>
      </c>
      <c r="Z92">
        <f t="shared" si="41"/>
        <v>0.113085811727742</v>
      </c>
      <c r="AA92">
        <f t="shared" si="42"/>
        <v>0.15635062646748099</v>
      </c>
      <c r="AE92" t="e">
        <f>Reflection!Y92</f>
        <v>#REF!</v>
      </c>
      <c r="AF92" t="e">
        <f>IMDIV(IMPRODUCT(IMSUB(C92,V92),IMSUB(Reflection!AB92,Reflection!D92),IMSUB(Reflection!L92,Reflection!T92)),IMPRODUCT(IMSUB(Permitivity!M92,Permitivity!V92),IMSUB(Reflection!AB92,Reflection!L92),IMSUB(Reflection!D92,Reflection!T92)))</f>
        <v>#REF!</v>
      </c>
      <c r="AG92" t="e">
        <f t="shared" si="43"/>
        <v>#REF!</v>
      </c>
      <c r="AH92" t="e">
        <f t="shared" si="24"/>
        <v>#REF!</v>
      </c>
      <c r="AI92" t="e">
        <f t="shared" si="44"/>
        <v>#REF!</v>
      </c>
      <c r="AJ92" t="e">
        <f t="shared" si="45"/>
        <v>#REF!</v>
      </c>
      <c r="AK92" t="e">
        <f t="shared" si="46"/>
        <v>#REF!</v>
      </c>
      <c r="AL92" t="e">
        <f t="shared" si="47"/>
        <v>#REF!</v>
      </c>
    </row>
    <row r="93" spans="2:38" x14ac:dyDescent="0.15">
      <c r="B93" t="e">
        <f>Experiment!#REF!</f>
        <v>#REF!</v>
      </c>
      <c r="C93" t="e">
        <f t="shared" si="25"/>
        <v>#REF!</v>
      </c>
      <c r="D93" t="e">
        <f t="shared" si="26"/>
        <v>#REF!</v>
      </c>
      <c r="E93" t="e">
        <f t="shared" si="27"/>
        <v>#REF!</v>
      </c>
      <c r="F93" t="e">
        <f t="shared" si="28"/>
        <v>#REF!</v>
      </c>
      <c r="G93" t="e">
        <f t="shared" si="29"/>
        <v>#REF!</v>
      </c>
      <c r="H93" t="e">
        <f t="shared" si="30"/>
        <v>#REF!</v>
      </c>
      <c r="L93" t="e">
        <f>Reflection!I93</f>
        <v>#REF!</v>
      </c>
      <c r="M93" t="e">
        <f t="shared" si="31"/>
        <v>#REF!</v>
      </c>
      <c r="N93" t="e">
        <f t="shared" si="32"/>
        <v>#REF!</v>
      </c>
      <c r="O93" t="e">
        <f t="shared" si="33"/>
        <v>#REF!</v>
      </c>
      <c r="P93" t="e">
        <f t="shared" si="34"/>
        <v>#REF!</v>
      </c>
      <c r="Q93" t="e">
        <f t="shared" si="35"/>
        <v>#REF!</v>
      </c>
      <c r="R93" t="e">
        <f t="shared" si="36"/>
        <v>#REF!</v>
      </c>
      <c r="U93">
        <f>Reflection!Q93</f>
        <v>37400000</v>
      </c>
      <c r="V93" t="str">
        <f t="shared" si="37"/>
        <v>78.2845071073373-54.3621076724434i</v>
      </c>
      <c r="W93" t="str">
        <f t="shared" si="38"/>
        <v>0.113108979643699+0.162883322592537i</v>
      </c>
      <c r="X93">
        <f t="shared" si="39"/>
        <v>78.284507107337305</v>
      </c>
      <c r="Y93">
        <f t="shared" si="40"/>
        <v>54.3621076724434</v>
      </c>
      <c r="Z93">
        <f t="shared" si="41"/>
        <v>0.113108979643699</v>
      </c>
      <c r="AA93">
        <f t="shared" si="42"/>
        <v>0.16288332259253699</v>
      </c>
      <c r="AE93" t="e">
        <f>Reflection!Y93</f>
        <v>#REF!</v>
      </c>
      <c r="AF93" t="e">
        <f>IMDIV(IMPRODUCT(IMSUB(C93,V93),IMSUB(Reflection!AB93,Reflection!D93),IMSUB(Reflection!L93,Reflection!T93)),IMPRODUCT(IMSUB(Permitivity!M93,Permitivity!V93),IMSUB(Reflection!AB93,Reflection!L93),IMSUB(Reflection!D93,Reflection!T93)))</f>
        <v>#REF!</v>
      </c>
      <c r="AG93" t="e">
        <f t="shared" si="43"/>
        <v>#REF!</v>
      </c>
      <c r="AH93" t="e">
        <f t="shared" si="24"/>
        <v>#REF!</v>
      </c>
      <c r="AI93" t="e">
        <f t="shared" si="44"/>
        <v>#REF!</v>
      </c>
      <c r="AJ93" t="e">
        <f t="shared" si="45"/>
        <v>#REF!</v>
      </c>
      <c r="AK93" t="e">
        <f t="shared" si="46"/>
        <v>#REF!</v>
      </c>
      <c r="AL93" t="e">
        <f t="shared" si="47"/>
        <v>#REF!</v>
      </c>
    </row>
    <row r="94" spans="2:38" x14ac:dyDescent="0.15">
      <c r="B94" t="e">
        <f>Experiment!#REF!</f>
        <v>#REF!</v>
      </c>
      <c r="C94" t="e">
        <f t="shared" si="25"/>
        <v>#REF!</v>
      </c>
      <c r="D94" t="e">
        <f t="shared" si="26"/>
        <v>#REF!</v>
      </c>
      <c r="E94" t="e">
        <f t="shared" si="27"/>
        <v>#REF!</v>
      </c>
      <c r="F94" t="e">
        <f t="shared" si="28"/>
        <v>#REF!</v>
      </c>
      <c r="G94" t="e">
        <f t="shared" si="29"/>
        <v>#REF!</v>
      </c>
      <c r="H94" t="e">
        <f t="shared" si="30"/>
        <v>#REF!</v>
      </c>
      <c r="L94" t="e">
        <f>Reflection!I94</f>
        <v>#REF!</v>
      </c>
      <c r="M94" t="e">
        <f t="shared" si="31"/>
        <v>#REF!</v>
      </c>
      <c r="N94" t="e">
        <f t="shared" si="32"/>
        <v>#REF!</v>
      </c>
      <c r="O94" t="e">
        <f t="shared" si="33"/>
        <v>#REF!</v>
      </c>
      <c r="P94" t="e">
        <f t="shared" si="34"/>
        <v>#REF!</v>
      </c>
      <c r="Q94" t="e">
        <f t="shared" si="35"/>
        <v>#REF!</v>
      </c>
      <c r="R94" t="e">
        <f t="shared" si="36"/>
        <v>#REF!</v>
      </c>
      <c r="U94">
        <f>Reflection!Q94</f>
        <v>38900000</v>
      </c>
      <c r="V94" t="str">
        <f t="shared" si="37"/>
        <v>78.2844774595623-52.2770257518177i</v>
      </c>
      <c r="W94" t="str">
        <f t="shared" si="38"/>
        <v>0.1131330949647+0.169416012011484i</v>
      </c>
      <c r="X94">
        <f t="shared" si="39"/>
        <v>78.284477459562297</v>
      </c>
      <c r="Y94">
        <f t="shared" si="40"/>
        <v>52.277025751817703</v>
      </c>
      <c r="Z94">
        <f t="shared" si="41"/>
        <v>0.1131330949647</v>
      </c>
      <c r="AA94">
        <f t="shared" si="42"/>
        <v>0.16941601201148401</v>
      </c>
      <c r="AE94" t="e">
        <f>Reflection!Y94</f>
        <v>#REF!</v>
      </c>
      <c r="AF94" t="e">
        <f>IMDIV(IMPRODUCT(IMSUB(C94,V94),IMSUB(Reflection!AB94,Reflection!D94),IMSUB(Reflection!L94,Reflection!T94)),IMPRODUCT(IMSUB(Permitivity!M94,Permitivity!V94),IMSUB(Reflection!AB94,Reflection!L94),IMSUB(Reflection!D94,Reflection!T94)))</f>
        <v>#REF!</v>
      </c>
      <c r="AG94" t="e">
        <f t="shared" si="43"/>
        <v>#REF!</v>
      </c>
      <c r="AH94" t="e">
        <f t="shared" si="24"/>
        <v>#REF!</v>
      </c>
      <c r="AI94" t="e">
        <f t="shared" si="44"/>
        <v>#REF!</v>
      </c>
      <c r="AJ94" t="e">
        <f t="shared" si="45"/>
        <v>#REF!</v>
      </c>
      <c r="AK94" t="e">
        <f t="shared" si="46"/>
        <v>#REF!</v>
      </c>
      <c r="AL94" t="e">
        <f t="shared" si="47"/>
        <v>#REF!</v>
      </c>
    </row>
    <row r="95" spans="2:38" x14ac:dyDescent="0.15">
      <c r="B95" t="e">
        <f>Experiment!#REF!</f>
        <v>#REF!</v>
      </c>
      <c r="C95" t="e">
        <f t="shared" si="25"/>
        <v>#REF!</v>
      </c>
      <c r="D95" t="e">
        <f t="shared" si="26"/>
        <v>#REF!</v>
      </c>
      <c r="E95" t="e">
        <f t="shared" si="27"/>
        <v>#REF!</v>
      </c>
      <c r="F95" t="e">
        <f t="shared" si="28"/>
        <v>#REF!</v>
      </c>
      <c r="G95" t="e">
        <f t="shared" si="29"/>
        <v>#REF!</v>
      </c>
      <c r="H95" t="e">
        <f t="shared" si="30"/>
        <v>#REF!</v>
      </c>
      <c r="L95" t="e">
        <f>Reflection!I95</f>
        <v>#REF!</v>
      </c>
      <c r="M95" t="e">
        <f t="shared" si="31"/>
        <v>#REF!</v>
      </c>
      <c r="N95" t="e">
        <f t="shared" si="32"/>
        <v>#REF!</v>
      </c>
      <c r="O95" t="e">
        <f t="shared" si="33"/>
        <v>#REF!</v>
      </c>
      <c r="P95" t="e">
        <f t="shared" si="34"/>
        <v>#REF!</v>
      </c>
      <c r="Q95" t="e">
        <f t="shared" si="35"/>
        <v>#REF!</v>
      </c>
      <c r="R95" t="e">
        <f t="shared" si="36"/>
        <v>#REF!</v>
      </c>
      <c r="U95">
        <f>Reflection!Q95</f>
        <v>40500000</v>
      </c>
      <c r="V95" t="str">
        <f t="shared" si="37"/>
        <v>78.2844448651381-50.2236406098003i</v>
      </c>
      <c r="W95" t="str">
        <f t="shared" si="38"/>
        <v>0.11315986218811+0.176384206418583i</v>
      </c>
      <c r="X95">
        <f t="shared" si="39"/>
        <v>78.284444865138099</v>
      </c>
      <c r="Y95">
        <f t="shared" si="40"/>
        <v>50.223640609800299</v>
      </c>
      <c r="Z95">
        <f t="shared" si="41"/>
        <v>0.11315986218811</v>
      </c>
      <c r="AA95">
        <f t="shared" si="42"/>
        <v>0.17638420641858299</v>
      </c>
      <c r="AE95" t="e">
        <f>Reflection!Y95</f>
        <v>#REF!</v>
      </c>
      <c r="AF95" t="e">
        <f>IMDIV(IMPRODUCT(IMSUB(C95,V95),IMSUB(Reflection!AB95,Reflection!D95),IMSUB(Reflection!L95,Reflection!T95)),IMPRODUCT(IMSUB(Permitivity!M95,Permitivity!V95),IMSUB(Reflection!AB95,Reflection!L95),IMSUB(Reflection!D95,Reflection!T95)))</f>
        <v>#REF!</v>
      </c>
      <c r="AG95" t="e">
        <f t="shared" si="43"/>
        <v>#REF!</v>
      </c>
      <c r="AH95" t="e">
        <f t="shared" si="24"/>
        <v>#REF!</v>
      </c>
      <c r="AI95" t="e">
        <f t="shared" si="44"/>
        <v>#REF!</v>
      </c>
      <c r="AJ95" t="e">
        <f t="shared" si="45"/>
        <v>#REF!</v>
      </c>
      <c r="AK95" t="e">
        <f t="shared" si="46"/>
        <v>#REF!</v>
      </c>
      <c r="AL95" t="e">
        <f t="shared" si="47"/>
        <v>#REF!</v>
      </c>
    </row>
    <row r="96" spans="2:38" x14ac:dyDescent="0.15">
      <c r="B96" t="e">
        <f>Experiment!#REF!</f>
        <v>#REF!</v>
      </c>
      <c r="C96" t="e">
        <f t="shared" si="25"/>
        <v>#REF!</v>
      </c>
      <c r="D96" t="e">
        <f t="shared" si="26"/>
        <v>#REF!</v>
      </c>
      <c r="E96" t="e">
        <f t="shared" si="27"/>
        <v>#REF!</v>
      </c>
      <c r="F96" t="e">
        <f t="shared" si="28"/>
        <v>#REF!</v>
      </c>
      <c r="G96" t="e">
        <f t="shared" si="29"/>
        <v>#REF!</v>
      </c>
      <c r="H96" t="e">
        <f t="shared" si="30"/>
        <v>#REF!</v>
      </c>
      <c r="L96" t="e">
        <f>Reflection!I96</f>
        <v>#REF!</v>
      </c>
      <c r="M96" t="e">
        <f t="shared" si="31"/>
        <v>#REF!</v>
      </c>
      <c r="N96" t="e">
        <f t="shared" si="32"/>
        <v>#REF!</v>
      </c>
      <c r="O96" t="e">
        <f t="shared" si="33"/>
        <v>#REF!</v>
      </c>
      <c r="P96" t="e">
        <f t="shared" si="34"/>
        <v>#REF!</v>
      </c>
      <c r="Q96" t="e">
        <f t="shared" si="35"/>
        <v>#REF!</v>
      </c>
      <c r="R96" t="e">
        <f t="shared" si="36"/>
        <v>#REF!</v>
      </c>
      <c r="U96">
        <f>Reflection!Q96</f>
        <v>42200000</v>
      </c>
      <c r="V96" t="str">
        <f t="shared" si="37"/>
        <v>78.2844091363618-48.2130305195676i</v>
      </c>
      <c r="W96" t="str">
        <f t="shared" si="38"/>
        <v>0.113189483378286+0.183787904042309i</v>
      </c>
      <c r="X96">
        <f t="shared" si="39"/>
        <v>78.284409136361802</v>
      </c>
      <c r="Y96">
        <f t="shared" si="40"/>
        <v>48.213030519567603</v>
      </c>
      <c r="Z96">
        <f t="shared" si="41"/>
        <v>0.11318948337828599</v>
      </c>
      <c r="AA96">
        <f t="shared" si="42"/>
        <v>0.18378790404230899</v>
      </c>
      <c r="AE96" t="e">
        <f>Reflection!Y96</f>
        <v>#REF!</v>
      </c>
      <c r="AF96" t="e">
        <f>IMDIV(IMPRODUCT(IMSUB(C96,V96),IMSUB(Reflection!AB96,Reflection!D96),IMSUB(Reflection!L96,Reflection!T96)),IMPRODUCT(IMSUB(Permitivity!M96,Permitivity!V96),IMSUB(Reflection!AB96,Reflection!L96),IMSUB(Reflection!D96,Reflection!T96)))</f>
        <v>#REF!</v>
      </c>
      <c r="AG96" t="e">
        <f t="shared" si="43"/>
        <v>#REF!</v>
      </c>
      <c r="AH96" t="e">
        <f t="shared" si="24"/>
        <v>#REF!</v>
      </c>
      <c r="AI96" t="e">
        <f t="shared" si="44"/>
        <v>#REF!</v>
      </c>
      <c r="AJ96" t="e">
        <f t="shared" si="45"/>
        <v>#REF!</v>
      </c>
      <c r="AK96" t="e">
        <f t="shared" si="46"/>
        <v>#REF!</v>
      </c>
      <c r="AL96" t="e">
        <f t="shared" si="47"/>
        <v>#REF!</v>
      </c>
    </row>
    <row r="97" spans="2:38" x14ac:dyDescent="0.15">
      <c r="B97" t="e">
        <f>Experiment!#REF!</f>
        <v>#REF!</v>
      </c>
      <c r="C97" t="e">
        <f t="shared" si="25"/>
        <v>#REF!</v>
      </c>
      <c r="D97" t="e">
        <f t="shared" si="26"/>
        <v>#REF!</v>
      </c>
      <c r="E97" t="e">
        <f t="shared" si="27"/>
        <v>#REF!</v>
      </c>
      <c r="F97" t="e">
        <f t="shared" si="28"/>
        <v>#REF!</v>
      </c>
      <c r="G97" t="e">
        <f t="shared" si="29"/>
        <v>#REF!</v>
      </c>
      <c r="H97" t="e">
        <f t="shared" si="30"/>
        <v>#REF!</v>
      </c>
      <c r="L97" t="e">
        <f>Reflection!I97</f>
        <v>#REF!</v>
      </c>
      <c r="M97" t="e">
        <f t="shared" si="31"/>
        <v>#REF!</v>
      </c>
      <c r="N97" t="e">
        <f t="shared" si="32"/>
        <v>#REF!</v>
      </c>
      <c r="O97" t="e">
        <f t="shared" si="33"/>
        <v>#REF!</v>
      </c>
      <c r="P97" t="e">
        <f t="shared" si="34"/>
        <v>#REF!</v>
      </c>
      <c r="Q97" t="e">
        <f t="shared" si="35"/>
        <v>#REF!</v>
      </c>
      <c r="R97" t="e">
        <f t="shared" si="36"/>
        <v>#REF!</v>
      </c>
      <c r="U97">
        <f>Reflection!Q97</f>
        <v>43900000</v>
      </c>
      <c r="V97" t="str">
        <f t="shared" si="37"/>
        <v>78.2843722772029-46.3586378706139i</v>
      </c>
      <c r="W97" t="str">
        <f t="shared" si="38"/>
        <v>0.113220321328931+0.191191592147209i</v>
      </c>
      <c r="X97">
        <f t="shared" si="39"/>
        <v>78.284372277202905</v>
      </c>
      <c r="Y97">
        <f t="shared" si="40"/>
        <v>46.358637870613897</v>
      </c>
      <c r="Z97">
        <f t="shared" si="41"/>
        <v>0.11322032132893101</v>
      </c>
      <c r="AA97">
        <f t="shared" si="42"/>
        <v>0.19119159214720899</v>
      </c>
      <c r="AE97" t="e">
        <f>Reflection!Y97</f>
        <v>#REF!</v>
      </c>
      <c r="AF97" t="e">
        <f>IMDIV(IMPRODUCT(IMSUB(C97,V97),IMSUB(Reflection!AB97,Reflection!D97),IMSUB(Reflection!L97,Reflection!T97)),IMPRODUCT(IMSUB(Permitivity!M97,Permitivity!V97),IMSUB(Reflection!AB97,Reflection!L97),IMSUB(Reflection!D97,Reflection!T97)))</f>
        <v>#REF!</v>
      </c>
      <c r="AG97" t="e">
        <f t="shared" si="43"/>
        <v>#REF!</v>
      </c>
      <c r="AH97" t="e">
        <f t="shared" si="24"/>
        <v>#REF!</v>
      </c>
      <c r="AI97" t="e">
        <f t="shared" si="44"/>
        <v>#REF!</v>
      </c>
      <c r="AJ97" t="e">
        <f t="shared" si="45"/>
        <v>#REF!</v>
      </c>
      <c r="AK97" t="e">
        <f t="shared" si="46"/>
        <v>#REF!</v>
      </c>
      <c r="AL97" t="e">
        <f t="shared" si="47"/>
        <v>#REF!</v>
      </c>
    </row>
    <row r="98" spans="2:38" x14ac:dyDescent="0.15">
      <c r="B98" t="e">
        <f>Experiment!#REF!</f>
        <v>#REF!</v>
      </c>
      <c r="C98" t="e">
        <f t="shared" si="25"/>
        <v>#REF!</v>
      </c>
      <c r="D98" t="e">
        <f t="shared" si="26"/>
        <v>#REF!</v>
      </c>
      <c r="E98" t="e">
        <f t="shared" si="27"/>
        <v>#REF!</v>
      </c>
      <c r="F98" t="e">
        <f t="shared" si="28"/>
        <v>#REF!</v>
      </c>
      <c r="G98" t="e">
        <f t="shared" si="29"/>
        <v>#REF!</v>
      </c>
      <c r="H98" t="e">
        <f t="shared" si="30"/>
        <v>#REF!</v>
      </c>
      <c r="L98" t="e">
        <f>Reflection!I98</f>
        <v>#REF!</v>
      </c>
      <c r="M98" t="e">
        <f t="shared" si="31"/>
        <v>#REF!</v>
      </c>
      <c r="N98" t="e">
        <f t="shared" si="32"/>
        <v>#REF!</v>
      </c>
      <c r="O98" t="e">
        <f t="shared" si="33"/>
        <v>#REF!</v>
      </c>
      <c r="P98" t="e">
        <f t="shared" si="34"/>
        <v>#REF!</v>
      </c>
      <c r="Q98" t="e">
        <f t="shared" si="35"/>
        <v>#REF!</v>
      </c>
      <c r="R98" t="e">
        <f t="shared" si="36"/>
        <v>#REF!</v>
      </c>
      <c r="U98">
        <f>Reflection!Q98</f>
        <v>45700000</v>
      </c>
      <c r="V98" t="str">
        <f t="shared" si="37"/>
        <v>78.2843320178528-44.5460604384329i</v>
      </c>
      <c r="W98" t="str">
        <f t="shared" si="38"/>
        <v>0.113254299456191+0.199030780585671i</v>
      </c>
      <c r="X98">
        <f t="shared" si="39"/>
        <v>78.284332017852805</v>
      </c>
      <c r="Y98">
        <f t="shared" si="40"/>
        <v>44.546060438432903</v>
      </c>
      <c r="Z98">
        <f t="shared" si="41"/>
        <v>0.113254299456191</v>
      </c>
      <c r="AA98">
        <f t="shared" si="42"/>
        <v>0.199030780585671</v>
      </c>
      <c r="AE98" t="e">
        <f>Reflection!Y98</f>
        <v>#REF!</v>
      </c>
      <c r="AF98" t="e">
        <f>IMDIV(IMPRODUCT(IMSUB(C98,V98),IMSUB(Reflection!AB98,Reflection!D98),IMSUB(Reflection!L98,Reflection!T98)),IMPRODUCT(IMSUB(Permitivity!M98,Permitivity!V98),IMSUB(Reflection!AB98,Reflection!L98),IMSUB(Reflection!D98,Reflection!T98)))</f>
        <v>#REF!</v>
      </c>
      <c r="AG98" t="e">
        <f t="shared" si="43"/>
        <v>#REF!</v>
      </c>
      <c r="AH98" t="e">
        <f t="shared" si="24"/>
        <v>#REF!</v>
      </c>
      <c r="AI98" t="e">
        <f t="shared" si="44"/>
        <v>#REF!</v>
      </c>
      <c r="AJ98" t="e">
        <f t="shared" si="45"/>
        <v>#REF!</v>
      </c>
      <c r="AK98" t="e">
        <f t="shared" si="46"/>
        <v>#REF!</v>
      </c>
      <c r="AL98" t="e">
        <f t="shared" si="47"/>
        <v>#REF!</v>
      </c>
    </row>
    <row r="99" spans="2:38" x14ac:dyDescent="0.15">
      <c r="B99" t="e">
        <f>Experiment!#REF!</f>
        <v>#REF!</v>
      </c>
      <c r="C99" t="e">
        <f t="shared" si="25"/>
        <v>#REF!</v>
      </c>
      <c r="D99" t="e">
        <f t="shared" si="26"/>
        <v>#REF!</v>
      </c>
      <c r="E99" t="e">
        <f t="shared" si="27"/>
        <v>#REF!</v>
      </c>
      <c r="F99" t="e">
        <f t="shared" si="28"/>
        <v>#REF!</v>
      </c>
      <c r="G99" t="e">
        <f t="shared" si="29"/>
        <v>#REF!</v>
      </c>
      <c r="H99" t="e">
        <f t="shared" si="30"/>
        <v>#REF!</v>
      </c>
      <c r="L99" t="e">
        <f>Reflection!I99</f>
        <v>#REF!</v>
      </c>
      <c r="M99" t="e">
        <f t="shared" si="31"/>
        <v>#REF!</v>
      </c>
      <c r="N99" t="e">
        <f t="shared" si="32"/>
        <v>#REF!</v>
      </c>
      <c r="O99" t="e">
        <f t="shared" si="33"/>
        <v>#REF!</v>
      </c>
      <c r="P99" t="e">
        <f t="shared" si="34"/>
        <v>#REF!</v>
      </c>
      <c r="Q99" t="e">
        <f t="shared" si="35"/>
        <v>#REF!</v>
      </c>
      <c r="R99" t="e">
        <f t="shared" si="36"/>
        <v>#REF!</v>
      </c>
      <c r="U99">
        <f>Reflection!Q99</f>
        <v>47600000</v>
      </c>
      <c r="V99" t="str">
        <f t="shared" si="37"/>
        <v>78.2842881471922-42.7820641190822i</v>
      </c>
      <c r="W99" t="str">
        <f t="shared" si="38"/>
        <v>0.113291645052157+0.207305467105236i</v>
      </c>
      <c r="X99">
        <f t="shared" si="39"/>
        <v>78.2842881471922</v>
      </c>
      <c r="Y99">
        <f t="shared" si="40"/>
        <v>42.7820641190822</v>
      </c>
      <c r="Z99">
        <f t="shared" si="41"/>
        <v>0.113291645052157</v>
      </c>
      <c r="AA99">
        <f t="shared" si="42"/>
        <v>0.20730546710523601</v>
      </c>
      <c r="AE99" t="e">
        <f>Reflection!Y99</f>
        <v>#REF!</v>
      </c>
      <c r="AF99" t="e">
        <f>IMDIV(IMPRODUCT(IMSUB(C99,V99),IMSUB(Reflection!AB99,Reflection!D99),IMSUB(Reflection!L99,Reflection!T99)),IMPRODUCT(IMSUB(Permitivity!M99,Permitivity!V99),IMSUB(Reflection!AB99,Reflection!L99),IMSUB(Reflection!D99,Reflection!T99)))</f>
        <v>#REF!</v>
      </c>
      <c r="AG99" t="e">
        <f t="shared" si="43"/>
        <v>#REF!</v>
      </c>
      <c r="AH99" t="e">
        <f t="shared" si="24"/>
        <v>#REF!</v>
      </c>
      <c r="AI99" t="e">
        <f t="shared" si="44"/>
        <v>#REF!</v>
      </c>
      <c r="AJ99" t="e">
        <f t="shared" si="45"/>
        <v>#REF!</v>
      </c>
      <c r="AK99" t="e">
        <f t="shared" si="46"/>
        <v>#REF!</v>
      </c>
      <c r="AL99" t="e">
        <f t="shared" si="47"/>
        <v>#REF!</v>
      </c>
    </row>
    <row r="100" spans="2:38" x14ac:dyDescent="0.15">
      <c r="B100" t="e">
        <f>Experiment!#REF!</f>
        <v>#REF!</v>
      </c>
      <c r="C100" t="e">
        <f t="shared" si="25"/>
        <v>#REF!</v>
      </c>
      <c r="D100" t="e">
        <f t="shared" si="26"/>
        <v>#REF!</v>
      </c>
      <c r="E100" t="e">
        <f t="shared" si="27"/>
        <v>#REF!</v>
      </c>
      <c r="F100" t="e">
        <f t="shared" si="28"/>
        <v>#REF!</v>
      </c>
      <c r="G100" t="e">
        <f t="shared" si="29"/>
        <v>#REF!</v>
      </c>
      <c r="H100" t="e">
        <f t="shared" si="30"/>
        <v>#REF!</v>
      </c>
      <c r="L100" t="e">
        <f>Reflection!I100</f>
        <v>#REF!</v>
      </c>
      <c r="M100" t="e">
        <f t="shared" si="31"/>
        <v>#REF!</v>
      </c>
      <c r="N100" t="e">
        <f t="shared" si="32"/>
        <v>#REF!</v>
      </c>
      <c r="O100" t="e">
        <f t="shared" si="33"/>
        <v>#REF!</v>
      </c>
      <c r="P100" t="e">
        <f t="shared" si="34"/>
        <v>#REF!</v>
      </c>
      <c r="Q100" t="e">
        <f t="shared" si="35"/>
        <v>#REF!</v>
      </c>
      <c r="R100" t="e">
        <f t="shared" si="36"/>
        <v>#REF!</v>
      </c>
      <c r="U100">
        <f>Reflection!Q100</f>
        <v>49500000</v>
      </c>
      <c r="V100" t="str">
        <f t="shared" si="37"/>
        <v>78.2842428647848-41.1540375647274i</v>
      </c>
      <c r="W100" t="str">
        <f t="shared" si="38"/>
        <v>0.113330510382974+0.21558014046269i</v>
      </c>
      <c r="X100">
        <f t="shared" si="39"/>
        <v>78.284242864784801</v>
      </c>
      <c r="Y100">
        <f t="shared" si="40"/>
        <v>41.154037564727403</v>
      </c>
      <c r="Z100">
        <f t="shared" si="41"/>
        <v>0.113330510382974</v>
      </c>
      <c r="AA100">
        <f t="shared" si="42"/>
        <v>0.21558014046269</v>
      </c>
      <c r="AE100" t="e">
        <f>Reflection!Y100</f>
        <v>#REF!</v>
      </c>
      <c r="AF100" t="e">
        <f>IMDIV(IMPRODUCT(IMSUB(C100,V100),IMSUB(Reflection!AB100,Reflection!D100),IMSUB(Reflection!L100,Reflection!T100)),IMPRODUCT(IMSUB(Permitivity!M100,Permitivity!V100),IMSUB(Reflection!AB100,Reflection!L100),IMSUB(Reflection!D100,Reflection!T100)))</f>
        <v>#REF!</v>
      </c>
      <c r="AG100" t="e">
        <f t="shared" si="43"/>
        <v>#REF!</v>
      </c>
      <c r="AH100" t="e">
        <f t="shared" si="24"/>
        <v>#REF!</v>
      </c>
      <c r="AI100" t="e">
        <f t="shared" si="44"/>
        <v>#REF!</v>
      </c>
      <c r="AJ100" t="e">
        <f t="shared" si="45"/>
        <v>#REF!</v>
      </c>
      <c r="AK100" t="e">
        <f t="shared" si="46"/>
        <v>#REF!</v>
      </c>
      <c r="AL100" t="e">
        <f t="shared" si="47"/>
        <v>#REF!</v>
      </c>
    </row>
    <row r="101" spans="2:38" x14ac:dyDescent="0.15">
      <c r="B101" t="e">
        <f>Experiment!#REF!</f>
        <v>#REF!</v>
      </c>
      <c r="C101" t="e">
        <f t="shared" si="25"/>
        <v>#REF!</v>
      </c>
      <c r="D101" t="e">
        <f t="shared" si="26"/>
        <v>#REF!</v>
      </c>
      <c r="E101" t="e">
        <f t="shared" si="27"/>
        <v>#REF!</v>
      </c>
      <c r="F101" t="e">
        <f t="shared" si="28"/>
        <v>#REF!</v>
      </c>
      <c r="G101" t="e">
        <f t="shared" si="29"/>
        <v>#REF!</v>
      </c>
      <c r="H101" t="e">
        <f t="shared" si="30"/>
        <v>#REF!</v>
      </c>
      <c r="L101" t="e">
        <f>Reflection!I101</f>
        <v>#REF!</v>
      </c>
      <c r="M101" t="e">
        <f t="shared" si="31"/>
        <v>#REF!</v>
      </c>
      <c r="N101" t="e">
        <f t="shared" si="32"/>
        <v>#REF!</v>
      </c>
      <c r="O101" t="e">
        <f t="shared" si="33"/>
        <v>#REF!</v>
      </c>
      <c r="P101" t="e">
        <f t="shared" si="34"/>
        <v>#REF!</v>
      </c>
      <c r="Q101" t="e">
        <f t="shared" si="35"/>
        <v>#REF!</v>
      </c>
      <c r="R101" t="e">
        <f t="shared" si="36"/>
        <v>#REF!</v>
      </c>
      <c r="U101">
        <f>Reflection!Q101</f>
        <v>51600000</v>
      </c>
      <c r="V101" t="str">
        <f t="shared" si="37"/>
        <v>78.2841911734315-39.4947439003629i</v>
      </c>
      <c r="W101" t="str">
        <f t="shared" si="38"/>
        <v>0.113375234849094+0.224725816216208i</v>
      </c>
      <c r="X101">
        <f t="shared" si="39"/>
        <v>78.284191173431495</v>
      </c>
      <c r="Y101">
        <f t="shared" si="40"/>
        <v>39.494743900362899</v>
      </c>
      <c r="Z101">
        <f t="shared" si="41"/>
        <v>0.11337523484909399</v>
      </c>
      <c r="AA101">
        <f t="shared" si="42"/>
        <v>0.22472581621620799</v>
      </c>
      <c r="AE101" t="e">
        <f>Reflection!Y101</f>
        <v>#REF!</v>
      </c>
      <c r="AF101" t="e">
        <f>IMDIV(IMPRODUCT(IMSUB(C101,V101),IMSUB(Reflection!AB101,Reflection!D101),IMSUB(Reflection!L101,Reflection!T101)),IMPRODUCT(IMSUB(Permitivity!M101,Permitivity!V101),IMSUB(Reflection!AB101,Reflection!L101),IMSUB(Reflection!D101,Reflection!T101)))</f>
        <v>#REF!</v>
      </c>
      <c r="AG101" t="e">
        <f t="shared" si="43"/>
        <v>#REF!</v>
      </c>
      <c r="AH101" t="e">
        <f t="shared" si="24"/>
        <v>#REF!</v>
      </c>
      <c r="AI101" t="e">
        <f t="shared" si="44"/>
        <v>#REF!</v>
      </c>
      <c r="AJ101" t="e">
        <f t="shared" si="45"/>
        <v>#REF!</v>
      </c>
      <c r="AK101" t="e">
        <f t="shared" si="46"/>
        <v>#REF!</v>
      </c>
      <c r="AL101" t="e">
        <f t="shared" si="47"/>
        <v>#REF!</v>
      </c>
    </row>
    <row r="102" spans="2:38" x14ac:dyDescent="0.15">
      <c r="B102" t="e">
        <f>Experiment!#REF!</f>
        <v>#REF!</v>
      </c>
      <c r="C102" t="e">
        <f t="shared" si="25"/>
        <v>#REF!</v>
      </c>
      <c r="D102" t="e">
        <f t="shared" si="26"/>
        <v>#REF!</v>
      </c>
      <c r="E102" t="e">
        <f t="shared" si="27"/>
        <v>#REF!</v>
      </c>
      <c r="F102" t="e">
        <f t="shared" si="28"/>
        <v>#REF!</v>
      </c>
      <c r="G102" t="e">
        <f t="shared" si="29"/>
        <v>#REF!</v>
      </c>
      <c r="H102" t="e">
        <f t="shared" si="30"/>
        <v>#REF!</v>
      </c>
      <c r="L102" t="e">
        <f>Reflection!I102</f>
        <v>#REF!</v>
      </c>
      <c r="M102" t="e">
        <f t="shared" si="31"/>
        <v>#REF!</v>
      </c>
      <c r="N102" t="e">
        <f t="shared" si="32"/>
        <v>#REF!</v>
      </c>
      <c r="O102" t="e">
        <f t="shared" si="33"/>
        <v>#REF!</v>
      </c>
      <c r="P102" t="e">
        <f t="shared" si="34"/>
        <v>#REF!</v>
      </c>
      <c r="Q102" t="e">
        <f t="shared" si="35"/>
        <v>#REF!</v>
      </c>
      <c r="R102" t="e">
        <f t="shared" si="36"/>
        <v>#REF!</v>
      </c>
      <c r="U102">
        <f>Reflection!Q102</f>
        <v>53700000</v>
      </c>
      <c r="V102" t="str">
        <f t="shared" si="37"/>
        <v>78.2841377576901-37.9658487836181i</v>
      </c>
      <c r="W102" t="str">
        <f t="shared" si="38"/>
        <v>0.113421815697438+0.233871474740132i</v>
      </c>
      <c r="X102">
        <f t="shared" si="39"/>
        <v>78.284137757690104</v>
      </c>
      <c r="Y102">
        <f t="shared" si="40"/>
        <v>37.9658487836181</v>
      </c>
      <c r="Z102">
        <f t="shared" si="41"/>
        <v>0.11342181569743801</v>
      </c>
      <c r="AA102">
        <f t="shared" si="42"/>
        <v>0.23387147474013201</v>
      </c>
      <c r="AE102" t="e">
        <f>Reflection!Y102</f>
        <v>#REF!</v>
      </c>
      <c r="AF102" t="e">
        <f>IMDIV(IMPRODUCT(IMSUB(C102,V102),IMSUB(Reflection!AB102,Reflection!D102),IMSUB(Reflection!L102,Reflection!T102)),IMPRODUCT(IMSUB(Permitivity!M102,Permitivity!V102),IMSUB(Reflection!AB102,Reflection!L102),IMSUB(Reflection!D102,Reflection!T102)))</f>
        <v>#REF!</v>
      </c>
      <c r="AG102" t="e">
        <f t="shared" si="43"/>
        <v>#REF!</v>
      </c>
      <c r="AH102" t="e">
        <f t="shared" si="24"/>
        <v>#REF!</v>
      </c>
      <c r="AI102" t="e">
        <f t="shared" si="44"/>
        <v>#REF!</v>
      </c>
      <c r="AJ102" t="e">
        <f t="shared" si="45"/>
        <v>#REF!</v>
      </c>
      <c r="AK102" t="e">
        <f t="shared" si="46"/>
        <v>#REF!</v>
      </c>
      <c r="AL102" t="e">
        <f t="shared" si="47"/>
        <v>#REF!</v>
      </c>
    </row>
    <row r="103" spans="2:38" x14ac:dyDescent="0.15">
      <c r="B103" t="e">
        <f>Experiment!#REF!</f>
        <v>#REF!</v>
      </c>
      <c r="C103" t="e">
        <f t="shared" si="25"/>
        <v>#REF!</v>
      </c>
      <c r="D103" t="e">
        <f t="shared" si="26"/>
        <v>#REF!</v>
      </c>
      <c r="E103" t="e">
        <f t="shared" si="27"/>
        <v>#REF!</v>
      </c>
      <c r="F103" t="e">
        <f t="shared" si="28"/>
        <v>#REF!</v>
      </c>
      <c r="G103" t="e">
        <f t="shared" si="29"/>
        <v>#REF!</v>
      </c>
      <c r="H103" t="e">
        <f t="shared" si="30"/>
        <v>#REF!</v>
      </c>
      <c r="L103" t="e">
        <f>Reflection!I103</f>
        <v>#REF!</v>
      </c>
      <c r="M103" t="e">
        <f t="shared" si="31"/>
        <v>#REF!</v>
      </c>
      <c r="N103" t="e">
        <f t="shared" si="32"/>
        <v>#REF!</v>
      </c>
      <c r="O103" t="e">
        <f t="shared" si="33"/>
        <v>#REF!</v>
      </c>
      <c r="P103" t="e">
        <f t="shared" si="34"/>
        <v>#REF!</v>
      </c>
      <c r="Q103" t="e">
        <f t="shared" si="35"/>
        <v>#REF!</v>
      </c>
      <c r="R103" t="e">
        <f t="shared" si="36"/>
        <v>#REF!</v>
      </c>
      <c r="U103">
        <f>Reflection!Q103</f>
        <v>55900000</v>
      </c>
      <c r="V103" t="str">
        <f t="shared" si="37"/>
        <v>78.284079948944-36.4879970278086i</v>
      </c>
      <c r="W103" t="str">
        <f t="shared" si="38"/>
        <v>0.113472605692975+0.243452621674842i</v>
      </c>
      <c r="X103">
        <f t="shared" si="39"/>
        <v>78.284079948943997</v>
      </c>
      <c r="Y103">
        <f t="shared" si="40"/>
        <v>36.487997027808603</v>
      </c>
      <c r="Z103">
        <f t="shared" si="41"/>
        <v>0.113472605692975</v>
      </c>
      <c r="AA103">
        <f t="shared" si="42"/>
        <v>0.243452621674842</v>
      </c>
      <c r="AE103" t="e">
        <f>Reflection!Y103</f>
        <v>#REF!</v>
      </c>
      <c r="AF103" t="e">
        <f>IMDIV(IMPRODUCT(IMSUB(C103,V103),IMSUB(Reflection!AB103,Reflection!D103),IMSUB(Reflection!L103,Reflection!T103)),IMPRODUCT(IMSUB(Permitivity!M103,Permitivity!V103),IMSUB(Reflection!AB103,Reflection!L103),IMSUB(Reflection!D103,Reflection!T103)))</f>
        <v>#REF!</v>
      </c>
      <c r="AG103" t="e">
        <f t="shared" si="43"/>
        <v>#REF!</v>
      </c>
      <c r="AH103" t="e">
        <f t="shared" si="24"/>
        <v>#REF!</v>
      </c>
      <c r="AI103" t="e">
        <f t="shared" si="44"/>
        <v>#REF!</v>
      </c>
      <c r="AJ103" t="e">
        <f t="shared" si="45"/>
        <v>#REF!</v>
      </c>
      <c r="AK103" t="e">
        <f t="shared" si="46"/>
        <v>#REF!</v>
      </c>
      <c r="AL103" t="e">
        <f t="shared" si="47"/>
        <v>#REF!</v>
      </c>
    </row>
    <row r="104" spans="2:38" x14ac:dyDescent="0.15">
      <c r="B104" t="e">
        <f>Experiment!#REF!</f>
        <v>#REF!</v>
      </c>
      <c r="C104" t="e">
        <f t="shared" si="25"/>
        <v>#REF!</v>
      </c>
      <c r="D104" t="e">
        <f t="shared" si="26"/>
        <v>#REF!</v>
      </c>
      <c r="E104" t="e">
        <f t="shared" si="27"/>
        <v>#REF!</v>
      </c>
      <c r="F104" t="e">
        <f t="shared" si="28"/>
        <v>#REF!</v>
      </c>
      <c r="G104" t="e">
        <f t="shared" si="29"/>
        <v>#REF!</v>
      </c>
      <c r="H104" t="e">
        <f t="shared" si="30"/>
        <v>#REF!</v>
      </c>
      <c r="L104" t="e">
        <f>Reflection!I104</f>
        <v>#REF!</v>
      </c>
      <c r="M104" t="e">
        <f t="shared" si="31"/>
        <v>#REF!</v>
      </c>
      <c r="N104" t="e">
        <f t="shared" si="32"/>
        <v>#REF!</v>
      </c>
      <c r="O104" t="e">
        <f t="shared" si="33"/>
        <v>#REF!</v>
      </c>
      <c r="P104" t="e">
        <f t="shared" si="34"/>
        <v>#REF!</v>
      </c>
      <c r="Q104" t="e">
        <f t="shared" si="35"/>
        <v>#REF!</v>
      </c>
      <c r="R104" t="e">
        <f t="shared" si="36"/>
        <v>#REF!</v>
      </c>
      <c r="U104">
        <f>Reflection!Q104</f>
        <v>58200000</v>
      </c>
      <c r="V104" t="str">
        <f t="shared" si="37"/>
        <v>78.2840174892648-35.0631037814597i</v>
      </c>
      <c r="W104" t="str">
        <f t="shared" si="38"/>
        <v>0.113527882570208+0.253469253607398i</v>
      </c>
      <c r="X104">
        <f t="shared" si="39"/>
        <v>78.284017489264798</v>
      </c>
      <c r="Y104">
        <f t="shared" si="40"/>
        <v>35.063103781459702</v>
      </c>
      <c r="Z104">
        <f t="shared" si="41"/>
        <v>0.113527882570208</v>
      </c>
      <c r="AA104">
        <f t="shared" si="42"/>
        <v>0.25346925360739803</v>
      </c>
      <c r="AE104" t="e">
        <f>Reflection!Y104</f>
        <v>#REF!</v>
      </c>
      <c r="AF104" t="e">
        <f>IMDIV(IMPRODUCT(IMSUB(C104,V104),IMSUB(Reflection!AB104,Reflection!D104),IMSUB(Reflection!L104,Reflection!T104)),IMPRODUCT(IMSUB(Permitivity!M104,Permitivity!V104),IMSUB(Reflection!AB104,Reflection!L104),IMSUB(Reflection!D104,Reflection!T104)))</f>
        <v>#REF!</v>
      </c>
      <c r="AG104" t="e">
        <f t="shared" si="43"/>
        <v>#REF!</v>
      </c>
      <c r="AH104" t="e">
        <f t="shared" si="24"/>
        <v>#REF!</v>
      </c>
      <c r="AI104" t="e">
        <f t="shared" si="44"/>
        <v>#REF!</v>
      </c>
      <c r="AJ104" t="e">
        <f t="shared" si="45"/>
        <v>#REF!</v>
      </c>
      <c r="AK104" t="e">
        <f t="shared" si="46"/>
        <v>#REF!</v>
      </c>
      <c r="AL104" t="e">
        <f t="shared" si="47"/>
        <v>#REF!</v>
      </c>
    </row>
    <row r="105" spans="2:38" x14ac:dyDescent="0.15">
      <c r="B105" t="e">
        <f>Experiment!#REF!</f>
        <v>#REF!</v>
      </c>
      <c r="C105" t="e">
        <f t="shared" si="25"/>
        <v>#REF!</v>
      </c>
      <c r="D105" t="e">
        <f t="shared" si="26"/>
        <v>#REF!</v>
      </c>
      <c r="E105" t="e">
        <f t="shared" si="27"/>
        <v>#REF!</v>
      </c>
      <c r="F105" t="e">
        <f t="shared" si="28"/>
        <v>#REF!</v>
      </c>
      <c r="G105" t="e">
        <f t="shared" si="29"/>
        <v>#REF!</v>
      </c>
      <c r="H105" t="e">
        <f t="shared" si="30"/>
        <v>#REF!</v>
      </c>
      <c r="L105" t="e">
        <f>Reflection!I105</f>
        <v>#REF!</v>
      </c>
      <c r="M105" t="e">
        <f t="shared" si="31"/>
        <v>#REF!</v>
      </c>
      <c r="N105" t="e">
        <f t="shared" si="32"/>
        <v>#REF!</v>
      </c>
      <c r="O105" t="e">
        <f t="shared" si="33"/>
        <v>#REF!</v>
      </c>
      <c r="P105" t="e">
        <f t="shared" si="34"/>
        <v>#REF!</v>
      </c>
      <c r="Q105" t="e">
        <f t="shared" si="35"/>
        <v>#REF!</v>
      </c>
      <c r="R105" t="e">
        <f t="shared" si="36"/>
        <v>#REF!</v>
      </c>
      <c r="U105">
        <f>Reflection!Q105</f>
        <v>60600000</v>
      </c>
      <c r="V105" t="str">
        <f t="shared" si="37"/>
        <v>78.2839501090251-33.6922791633815i</v>
      </c>
      <c r="W105" t="str">
        <f t="shared" si="38"/>
        <v>0.1135879366723+0.263921366801029i</v>
      </c>
      <c r="X105">
        <f t="shared" si="39"/>
        <v>78.283950109025099</v>
      </c>
      <c r="Y105">
        <f t="shared" si="40"/>
        <v>33.6922791633815</v>
      </c>
      <c r="Z105">
        <f t="shared" si="41"/>
        <v>0.11358793667229999</v>
      </c>
      <c r="AA105">
        <f t="shared" si="42"/>
        <v>0.26392136680102901</v>
      </c>
      <c r="AE105" t="e">
        <f>Reflection!Y105</f>
        <v>#REF!</v>
      </c>
      <c r="AF105" t="e">
        <f>IMDIV(IMPRODUCT(IMSUB(C105,V105),IMSUB(Reflection!AB105,Reflection!D105),IMSUB(Reflection!L105,Reflection!T105)),IMPRODUCT(IMSUB(Permitivity!M105,Permitivity!V105),IMSUB(Reflection!AB105,Reflection!L105),IMSUB(Reflection!D105,Reflection!T105)))</f>
        <v>#REF!</v>
      </c>
      <c r="AG105" t="e">
        <f t="shared" si="43"/>
        <v>#REF!</v>
      </c>
      <c r="AH105" t="e">
        <f t="shared" si="24"/>
        <v>#REF!</v>
      </c>
      <c r="AI105" t="e">
        <f t="shared" si="44"/>
        <v>#REF!</v>
      </c>
      <c r="AJ105" t="e">
        <f t="shared" si="45"/>
        <v>#REF!</v>
      </c>
      <c r="AK105" t="e">
        <f t="shared" si="46"/>
        <v>#REF!</v>
      </c>
      <c r="AL105" t="e">
        <f t="shared" si="47"/>
        <v>#REF!</v>
      </c>
    </row>
    <row r="106" spans="2:38" x14ac:dyDescent="0.15">
      <c r="B106" t="e">
        <f>Experiment!#REF!</f>
        <v>#REF!</v>
      </c>
      <c r="C106" t="e">
        <f t="shared" si="25"/>
        <v>#REF!</v>
      </c>
      <c r="D106" t="e">
        <f t="shared" si="26"/>
        <v>#REF!</v>
      </c>
      <c r="E106" t="e">
        <f t="shared" si="27"/>
        <v>#REF!</v>
      </c>
      <c r="F106" t="e">
        <f t="shared" si="28"/>
        <v>#REF!</v>
      </c>
      <c r="G106" t="e">
        <f t="shared" si="29"/>
        <v>#REF!</v>
      </c>
      <c r="H106" t="e">
        <f t="shared" si="30"/>
        <v>#REF!</v>
      </c>
      <c r="L106" t="e">
        <f>Reflection!I106</f>
        <v>#REF!</v>
      </c>
      <c r="M106" t="e">
        <f t="shared" si="31"/>
        <v>#REF!</v>
      </c>
      <c r="N106" t="e">
        <f t="shared" si="32"/>
        <v>#REF!</v>
      </c>
      <c r="O106" t="e">
        <f t="shared" si="33"/>
        <v>#REF!</v>
      </c>
      <c r="P106" t="e">
        <f t="shared" si="34"/>
        <v>#REF!</v>
      </c>
      <c r="Q106" t="e">
        <f t="shared" si="35"/>
        <v>#REF!</v>
      </c>
      <c r="R106" t="e">
        <f t="shared" si="36"/>
        <v>#REF!</v>
      </c>
      <c r="U106">
        <f>Reflection!Q106</f>
        <v>63100000</v>
      </c>
      <c r="V106" t="str">
        <f t="shared" si="37"/>
        <v>78.2838775268997-32.3759573862144i</v>
      </c>
      <c r="W106" t="str">
        <f t="shared" si="38"/>
        <v>0.113653070949565+0.274808957172651i</v>
      </c>
      <c r="X106">
        <f t="shared" si="39"/>
        <v>78.283877526899701</v>
      </c>
      <c r="Y106">
        <f t="shared" si="40"/>
        <v>32.375957386214402</v>
      </c>
      <c r="Z106">
        <f t="shared" si="41"/>
        <v>0.113653070949565</v>
      </c>
      <c r="AA106">
        <f t="shared" si="42"/>
        <v>0.27480895717265102</v>
      </c>
      <c r="AE106" t="e">
        <f>Reflection!Y106</f>
        <v>#REF!</v>
      </c>
      <c r="AF106" t="e">
        <f>IMDIV(IMPRODUCT(IMSUB(C106,V106),IMSUB(Reflection!AB106,Reflection!D106),IMSUB(Reflection!L106,Reflection!T106)),IMPRODUCT(IMSUB(Permitivity!M106,Permitivity!V106),IMSUB(Reflection!AB106,Reflection!L106),IMSUB(Reflection!D106,Reflection!T106)))</f>
        <v>#REF!</v>
      </c>
      <c r="AG106" t="e">
        <f t="shared" si="43"/>
        <v>#REF!</v>
      </c>
      <c r="AH106" t="e">
        <f t="shared" si="24"/>
        <v>#REF!</v>
      </c>
      <c r="AI106" t="e">
        <f t="shared" si="44"/>
        <v>#REF!</v>
      </c>
      <c r="AJ106" t="e">
        <f t="shared" si="45"/>
        <v>#REF!</v>
      </c>
      <c r="AK106" t="e">
        <f t="shared" si="46"/>
        <v>#REF!</v>
      </c>
      <c r="AL106" t="e">
        <f t="shared" si="47"/>
        <v>#REF!</v>
      </c>
    </row>
    <row r="107" spans="2:38" x14ac:dyDescent="0.15">
      <c r="B107" t="e">
        <f>Experiment!#REF!</f>
        <v>#REF!</v>
      </c>
      <c r="C107" t="e">
        <f t="shared" si="25"/>
        <v>#REF!</v>
      </c>
      <c r="D107" t="e">
        <f t="shared" si="26"/>
        <v>#REF!</v>
      </c>
      <c r="E107" t="e">
        <f t="shared" si="27"/>
        <v>#REF!</v>
      </c>
      <c r="F107" t="e">
        <f t="shared" si="28"/>
        <v>#REF!</v>
      </c>
      <c r="G107" t="e">
        <f t="shared" si="29"/>
        <v>#REF!</v>
      </c>
      <c r="H107" t="e">
        <f t="shared" si="30"/>
        <v>#REF!</v>
      </c>
      <c r="L107" t="e">
        <f>Reflection!I107</f>
        <v>#REF!</v>
      </c>
      <c r="M107" t="e">
        <f t="shared" si="31"/>
        <v>#REF!</v>
      </c>
      <c r="N107" t="e">
        <f t="shared" si="32"/>
        <v>#REF!</v>
      </c>
      <c r="O107" t="e">
        <f t="shared" si="33"/>
        <v>#REF!</v>
      </c>
      <c r="P107" t="e">
        <f t="shared" si="34"/>
        <v>#REF!</v>
      </c>
      <c r="Q107" t="e">
        <f t="shared" si="35"/>
        <v>#REF!</v>
      </c>
      <c r="R107" t="e">
        <f t="shared" si="36"/>
        <v>#REF!</v>
      </c>
      <c r="U107">
        <f>Reflection!Q107</f>
        <v>65599999.999999993</v>
      </c>
      <c r="V107" t="str">
        <f t="shared" si="37"/>
        <v>78.2838025016923-31.1606857781659i</v>
      </c>
      <c r="W107" t="str">
        <f t="shared" si="38"/>
        <v>0.113720835658037+0.285696518438598i</v>
      </c>
      <c r="X107">
        <f t="shared" si="39"/>
        <v>78.283802501692307</v>
      </c>
      <c r="Y107">
        <f t="shared" si="40"/>
        <v>31.160685778165899</v>
      </c>
      <c r="Z107">
        <f t="shared" si="41"/>
        <v>0.11372083565803701</v>
      </c>
      <c r="AA107">
        <f t="shared" si="42"/>
        <v>0.285696518438598</v>
      </c>
      <c r="AE107" t="e">
        <f>Reflection!Y107</f>
        <v>#REF!</v>
      </c>
      <c r="AF107" t="e">
        <f>IMDIV(IMPRODUCT(IMSUB(C107,V107),IMSUB(Reflection!AB107,Reflection!D107),IMSUB(Reflection!L107,Reflection!T107)),IMPRODUCT(IMSUB(Permitivity!M107,Permitivity!V107),IMSUB(Reflection!AB107,Reflection!L107),IMSUB(Reflection!D107,Reflection!T107)))</f>
        <v>#REF!</v>
      </c>
      <c r="AG107" t="e">
        <f t="shared" si="43"/>
        <v>#REF!</v>
      </c>
      <c r="AH107" t="e">
        <f t="shared" si="24"/>
        <v>#REF!</v>
      </c>
      <c r="AI107" t="e">
        <f t="shared" si="44"/>
        <v>#REF!</v>
      </c>
      <c r="AJ107" t="e">
        <f t="shared" si="45"/>
        <v>#REF!</v>
      </c>
      <c r="AK107" t="e">
        <f t="shared" si="46"/>
        <v>#REF!</v>
      </c>
      <c r="AL107" t="e">
        <f t="shared" si="47"/>
        <v>#REF!</v>
      </c>
    </row>
    <row r="108" spans="2:38" x14ac:dyDescent="0.15">
      <c r="B108" t="e">
        <f>Experiment!#REF!</f>
        <v>#REF!</v>
      </c>
      <c r="C108" t="e">
        <f t="shared" si="25"/>
        <v>#REF!</v>
      </c>
      <c r="D108" t="e">
        <f t="shared" si="26"/>
        <v>#REF!</v>
      </c>
      <c r="E108" t="e">
        <f t="shared" si="27"/>
        <v>#REF!</v>
      </c>
      <c r="F108" t="e">
        <f t="shared" si="28"/>
        <v>#REF!</v>
      </c>
      <c r="G108" t="e">
        <f t="shared" si="29"/>
        <v>#REF!</v>
      </c>
      <c r="H108" t="e">
        <f t="shared" si="30"/>
        <v>#REF!</v>
      </c>
      <c r="L108" t="e">
        <f>Reflection!I108</f>
        <v>#REF!</v>
      </c>
      <c r="M108" t="e">
        <f t="shared" si="31"/>
        <v>#REF!</v>
      </c>
      <c r="N108" t="e">
        <f t="shared" si="32"/>
        <v>#REF!</v>
      </c>
      <c r="O108" t="e">
        <f t="shared" si="33"/>
        <v>#REF!</v>
      </c>
      <c r="P108" t="e">
        <f t="shared" si="34"/>
        <v>#REF!</v>
      </c>
      <c r="Q108" t="e">
        <f t="shared" si="35"/>
        <v>#REF!</v>
      </c>
      <c r="R108" t="e">
        <f t="shared" si="36"/>
        <v>#REF!</v>
      </c>
      <c r="U108">
        <f>Reflection!Q108</f>
        <v>68300000</v>
      </c>
      <c r="V108" t="str">
        <f t="shared" si="37"/>
        <v>78.2837187305754-29.9488962581387i</v>
      </c>
      <c r="W108" t="str">
        <f t="shared" si="38"/>
        <v>0.113796975929528+0.297455050739519i</v>
      </c>
      <c r="X108">
        <f t="shared" si="39"/>
        <v>78.283718730575401</v>
      </c>
      <c r="Y108">
        <f t="shared" si="40"/>
        <v>29.948896258138699</v>
      </c>
      <c r="Z108">
        <f t="shared" si="41"/>
        <v>0.113796975929528</v>
      </c>
      <c r="AA108">
        <f t="shared" si="42"/>
        <v>0.297455050739519</v>
      </c>
      <c r="AE108" t="e">
        <f>Reflection!Y108</f>
        <v>#REF!</v>
      </c>
      <c r="AF108" t="e">
        <f>IMDIV(IMPRODUCT(IMSUB(C108,V108),IMSUB(Reflection!AB108,Reflection!D108),IMSUB(Reflection!L108,Reflection!T108)),IMPRODUCT(IMSUB(Permitivity!M108,Permitivity!V108),IMSUB(Reflection!AB108,Reflection!L108),IMSUB(Reflection!D108,Reflection!T108)))</f>
        <v>#REF!</v>
      </c>
      <c r="AG108" t="e">
        <f t="shared" si="43"/>
        <v>#REF!</v>
      </c>
      <c r="AH108" t="e">
        <f t="shared" si="24"/>
        <v>#REF!</v>
      </c>
      <c r="AI108" t="e">
        <f t="shared" si="44"/>
        <v>#REF!</v>
      </c>
      <c r="AJ108" t="e">
        <f t="shared" si="45"/>
        <v>#REF!</v>
      </c>
      <c r="AK108" t="e">
        <f t="shared" si="46"/>
        <v>#REF!</v>
      </c>
      <c r="AL108" t="e">
        <f t="shared" si="47"/>
        <v>#REF!</v>
      </c>
    </row>
    <row r="109" spans="2:38" x14ac:dyDescent="0.15">
      <c r="B109" t="e">
        <f>Experiment!#REF!</f>
        <v>#REF!</v>
      </c>
      <c r="C109" t="e">
        <f t="shared" si="25"/>
        <v>#REF!</v>
      </c>
      <c r="D109" t="e">
        <f t="shared" si="26"/>
        <v>#REF!</v>
      </c>
      <c r="E109" t="e">
        <f t="shared" si="27"/>
        <v>#REF!</v>
      </c>
      <c r="F109" t="e">
        <f t="shared" si="28"/>
        <v>#REF!</v>
      </c>
      <c r="G109" t="e">
        <f t="shared" si="29"/>
        <v>#REF!</v>
      </c>
      <c r="H109" t="e">
        <f t="shared" si="30"/>
        <v>#REF!</v>
      </c>
      <c r="L109" t="e">
        <f>Reflection!I109</f>
        <v>#REF!</v>
      </c>
      <c r="M109" t="e">
        <f t="shared" si="31"/>
        <v>#REF!</v>
      </c>
      <c r="N109" t="e">
        <f t="shared" si="32"/>
        <v>#REF!</v>
      </c>
      <c r="O109" t="e">
        <f t="shared" si="33"/>
        <v>#REF!</v>
      </c>
      <c r="P109" t="e">
        <f t="shared" si="34"/>
        <v>#REF!</v>
      </c>
      <c r="Q109" t="e">
        <f t="shared" si="35"/>
        <v>#REF!</v>
      </c>
      <c r="R109" t="e">
        <f t="shared" si="36"/>
        <v>#REF!</v>
      </c>
      <c r="U109">
        <f>Reflection!Q109</f>
        <v>71100000</v>
      </c>
      <c r="V109" t="str">
        <f t="shared" si="37"/>
        <v>78.2836288473419-28.7902556804339i</v>
      </c>
      <c r="W109" t="str">
        <f t="shared" si="38"/>
        <v>0.11387917665092+0.309649045751273i</v>
      </c>
      <c r="X109">
        <f t="shared" si="39"/>
        <v>78.283628847341902</v>
      </c>
      <c r="Y109">
        <f t="shared" si="40"/>
        <v>28.790255680433901</v>
      </c>
      <c r="Z109">
        <f t="shared" si="41"/>
        <v>0.11387917665092</v>
      </c>
      <c r="AA109">
        <f t="shared" si="42"/>
        <v>0.309649045751273</v>
      </c>
      <c r="AE109" t="e">
        <f>Reflection!Y109</f>
        <v>#REF!</v>
      </c>
      <c r="AF109" t="e">
        <f>IMDIV(IMPRODUCT(IMSUB(C109,V109),IMSUB(Reflection!AB109,Reflection!D109),IMSUB(Reflection!L109,Reflection!T109)),IMPRODUCT(IMSUB(Permitivity!M109,Permitivity!V109),IMSUB(Reflection!AB109,Reflection!L109),IMSUB(Reflection!D109,Reflection!T109)))</f>
        <v>#REF!</v>
      </c>
      <c r="AG109" t="e">
        <f t="shared" si="43"/>
        <v>#REF!</v>
      </c>
      <c r="AH109" t="e">
        <f t="shared" si="24"/>
        <v>#REF!</v>
      </c>
      <c r="AI109" t="e">
        <f t="shared" si="44"/>
        <v>#REF!</v>
      </c>
      <c r="AJ109" t="e">
        <f t="shared" si="45"/>
        <v>#REF!</v>
      </c>
      <c r="AK109" t="e">
        <f t="shared" si="46"/>
        <v>#REF!</v>
      </c>
      <c r="AL109" t="e">
        <f t="shared" si="47"/>
        <v>#REF!</v>
      </c>
    </row>
    <row r="110" spans="2:38" x14ac:dyDescent="0.15">
      <c r="B110" t="e">
        <f>Experiment!#REF!</f>
        <v>#REF!</v>
      </c>
      <c r="C110" t="e">
        <f t="shared" si="25"/>
        <v>#REF!</v>
      </c>
      <c r="D110" t="e">
        <f t="shared" si="26"/>
        <v>#REF!</v>
      </c>
      <c r="E110" t="e">
        <f t="shared" si="27"/>
        <v>#REF!</v>
      </c>
      <c r="F110" t="e">
        <f t="shared" si="28"/>
        <v>#REF!</v>
      </c>
      <c r="G110" t="e">
        <f t="shared" si="29"/>
        <v>#REF!</v>
      </c>
      <c r="H110" t="e">
        <f t="shared" si="30"/>
        <v>#REF!</v>
      </c>
      <c r="L110" t="e">
        <f>Reflection!I110</f>
        <v>#REF!</v>
      </c>
      <c r="M110" t="e">
        <f t="shared" si="31"/>
        <v>#REF!</v>
      </c>
      <c r="N110" t="e">
        <f t="shared" si="32"/>
        <v>#REF!</v>
      </c>
      <c r="O110" t="e">
        <f t="shared" si="33"/>
        <v>#REF!</v>
      </c>
      <c r="P110" t="e">
        <f t="shared" si="34"/>
        <v>#REF!</v>
      </c>
      <c r="Q110" t="e">
        <f t="shared" si="35"/>
        <v>#REF!</v>
      </c>
      <c r="R110" t="e">
        <f t="shared" si="36"/>
        <v>#REF!</v>
      </c>
      <c r="U110">
        <f>Reflection!Q110</f>
        <v>74100000</v>
      </c>
      <c r="V110" t="str">
        <f t="shared" si="37"/>
        <v>78.2835291437827-27.6469108329043i</v>
      </c>
      <c r="W110" t="str">
        <f t="shared" si="38"/>
        <v>0.113970909980924+0.322713995316123i</v>
      </c>
      <c r="X110">
        <f t="shared" si="39"/>
        <v>78.283529143782701</v>
      </c>
      <c r="Y110">
        <f t="shared" si="40"/>
        <v>27.6469108329043</v>
      </c>
      <c r="Z110">
        <f t="shared" si="41"/>
        <v>0.113970909980924</v>
      </c>
      <c r="AA110">
        <f t="shared" si="42"/>
        <v>0.32271399531612299</v>
      </c>
      <c r="AE110" t="e">
        <f>Reflection!Y110</f>
        <v>#REF!</v>
      </c>
      <c r="AF110" t="e">
        <f>IMDIV(IMPRODUCT(IMSUB(C110,V110),IMSUB(Reflection!AB110,Reflection!D110),IMSUB(Reflection!L110,Reflection!T110)),IMPRODUCT(IMSUB(Permitivity!M110,Permitivity!V110),IMSUB(Reflection!AB110,Reflection!L110),IMSUB(Reflection!D110,Reflection!T110)))</f>
        <v>#REF!</v>
      </c>
      <c r="AG110" t="e">
        <f t="shared" si="43"/>
        <v>#REF!</v>
      </c>
      <c r="AH110" t="e">
        <f t="shared" si="24"/>
        <v>#REF!</v>
      </c>
      <c r="AI110" t="e">
        <f t="shared" si="44"/>
        <v>#REF!</v>
      </c>
      <c r="AJ110" t="e">
        <f t="shared" si="45"/>
        <v>#REF!</v>
      </c>
      <c r="AK110" t="e">
        <f t="shared" si="46"/>
        <v>#REF!</v>
      </c>
      <c r="AL110" t="e">
        <f t="shared" si="47"/>
        <v>#REF!</v>
      </c>
    </row>
    <row r="111" spans="2:38" x14ac:dyDescent="0.15">
      <c r="B111" t="e">
        <f>Experiment!#REF!</f>
        <v>#REF!</v>
      </c>
      <c r="C111" t="e">
        <f t="shared" si="25"/>
        <v>#REF!</v>
      </c>
      <c r="D111" t="e">
        <f t="shared" si="26"/>
        <v>#REF!</v>
      </c>
      <c r="E111" t="e">
        <f t="shared" si="27"/>
        <v>#REF!</v>
      </c>
      <c r="F111" t="e">
        <f t="shared" si="28"/>
        <v>#REF!</v>
      </c>
      <c r="G111" t="e">
        <f t="shared" si="29"/>
        <v>#REF!</v>
      </c>
      <c r="H111" t="e">
        <f t="shared" si="30"/>
        <v>#REF!</v>
      </c>
      <c r="L111" t="e">
        <f>Reflection!I111</f>
        <v>#REF!</v>
      </c>
      <c r="M111" t="e">
        <f t="shared" si="31"/>
        <v>#REF!</v>
      </c>
      <c r="N111" t="e">
        <f t="shared" si="32"/>
        <v>#REF!</v>
      </c>
      <c r="O111" t="e">
        <f t="shared" si="33"/>
        <v>#REF!</v>
      </c>
      <c r="P111" t="e">
        <f t="shared" si="34"/>
        <v>#REF!</v>
      </c>
      <c r="Q111" t="e">
        <f t="shared" si="35"/>
        <v>#REF!</v>
      </c>
      <c r="R111" t="e">
        <f t="shared" si="36"/>
        <v>#REF!</v>
      </c>
      <c r="U111">
        <f>Reflection!Q111</f>
        <v>77100000</v>
      </c>
      <c r="V111" t="str">
        <f t="shared" si="37"/>
        <v>78.283425923125-26.5934251898839i</v>
      </c>
      <c r="W111" t="str">
        <f t="shared" si="38"/>
        <v>0.114066430531173+0.335778896514583i</v>
      </c>
      <c r="X111">
        <f t="shared" si="39"/>
        <v>78.283425923124994</v>
      </c>
      <c r="Y111">
        <f t="shared" si="40"/>
        <v>26.593425189883899</v>
      </c>
      <c r="Z111">
        <f t="shared" si="41"/>
        <v>0.114066430531173</v>
      </c>
      <c r="AA111">
        <f t="shared" si="42"/>
        <v>0.33577889651458298</v>
      </c>
      <c r="AE111" t="e">
        <f>Reflection!Y111</f>
        <v>#REF!</v>
      </c>
      <c r="AF111" t="e">
        <f>IMDIV(IMPRODUCT(IMSUB(C111,V111),IMSUB(Reflection!AB111,Reflection!D111),IMSUB(Reflection!L111,Reflection!T111)),IMPRODUCT(IMSUB(Permitivity!M111,Permitivity!V111),IMSUB(Reflection!AB111,Reflection!L111),IMSUB(Reflection!D111,Reflection!T111)))</f>
        <v>#REF!</v>
      </c>
      <c r="AG111" t="e">
        <f t="shared" si="43"/>
        <v>#REF!</v>
      </c>
      <c r="AH111" t="e">
        <f t="shared" si="24"/>
        <v>#REF!</v>
      </c>
      <c r="AI111" t="e">
        <f t="shared" si="44"/>
        <v>#REF!</v>
      </c>
      <c r="AJ111" t="e">
        <f t="shared" si="45"/>
        <v>#REF!</v>
      </c>
      <c r="AK111" t="e">
        <f t="shared" si="46"/>
        <v>#REF!</v>
      </c>
      <c r="AL111" t="e">
        <f t="shared" si="47"/>
        <v>#REF!</v>
      </c>
    </row>
    <row r="112" spans="2:38" x14ac:dyDescent="0.15">
      <c r="B112" t="e">
        <f>Experiment!#REF!</f>
        <v>#REF!</v>
      </c>
      <c r="C112" t="e">
        <f t="shared" si="25"/>
        <v>#REF!</v>
      </c>
      <c r="D112" t="e">
        <f t="shared" si="26"/>
        <v>#REF!</v>
      </c>
      <c r="E112" t="e">
        <f t="shared" si="27"/>
        <v>#REF!</v>
      </c>
      <c r="F112" t="e">
        <f t="shared" si="28"/>
        <v>#REF!</v>
      </c>
      <c r="G112" t="e">
        <f t="shared" si="29"/>
        <v>#REF!</v>
      </c>
      <c r="H112" t="e">
        <f t="shared" si="30"/>
        <v>#REF!</v>
      </c>
      <c r="L112" t="e">
        <f>Reflection!I112</f>
        <v>#REF!</v>
      </c>
      <c r="M112" t="e">
        <f t="shared" si="31"/>
        <v>#REF!</v>
      </c>
      <c r="N112" t="e">
        <f t="shared" si="32"/>
        <v>#REF!</v>
      </c>
      <c r="O112" t="e">
        <f t="shared" si="33"/>
        <v>#REF!</v>
      </c>
      <c r="P112" t="e">
        <f t="shared" si="34"/>
        <v>#REF!</v>
      </c>
      <c r="Q112" t="e">
        <f t="shared" si="35"/>
        <v>#REF!</v>
      </c>
      <c r="R112" t="e">
        <f t="shared" si="36"/>
        <v>#REF!</v>
      </c>
      <c r="U112">
        <f>Reflection!Q112</f>
        <v>80300000</v>
      </c>
      <c r="V112" t="str">
        <f t="shared" si="37"/>
        <v>78.2833119447356-25.557404344103i</v>
      </c>
      <c r="W112" t="str">
        <f t="shared" si="38"/>
        <v>0.114172493303307+0.349714735832838i</v>
      </c>
      <c r="X112">
        <f t="shared" si="39"/>
        <v>78.283311944735601</v>
      </c>
      <c r="Y112">
        <f t="shared" si="40"/>
        <v>25.557404344102999</v>
      </c>
      <c r="Z112">
        <f t="shared" si="41"/>
        <v>0.114172493303307</v>
      </c>
      <c r="AA112">
        <f t="shared" si="42"/>
        <v>0.34971473583283802</v>
      </c>
      <c r="AE112" t="e">
        <f>Reflection!Y112</f>
        <v>#REF!</v>
      </c>
      <c r="AF112" t="e">
        <f>IMDIV(IMPRODUCT(IMSUB(C112,V112),IMSUB(Reflection!AB112,Reflection!D112),IMSUB(Reflection!L112,Reflection!T112)),IMPRODUCT(IMSUB(Permitivity!M112,Permitivity!V112),IMSUB(Reflection!AB112,Reflection!L112),IMSUB(Reflection!D112,Reflection!T112)))</f>
        <v>#REF!</v>
      </c>
      <c r="AG112" t="e">
        <f t="shared" si="43"/>
        <v>#REF!</v>
      </c>
      <c r="AH112" t="e">
        <f t="shared" si="24"/>
        <v>#REF!</v>
      </c>
      <c r="AI112" t="e">
        <f t="shared" si="44"/>
        <v>#REF!</v>
      </c>
      <c r="AJ112" t="e">
        <f t="shared" si="45"/>
        <v>#REF!</v>
      </c>
      <c r="AK112" t="e">
        <f t="shared" si="46"/>
        <v>#REF!</v>
      </c>
      <c r="AL112" t="e">
        <f t="shared" si="47"/>
        <v>#REF!</v>
      </c>
    </row>
    <row r="113" spans="2:38" x14ac:dyDescent="0.15">
      <c r="B113" t="e">
        <f>Experiment!#REF!</f>
        <v>#REF!</v>
      </c>
      <c r="C113" t="e">
        <f t="shared" si="25"/>
        <v>#REF!</v>
      </c>
      <c r="D113" t="e">
        <f t="shared" si="26"/>
        <v>#REF!</v>
      </c>
      <c r="E113" t="e">
        <f t="shared" si="27"/>
        <v>#REF!</v>
      </c>
      <c r="F113" t="e">
        <f t="shared" si="28"/>
        <v>#REF!</v>
      </c>
      <c r="G113" t="e">
        <f t="shared" si="29"/>
        <v>#REF!</v>
      </c>
      <c r="H113" t="e">
        <f t="shared" si="30"/>
        <v>#REF!</v>
      </c>
      <c r="L113" t="e">
        <f>Reflection!I113</f>
        <v>#REF!</v>
      </c>
      <c r="M113" t="e">
        <f t="shared" si="31"/>
        <v>#REF!</v>
      </c>
      <c r="N113" t="e">
        <f t="shared" si="32"/>
        <v>#REF!</v>
      </c>
      <c r="O113" t="e">
        <f t="shared" si="33"/>
        <v>#REF!</v>
      </c>
      <c r="P113" t="e">
        <f t="shared" si="34"/>
        <v>#REF!</v>
      </c>
      <c r="Q113" t="e">
        <f t="shared" si="35"/>
        <v>#REF!</v>
      </c>
      <c r="R113" t="e">
        <f t="shared" si="36"/>
        <v>#REF!</v>
      </c>
      <c r="U113">
        <f>Reflection!Q113</f>
        <v>83600000</v>
      </c>
      <c r="V113" t="str">
        <f t="shared" si="37"/>
        <v>78.2831902138964-24.5730472473664i</v>
      </c>
      <c r="W113" t="str">
        <f t="shared" si="38"/>
        <v>0.114286383265417+0.364086008135754i</v>
      </c>
      <c r="X113">
        <f t="shared" si="39"/>
        <v>78.283190213896404</v>
      </c>
      <c r="Y113">
        <f t="shared" si="40"/>
        <v>24.5730472473664</v>
      </c>
      <c r="Z113">
        <f t="shared" si="41"/>
        <v>0.114286383265417</v>
      </c>
      <c r="AA113">
        <f t="shared" si="42"/>
        <v>0.36408600813575398</v>
      </c>
      <c r="AE113" t="e">
        <f>Reflection!Y113</f>
        <v>#REF!</v>
      </c>
      <c r="AF113" t="e">
        <f>IMDIV(IMPRODUCT(IMSUB(C113,V113),IMSUB(Reflection!AB113,Reflection!D113),IMSUB(Reflection!L113,Reflection!T113)),IMPRODUCT(IMSUB(Permitivity!M113,Permitivity!V113),IMSUB(Reflection!AB113,Reflection!L113),IMSUB(Reflection!D113,Reflection!T113)))</f>
        <v>#REF!</v>
      </c>
      <c r="AG113" t="e">
        <f t="shared" si="43"/>
        <v>#REF!</v>
      </c>
      <c r="AH113" t="e">
        <f t="shared" si="24"/>
        <v>#REF!</v>
      </c>
      <c r="AI113" t="e">
        <f t="shared" si="44"/>
        <v>#REF!</v>
      </c>
      <c r="AJ113" t="e">
        <f t="shared" si="45"/>
        <v>#REF!</v>
      </c>
      <c r="AK113" t="e">
        <f t="shared" si="46"/>
        <v>#REF!</v>
      </c>
      <c r="AL113" t="e">
        <f t="shared" si="47"/>
        <v>#REF!</v>
      </c>
    </row>
    <row r="114" spans="2:38" x14ac:dyDescent="0.15">
      <c r="B114" t="e">
        <f>Experiment!#REF!</f>
        <v>#REF!</v>
      </c>
      <c r="C114" t="e">
        <f t="shared" si="25"/>
        <v>#REF!</v>
      </c>
      <c r="D114" t="e">
        <f t="shared" si="26"/>
        <v>#REF!</v>
      </c>
      <c r="E114" t="e">
        <f t="shared" si="27"/>
        <v>#REF!</v>
      </c>
      <c r="F114" t="e">
        <f t="shared" si="28"/>
        <v>#REF!</v>
      </c>
      <c r="G114" t="e">
        <f t="shared" si="29"/>
        <v>#REF!</v>
      </c>
      <c r="H114" t="e">
        <f t="shared" si="30"/>
        <v>#REF!</v>
      </c>
      <c r="L114" t="e">
        <f>Reflection!I114</f>
        <v>#REF!</v>
      </c>
      <c r="M114" t="e">
        <f t="shared" si="31"/>
        <v>#REF!</v>
      </c>
      <c r="N114" t="e">
        <f t="shared" si="32"/>
        <v>#REF!</v>
      </c>
      <c r="O114" t="e">
        <f t="shared" si="33"/>
        <v>#REF!</v>
      </c>
      <c r="P114" t="e">
        <f t="shared" si="34"/>
        <v>#REF!</v>
      </c>
      <c r="Q114" t="e">
        <f t="shared" si="35"/>
        <v>#REF!</v>
      </c>
      <c r="R114" t="e">
        <f t="shared" si="36"/>
        <v>#REF!</v>
      </c>
      <c r="U114">
        <f>Reflection!Q114</f>
        <v>87000000</v>
      </c>
      <c r="V114" t="str">
        <f t="shared" si="37"/>
        <v>78.2830603440972-23.6379552794156i</v>
      </c>
      <c r="W114" t="str">
        <f t="shared" si="38"/>
        <v>0.114408516773064+0.37889270525119i</v>
      </c>
      <c r="X114">
        <f t="shared" si="39"/>
        <v>78.283060344097194</v>
      </c>
      <c r="Y114">
        <f t="shared" si="40"/>
        <v>23.6379552794156</v>
      </c>
      <c r="Z114">
        <f t="shared" si="41"/>
        <v>0.114408516773064</v>
      </c>
      <c r="AA114">
        <f t="shared" si="42"/>
        <v>0.37889270525119001</v>
      </c>
      <c r="AE114" t="e">
        <f>Reflection!Y114</f>
        <v>#REF!</v>
      </c>
      <c r="AF114" t="e">
        <f>IMDIV(IMPRODUCT(IMSUB(C114,V114),IMSUB(Reflection!AB114,Reflection!D114),IMSUB(Reflection!L114,Reflection!T114)),IMPRODUCT(IMSUB(Permitivity!M114,Permitivity!V114),IMSUB(Reflection!AB114,Reflection!L114),IMSUB(Reflection!D114,Reflection!T114)))</f>
        <v>#REF!</v>
      </c>
      <c r="AG114" t="e">
        <f t="shared" si="43"/>
        <v>#REF!</v>
      </c>
      <c r="AH114" t="e">
        <f t="shared" si="24"/>
        <v>#REF!</v>
      </c>
      <c r="AI114" t="e">
        <f t="shared" si="44"/>
        <v>#REF!</v>
      </c>
      <c r="AJ114" t="e">
        <f t="shared" si="45"/>
        <v>#REF!</v>
      </c>
      <c r="AK114" t="e">
        <f t="shared" si="46"/>
        <v>#REF!</v>
      </c>
      <c r="AL114" t="e">
        <f t="shared" si="47"/>
        <v>#REF!</v>
      </c>
    </row>
    <row r="115" spans="2:38" x14ac:dyDescent="0.15">
      <c r="B115" t="e">
        <f>Experiment!#REF!</f>
        <v>#REF!</v>
      </c>
      <c r="C115" t="e">
        <f t="shared" si="25"/>
        <v>#REF!</v>
      </c>
      <c r="D115" t="e">
        <f t="shared" si="26"/>
        <v>#REF!</v>
      </c>
      <c r="E115" t="e">
        <f t="shared" si="27"/>
        <v>#REF!</v>
      </c>
      <c r="F115" t="e">
        <f t="shared" si="28"/>
        <v>#REF!</v>
      </c>
      <c r="G115" t="e">
        <f t="shared" si="29"/>
        <v>#REF!</v>
      </c>
      <c r="H115" t="e">
        <f t="shared" si="30"/>
        <v>#REF!</v>
      </c>
      <c r="L115" t="e">
        <f>Reflection!I115</f>
        <v>#REF!</v>
      </c>
      <c r="M115" t="e">
        <f t="shared" si="31"/>
        <v>#REF!</v>
      </c>
      <c r="N115" t="e">
        <f t="shared" si="32"/>
        <v>#REF!</v>
      </c>
      <c r="O115" t="e">
        <f t="shared" si="33"/>
        <v>#REF!</v>
      </c>
      <c r="P115" t="e">
        <f t="shared" si="34"/>
        <v>#REF!</v>
      </c>
      <c r="Q115" t="e">
        <f t="shared" si="35"/>
        <v>#REF!</v>
      </c>
      <c r="R115" t="e">
        <f t="shared" si="36"/>
        <v>#REF!</v>
      </c>
      <c r="U115">
        <f>Reflection!Q115</f>
        <v>90600000</v>
      </c>
      <c r="V115" t="str">
        <f t="shared" si="37"/>
        <v>78.2829179123493-22.7254072541381i</v>
      </c>
      <c r="W115" t="str">
        <f t="shared" si="38"/>
        <v>0.11454313581629+0.394570306188766i</v>
      </c>
      <c r="X115">
        <f t="shared" si="39"/>
        <v>78.282917912349305</v>
      </c>
      <c r="Y115">
        <f t="shared" si="40"/>
        <v>22.725407254138101</v>
      </c>
      <c r="Z115">
        <f t="shared" si="41"/>
        <v>0.11454313581629</v>
      </c>
      <c r="AA115">
        <f t="shared" si="42"/>
        <v>0.39457030618876598</v>
      </c>
      <c r="AE115" t="e">
        <f>Reflection!Y115</f>
        <v>#REF!</v>
      </c>
      <c r="AF115" t="e">
        <f>IMDIV(IMPRODUCT(IMSUB(C115,V115),IMSUB(Reflection!AB115,Reflection!D115),IMSUB(Reflection!L115,Reflection!T115)),IMPRODUCT(IMSUB(Permitivity!M115,Permitivity!V115),IMSUB(Reflection!AB115,Reflection!L115),IMSUB(Reflection!D115,Reflection!T115)))</f>
        <v>#REF!</v>
      </c>
      <c r="AG115" t="e">
        <f t="shared" si="43"/>
        <v>#REF!</v>
      </c>
      <c r="AH115" t="e">
        <f t="shared" si="24"/>
        <v>#REF!</v>
      </c>
      <c r="AI115" t="e">
        <f t="shared" si="44"/>
        <v>#REF!</v>
      </c>
      <c r="AJ115" t="e">
        <f t="shared" si="45"/>
        <v>#REF!</v>
      </c>
      <c r="AK115" t="e">
        <f t="shared" si="46"/>
        <v>#REF!</v>
      </c>
      <c r="AL115" t="e">
        <f t="shared" si="47"/>
        <v>#REF!</v>
      </c>
    </row>
    <row r="116" spans="2:38" x14ac:dyDescent="0.15">
      <c r="B116" t="e">
        <f>Experiment!#REF!</f>
        <v>#REF!</v>
      </c>
      <c r="C116" t="e">
        <f t="shared" si="25"/>
        <v>#REF!</v>
      </c>
      <c r="D116" t="e">
        <f t="shared" si="26"/>
        <v>#REF!</v>
      </c>
      <c r="E116" t="e">
        <f t="shared" si="27"/>
        <v>#REF!</v>
      </c>
      <c r="F116" t="e">
        <f t="shared" si="28"/>
        <v>#REF!</v>
      </c>
      <c r="G116" t="e">
        <f t="shared" si="29"/>
        <v>#REF!</v>
      </c>
      <c r="H116" t="e">
        <f t="shared" si="30"/>
        <v>#REF!</v>
      </c>
      <c r="L116" t="e">
        <f>Reflection!I116</f>
        <v>#REF!</v>
      </c>
      <c r="M116" t="e">
        <f t="shared" si="31"/>
        <v>#REF!</v>
      </c>
      <c r="N116" t="e">
        <f t="shared" si="32"/>
        <v>#REF!</v>
      </c>
      <c r="O116" t="e">
        <f t="shared" si="33"/>
        <v>#REF!</v>
      </c>
      <c r="P116" t="e">
        <f t="shared" si="34"/>
        <v>#REF!</v>
      </c>
      <c r="Q116" t="e">
        <f t="shared" si="35"/>
        <v>#REF!</v>
      </c>
      <c r="R116" t="e">
        <f t="shared" si="36"/>
        <v>#REF!</v>
      </c>
      <c r="U116">
        <f>Reflection!Q116</f>
        <v>94300000</v>
      </c>
      <c r="V116" t="str">
        <f t="shared" si="37"/>
        <v>78.282766248436-21.8611986308392i</v>
      </c>
      <c r="W116" t="str">
        <f t="shared" si="38"/>
        <v>0.114687176000249+0.410683308913151i</v>
      </c>
      <c r="X116">
        <f t="shared" si="39"/>
        <v>78.282766248436005</v>
      </c>
      <c r="Y116">
        <f t="shared" si="40"/>
        <v>21.861198630839201</v>
      </c>
      <c r="Z116">
        <f t="shared" si="41"/>
        <v>0.114687176000249</v>
      </c>
      <c r="AA116">
        <f t="shared" si="42"/>
        <v>0.41068330891315102</v>
      </c>
      <c r="AE116" t="e">
        <f>Reflection!Y116</f>
        <v>#REF!</v>
      </c>
      <c r="AF116" t="e">
        <f>IMDIV(IMPRODUCT(IMSUB(C116,V116),IMSUB(Reflection!AB116,Reflection!D116),IMSUB(Reflection!L116,Reflection!T116)),IMPRODUCT(IMSUB(Permitivity!M116,Permitivity!V116),IMSUB(Reflection!AB116,Reflection!L116),IMSUB(Reflection!D116,Reflection!T116)))</f>
        <v>#REF!</v>
      </c>
      <c r="AG116" t="e">
        <f t="shared" si="43"/>
        <v>#REF!</v>
      </c>
      <c r="AH116" t="e">
        <f t="shared" si="24"/>
        <v>#REF!</v>
      </c>
      <c r="AI116" t="e">
        <f t="shared" si="44"/>
        <v>#REF!</v>
      </c>
      <c r="AJ116" t="e">
        <f t="shared" si="45"/>
        <v>#REF!</v>
      </c>
      <c r="AK116" t="e">
        <f t="shared" si="46"/>
        <v>#REF!</v>
      </c>
      <c r="AL116" t="e">
        <f t="shared" si="47"/>
        <v>#REF!</v>
      </c>
    </row>
    <row r="117" spans="2:38" x14ac:dyDescent="0.15">
      <c r="B117" t="e">
        <f>Experiment!#REF!</f>
        <v>#REF!</v>
      </c>
      <c r="C117" t="e">
        <f t="shared" si="25"/>
        <v>#REF!</v>
      </c>
      <c r="D117" t="e">
        <f t="shared" si="26"/>
        <v>#REF!</v>
      </c>
      <c r="E117" t="e">
        <f t="shared" si="27"/>
        <v>#REF!</v>
      </c>
      <c r="F117" t="e">
        <f t="shared" si="28"/>
        <v>#REF!</v>
      </c>
      <c r="G117" t="e">
        <f t="shared" si="29"/>
        <v>#REF!</v>
      </c>
      <c r="H117" t="e">
        <f t="shared" si="30"/>
        <v>#REF!</v>
      </c>
      <c r="L117" t="e">
        <f>Reflection!I117</f>
        <v>#REF!</v>
      </c>
      <c r="M117" t="e">
        <f t="shared" si="31"/>
        <v>#REF!</v>
      </c>
      <c r="N117" t="e">
        <f t="shared" si="32"/>
        <v>#REF!</v>
      </c>
      <c r="O117" t="e">
        <f t="shared" si="33"/>
        <v>#REF!</v>
      </c>
      <c r="P117" t="e">
        <f t="shared" si="34"/>
        <v>#REF!</v>
      </c>
      <c r="Q117" t="e">
        <f t="shared" si="35"/>
        <v>#REF!</v>
      </c>
      <c r="R117" t="e">
        <f t="shared" si="36"/>
        <v>#REF!</v>
      </c>
      <c r="U117">
        <f>Reflection!Q117</f>
        <v>98200000</v>
      </c>
      <c r="V117" t="str">
        <f t="shared" si="37"/>
        <v>78.2826005974698-21.0219163599772i</v>
      </c>
      <c r="W117" t="str">
        <f t="shared" si="38"/>
        <v>0.114845236818031+0.427667185540903i</v>
      </c>
      <c r="X117">
        <f t="shared" si="39"/>
        <v>78.282600597469795</v>
      </c>
      <c r="Y117">
        <f t="shared" si="40"/>
        <v>21.021916359977201</v>
      </c>
      <c r="Z117">
        <f t="shared" si="41"/>
        <v>0.11484523681803099</v>
      </c>
      <c r="AA117">
        <f t="shared" si="42"/>
        <v>0.42766718554090299</v>
      </c>
      <c r="AE117" t="e">
        <f>Reflection!Y117</f>
        <v>#REF!</v>
      </c>
      <c r="AF117" t="e">
        <f>IMDIV(IMPRODUCT(IMSUB(C117,V117),IMSUB(Reflection!AB117,Reflection!D117),IMSUB(Reflection!L117,Reflection!T117)),IMPRODUCT(IMSUB(Permitivity!M117,Permitivity!V117),IMSUB(Reflection!AB117,Reflection!L117),IMSUB(Reflection!D117,Reflection!T117)))</f>
        <v>#REF!</v>
      </c>
      <c r="AG117" t="e">
        <f t="shared" si="43"/>
        <v>#REF!</v>
      </c>
      <c r="AH117" t="e">
        <f t="shared" si="24"/>
        <v>#REF!</v>
      </c>
      <c r="AI117" t="e">
        <f t="shared" si="44"/>
        <v>#REF!</v>
      </c>
      <c r="AJ117" t="e">
        <f t="shared" si="45"/>
        <v>#REF!</v>
      </c>
      <c r="AK117" t="e">
        <f t="shared" si="46"/>
        <v>#REF!</v>
      </c>
      <c r="AL117" t="e">
        <f t="shared" si="47"/>
        <v>#REF!</v>
      </c>
    </row>
    <row r="118" spans="2:38" x14ac:dyDescent="0.15">
      <c r="B118" t="e">
        <f>Experiment!#REF!</f>
        <v>#REF!</v>
      </c>
      <c r="C118" t="e">
        <f t="shared" si="25"/>
        <v>#REF!</v>
      </c>
      <c r="D118" t="e">
        <f t="shared" si="26"/>
        <v>#REF!</v>
      </c>
      <c r="E118" t="e">
        <f t="shared" si="27"/>
        <v>#REF!</v>
      </c>
      <c r="F118" t="e">
        <f t="shared" si="28"/>
        <v>#REF!</v>
      </c>
      <c r="G118" t="e">
        <f t="shared" si="29"/>
        <v>#REF!</v>
      </c>
      <c r="H118" t="e">
        <f t="shared" si="30"/>
        <v>#REF!</v>
      </c>
      <c r="L118" t="e">
        <f>Reflection!I118</f>
        <v>#REF!</v>
      </c>
      <c r="M118" t="e">
        <f t="shared" si="31"/>
        <v>#REF!</v>
      </c>
      <c r="N118" t="e">
        <f t="shared" si="32"/>
        <v>#REF!</v>
      </c>
      <c r="O118" t="e">
        <f t="shared" si="33"/>
        <v>#REF!</v>
      </c>
      <c r="P118" t="e">
        <f t="shared" si="34"/>
        <v>#REF!</v>
      </c>
      <c r="Q118" t="e">
        <f t="shared" si="35"/>
        <v>#REF!</v>
      </c>
      <c r="R118" t="e">
        <f t="shared" si="36"/>
        <v>#REF!</v>
      </c>
      <c r="U118">
        <f>Reflection!Q118</f>
        <v>102200000</v>
      </c>
      <c r="V118" t="str">
        <f t="shared" si="37"/>
        <v>78.2824245276938-20.228822568014i</v>
      </c>
      <c r="W118" t="str">
        <f t="shared" si="38"/>
        <v>0.115013997129335+0.44508643642671i</v>
      </c>
      <c r="X118">
        <f t="shared" si="39"/>
        <v>78.282424527693806</v>
      </c>
      <c r="Y118">
        <f t="shared" si="40"/>
        <v>20.228822568013999</v>
      </c>
      <c r="Z118">
        <f t="shared" si="41"/>
        <v>0.11501399712933499</v>
      </c>
      <c r="AA118">
        <f t="shared" si="42"/>
        <v>0.44508643642670997</v>
      </c>
      <c r="AE118" t="e">
        <f>Reflection!Y118</f>
        <v>#REF!</v>
      </c>
      <c r="AF118" t="e">
        <f>IMDIV(IMPRODUCT(IMSUB(C118,V118),IMSUB(Reflection!AB118,Reflection!D118),IMSUB(Reflection!L118,Reflection!T118)),IMPRODUCT(IMSUB(Permitivity!M118,Permitivity!V118),IMSUB(Reflection!AB118,Reflection!L118),IMSUB(Reflection!D118,Reflection!T118)))</f>
        <v>#REF!</v>
      </c>
      <c r="AG118" t="e">
        <f t="shared" si="43"/>
        <v>#REF!</v>
      </c>
      <c r="AH118" t="e">
        <f t="shared" si="24"/>
        <v>#REF!</v>
      </c>
      <c r="AI118" t="e">
        <f t="shared" si="44"/>
        <v>#REF!</v>
      </c>
      <c r="AJ118" t="e">
        <f t="shared" si="45"/>
        <v>#REF!</v>
      </c>
      <c r="AK118" t="e">
        <f t="shared" si="46"/>
        <v>#REF!</v>
      </c>
      <c r="AL118" t="e">
        <f t="shared" si="47"/>
        <v>#REF!</v>
      </c>
    </row>
    <row r="119" spans="2:38" x14ac:dyDescent="0.15">
      <c r="B119" t="e">
        <f>Experiment!#REF!</f>
        <v>#REF!</v>
      </c>
      <c r="C119" t="e">
        <f t="shared" si="25"/>
        <v>#REF!</v>
      </c>
      <c r="D119" t="e">
        <f t="shared" si="26"/>
        <v>#REF!</v>
      </c>
      <c r="E119" t="e">
        <f t="shared" si="27"/>
        <v>#REF!</v>
      </c>
      <c r="F119" t="e">
        <f t="shared" si="28"/>
        <v>#REF!</v>
      </c>
      <c r="G119" t="e">
        <f t="shared" si="29"/>
        <v>#REF!</v>
      </c>
      <c r="H119" t="e">
        <f t="shared" si="30"/>
        <v>#REF!</v>
      </c>
      <c r="L119" t="e">
        <f>Reflection!I119</f>
        <v>#REF!</v>
      </c>
      <c r="M119" t="e">
        <f t="shared" si="31"/>
        <v>#REF!</v>
      </c>
      <c r="N119" t="e">
        <f t="shared" si="32"/>
        <v>#REF!</v>
      </c>
      <c r="O119" t="e">
        <f t="shared" si="33"/>
        <v>#REF!</v>
      </c>
      <c r="P119" t="e">
        <f t="shared" si="34"/>
        <v>#REF!</v>
      </c>
      <c r="Q119" t="e">
        <f t="shared" si="35"/>
        <v>#REF!</v>
      </c>
      <c r="R119" t="e">
        <f t="shared" si="36"/>
        <v>#REF!</v>
      </c>
      <c r="U119">
        <f>Reflection!Q119</f>
        <v>106400000</v>
      </c>
      <c r="V119" t="str">
        <f t="shared" si="37"/>
        <v>78.2822329289555-19.4614758068709i</v>
      </c>
      <c r="W119" t="str">
        <f t="shared" si="38"/>
        <v>0.115198439124221+0.46337652570986i</v>
      </c>
      <c r="X119">
        <f t="shared" si="39"/>
        <v>78.282232928955494</v>
      </c>
      <c r="Y119">
        <f t="shared" si="40"/>
        <v>19.461475806870901</v>
      </c>
      <c r="Z119">
        <f t="shared" si="41"/>
        <v>0.11519843912422099</v>
      </c>
      <c r="AA119">
        <f t="shared" si="42"/>
        <v>0.46337652570985999</v>
      </c>
      <c r="AE119" t="e">
        <f>Reflection!Y119</f>
        <v>#REF!</v>
      </c>
      <c r="AF119" t="e">
        <f>IMDIV(IMPRODUCT(IMSUB(C119,V119),IMSUB(Reflection!AB119,Reflection!D119),IMSUB(Reflection!L119,Reflection!T119)),IMPRODUCT(IMSUB(Permitivity!M119,Permitivity!V119),IMSUB(Reflection!AB119,Reflection!L119),IMSUB(Reflection!D119,Reflection!T119)))</f>
        <v>#REF!</v>
      </c>
      <c r="AG119" t="e">
        <f t="shared" si="43"/>
        <v>#REF!</v>
      </c>
      <c r="AH119" t="e">
        <f t="shared" si="24"/>
        <v>#REF!</v>
      </c>
      <c r="AI119" t="e">
        <f t="shared" si="44"/>
        <v>#REF!</v>
      </c>
      <c r="AJ119" t="e">
        <f t="shared" si="45"/>
        <v>#REF!</v>
      </c>
      <c r="AK119" t="e">
        <f t="shared" si="46"/>
        <v>#REF!</v>
      </c>
      <c r="AL119" t="e">
        <f t="shared" si="47"/>
        <v>#REF!</v>
      </c>
    </row>
    <row r="120" spans="2:38" x14ac:dyDescent="0.15">
      <c r="B120" t="e">
        <f>Experiment!#REF!</f>
        <v>#REF!</v>
      </c>
      <c r="C120" t="e">
        <f t="shared" si="25"/>
        <v>#REF!</v>
      </c>
      <c r="D120" t="e">
        <f t="shared" si="26"/>
        <v>#REF!</v>
      </c>
      <c r="E120" t="e">
        <f t="shared" si="27"/>
        <v>#REF!</v>
      </c>
      <c r="F120" t="e">
        <f t="shared" si="28"/>
        <v>#REF!</v>
      </c>
      <c r="G120" t="e">
        <f t="shared" si="29"/>
        <v>#REF!</v>
      </c>
      <c r="H120" t="e">
        <f t="shared" si="30"/>
        <v>#REF!</v>
      </c>
      <c r="L120" t="e">
        <f>Reflection!I120</f>
        <v>#REF!</v>
      </c>
      <c r="M120" t="e">
        <f t="shared" si="31"/>
        <v>#REF!</v>
      </c>
      <c r="N120" t="e">
        <f t="shared" si="32"/>
        <v>#REF!</v>
      </c>
      <c r="O120" t="e">
        <f t="shared" si="33"/>
        <v>#REF!</v>
      </c>
      <c r="P120" t="e">
        <f t="shared" si="34"/>
        <v>#REF!</v>
      </c>
      <c r="Q120" t="e">
        <f t="shared" si="35"/>
        <v>#REF!</v>
      </c>
      <c r="R120" t="e">
        <f t="shared" si="36"/>
        <v>#REF!</v>
      </c>
      <c r="U120">
        <f>Reflection!Q120</f>
        <v>110700000</v>
      </c>
      <c r="V120" t="str">
        <f t="shared" si="37"/>
        <v>78.2820296313775-18.7374299767842i</v>
      </c>
      <c r="W120" t="str">
        <f t="shared" si="38"/>
        <v>0.115394959685259+0.48210195659626i</v>
      </c>
      <c r="X120">
        <f t="shared" si="39"/>
        <v>78.282029631377497</v>
      </c>
      <c r="Y120">
        <f t="shared" si="40"/>
        <v>18.737429976784199</v>
      </c>
      <c r="Z120">
        <f t="shared" si="41"/>
        <v>0.11539495968525899</v>
      </c>
      <c r="AA120">
        <f t="shared" si="42"/>
        <v>0.48210195659625998</v>
      </c>
      <c r="AE120" t="e">
        <f>Reflection!Y120</f>
        <v>#REF!</v>
      </c>
      <c r="AF120" t="e">
        <f>IMDIV(IMPRODUCT(IMSUB(C120,V120),IMSUB(Reflection!AB120,Reflection!D120),IMSUB(Reflection!L120,Reflection!T120)),IMPRODUCT(IMSUB(Permitivity!M120,Permitivity!V120),IMSUB(Reflection!AB120,Reflection!L120),IMSUB(Reflection!D120,Reflection!T120)))</f>
        <v>#REF!</v>
      </c>
      <c r="AG120" t="e">
        <f t="shared" si="43"/>
        <v>#REF!</v>
      </c>
      <c r="AH120" t="e">
        <f t="shared" si="24"/>
        <v>#REF!</v>
      </c>
      <c r="AI120" t="e">
        <f t="shared" si="44"/>
        <v>#REF!</v>
      </c>
      <c r="AJ120" t="e">
        <f t="shared" si="45"/>
        <v>#REF!</v>
      </c>
      <c r="AK120" t="e">
        <f t="shared" si="46"/>
        <v>#REF!</v>
      </c>
      <c r="AL120" t="e">
        <f t="shared" si="47"/>
        <v>#REF!</v>
      </c>
    </row>
    <row r="121" spans="2:38" x14ac:dyDescent="0.15">
      <c r="B121" t="e">
        <f>Experiment!#REF!</f>
        <v>#REF!</v>
      </c>
      <c r="C121" t="e">
        <f t="shared" si="25"/>
        <v>#REF!</v>
      </c>
      <c r="D121" t="e">
        <f t="shared" si="26"/>
        <v>#REF!</v>
      </c>
      <c r="E121" t="e">
        <f t="shared" si="27"/>
        <v>#REF!</v>
      </c>
      <c r="F121" t="e">
        <f t="shared" si="28"/>
        <v>#REF!</v>
      </c>
      <c r="G121" t="e">
        <f t="shared" si="29"/>
        <v>#REF!</v>
      </c>
      <c r="H121" t="e">
        <f t="shared" si="30"/>
        <v>#REF!</v>
      </c>
      <c r="L121" t="e">
        <f>Reflection!I121</f>
        <v>#REF!</v>
      </c>
      <c r="M121" t="e">
        <f t="shared" si="31"/>
        <v>#REF!</v>
      </c>
      <c r="N121" t="e">
        <f t="shared" si="32"/>
        <v>#REF!</v>
      </c>
      <c r="O121" t="e">
        <f t="shared" si="33"/>
        <v>#REF!</v>
      </c>
      <c r="P121" t="e">
        <f t="shared" si="34"/>
        <v>#REF!</v>
      </c>
      <c r="Q121" t="e">
        <f t="shared" si="35"/>
        <v>#REF!</v>
      </c>
      <c r="R121" t="e">
        <f t="shared" si="36"/>
        <v>#REF!</v>
      </c>
      <c r="U121">
        <f>Reflection!Q121</f>
        <v>115300000</v>
      </c>
      <c r="V121" t="str">
        <f t="shared" si="37"/>
        <v>78.2818041566976-18.023999889209i</v>
      </c>
      <c r="W121" t="str">
        <f t="shared" si="38"/>
        <v>0.115613800939317+0.502133653937799i</v>
      </c>
      <c r="X121">
        <f t="shared" si="39"/>
        <v>78.281804156697604</v>
      </c>
      <c r="Y121">
        <f t="shared" si="40"/>
        <v>18.023999889209001</v>
      </c>
      <c r="Z121">
        <f t="shared" si="41"/>
        <v>0.115613800939317</v>
      </c>
      <c r="AA121">
        <f t="shared" si="42"/>
        <v>0.50213365393779896</v>
      </c>
      <c r="AE121" t="e">
        <f>Reflection!Y121</f>
        <v>#REF!</v>
      </c>
      <c r="AF121" t="e">
        <f>IMDIV(IMPRODUCT(IMSUB(C121,V121),IMSUB(Reflection!AB121,Reflection!D121),IMSUB(Reflection!L121,Reflection!T121)),IMPRODUCT(IMSUB(Permitivity!M121,Permitivity!V121),IMSUB(Reflection!AB121,Reflection!L121),IMSUB(Reflection!D121,Reflection!T121)))</f>
        <v>#REF!</v>
      </c>
      <c r="AG121" t="e">
        <f t="shared" si="43"/>
        <v>#REF!</v>
      </c>
      <c r="AH121" t="e">
        <f t="shared" si="24"/>
        <v>#REF!</v>
      </c>
      <c r="AI121" t="e">
        <f t="shared" si="44"/>
        <v>#REF!</v>
      </c>
      <c r="AJ121" t="e">
        <f t="shared" si="45"/>
        <v>#REF!</v>
      </c>
      <c r="AK121" t="e">
        <f t="shared" si="46"/>
        <v>#REF!</v>
      </c>
      <c r="AL121" t="e">
        <f t="shared" si="47"/>
        <v>#REF!</v>
      </c>
    </row>
    <row r="122" spans="2:38" x14ac:dyDescent="0.15">
      <c r="B122" t="e">
        <f>Experiment!#REF!</f>
        <v>#REF!</v>
      </c>
      <c r="C122" t="e">
        <f t="shared" si="25"/>
        <v>#REF!</v>
      </c>
      <c r="D122" t="e">
        <f t="shared" si="26"/>
        <v>#REF!</v>
      </c>
      <c r="E122" t="e">
        <f t="shared" si="27"/>
        <v>#REF!</v>
      </c>
      <c r="F122" t="e">
        <f t="shared" si="28"/>
        <v>#REF!</v>
      </c>
      <c r="G122" t="e">
        <f t="shared" si="29"/>
        <v>#REF!</v>
      </c>
      <c r="H122" t="e">
        <f t="shared" si="30"/>
        <v>#REF!</v>
      </c>
      <c r="L122" t="e">
        <f>Reflection!I122</f>
        <v>#REF!</v>
      </c>
      <c r="M122" t="e">
        <f t="shared" si="31"/>
        <v>#REF!</v>
      </c>
      <c r="N122" t="e">
        <f t="shared" si="32"/>
        <v>#REF!</v>
      </c>
      <c r="O122" t="e">
        <f t="shared" si="33"/>
        <v>#REF!</v>
      </c>
      <c r="P122" t="e">
        <f t="shared" si="34"/>
        <v>#REF!</v>
      </c>
      <c r="Q122" t="e">
        <f t="shared" si="35"/>
        <v>#REF!</v>
      </c>
      <c r="R122" t="e">
        <f t="shared" si="36"/>
        <v>#REF!</v>
      </c>
      <c r="U122">
        <f>Reflection!Q122</f>
        <v>120000000</v>
      </c>
      <c r="V122" t="str">
        <f t="shared" si="37"/>
        <v>78.2815652466881-17.3529301553138i</v>
      </c>
      <c r="W122" t="str">
        <f t="shared" si="38"/>
        <v>0.115846591651858+0.522600646797646i</v>
      </c>
      <c r="X122">
        <f t="shared" si="39"/>
        <v>78.281565246688103</v>
      </c>
      <c r="Y122">
        <f t="shared" si="40"/>
        <v>17.3529301553138</v>
      </c>
      <c r="Z122">
        <f t="shared" si="41"/>
        <v>0.115846591651858</v>
      </c>
      <c r="AA122">
        <f t="shared" si="42"/>
        <v>0.52260064679764595</v>
      </c>
      <c r="AE122" t="e">
        <f>Reflection!Y122</f>
        <v>#REF!</v>
      </c>
      <c r="AF122" t="e">
        <f>IMDIV(IMPRODUCT(IMSUB(C122,V122),IMSUB(Reflection!AB122,Reflection!D122),IMSUB(Reflection!L122,Reflection!T122)),IMPRODUCT(IMSUB(Permitivity!M122,Permitivity!V122),IMSUB(Reflection!AB122,Reflection!L122),IMSUB(Reflection!D122,Reflection!T122)))</f>
        <v>#REF!</v>
      </c>
      <c r="AG122" t="e">
        <f t="shared" si="43"/>
        <v>#REF!</v>
      </c>
      <c r="AH122" t="e">
        <f t="shared" si="24"/>
        <v>#REF!</v>
      </c>
      <c r="AI122" t="e">
        <f t="shared" si="44"/>
        <v>#REF!</v>
      </c>
      <c r="AJ122" t="e">
        <f t="shared" si="45"/>
        <v>#REF!</v>
      </c>
      <c r="AK122" t="e">
        <f t="shared" si="46"/>
        <v>#REF!</v>
      </c>
      <c r="AL122" t="e">
        <f t="shared" si="47"/>
        <v>#REF!</v>
      </c>
    </row>
    <row r="123" spans="2:38" x14ac:dyDescent="0.15">
      <c r="B123" t="e">
        <f>Experiment!#REF!</f>
        <v>#REF!</v>
      </c>
      <c r="C123" t="e">
        <f t="shared" si="25"/>
        <v>#REF!</v>
      </c>
      <c r="D123" t="e">
        <f t="shared" si="26"/>
        <v>#REF!</v>
      </c>
      <c r="E123" t="e">
        <f t="shared" si="27"/>
        <v>#REF!</v>
      </c>
      <c r="F123" t="e">
        <f t="shared" si="28"/>
        <v>#REF!</v>
      </c>
      <c r="G123" t="e">
        <f t="shared" si="29"/>
        <v>#REF!</v>
      </c>
      <c r="H123" t="e">
        <f t="shared" si="30"/>
        <v>#REF!</v>
      </c>
      <c r="L123" t="e">
        <f>Reflection!I123</f>
        <v>#REF!</v>
      </c>
      <c r="M123" t="e">
        <f t="shared" si="31"/>
        <v>#REF!</v>
      </c>
      <c r="N123" t="e">
        <f t="shared" si="32"/>
        <v>#REF!</v>
      </c>
      <c r="O123" t="e">
        <f t="shared" si="33"/>
        <v>#REF!</v>
      </c>
      <c r="P123" t="e">
        <f t="shared" si="34"/>
        <v>#REF!</v>
      </c>
      <c r="Q123" t="e">
        <f t="shared" si="35"/>
        <v>#REF!</v>
      </c>
      <c r="R123" t="e">
        <f t="shared" si="36"/>
        <v>#REF!</v>
      </c>
      <c r="U123">
        <f>Reflection!Q123</f>
        <v>125000000</v>
      </c>
      <c r="V123" t="str">
        <f t="shared" si="37"/>
        <v>78.2813016190098-16.6958917282212i</v>
      </c>
      <c r="W123" t="str">
        <f t="shared" si="38"/>
        <v>0.116104440167043+0.544373840461582i</v>
      </c>
      <c r="X123">
        <f t="shared" si="39"/>
        <v>78.281301619009795</v>
      </c>
      <c r="Y123">
        <f t="shared" si="40"/>
        <v>16.695891728221198</v>
      </c>
      <c r="Z123">
        <f t="shared" si="41"/>
        <v>0.11610444016704299</v>
      </c>
      <c r="AA123">
        <f t="shared" si="42"/>
        <v>0.54437384046158199</v>
      </c>
      <c r="AE123" t="e">
        <f>Reflection!Y123</f>
        <v>#REF!</v>
      </c>
      <c r="AF123" t="e">
        <f>IMDIV(IMPRODUCT(IMSUB(C123,V123),IMSUB(Reflection!AB123,Reflection!D123),IMSUB(Reflection!L123,Reflection!T123)),IMPRODUCT(IMSUB(Permitivity!M123,Permitivity!V123),IMSUB(Reflection!AB123,Reflection!L123),IMSUB(Reflection!D123,Reflection!T123)))</f>
        <v>#REF!</v>
      </c>
      <c r="AG123" t="e">
        <f t="shared" si="43"/>
        <v>#REF!</v>
      </c>
      <c r="AH123" t="e">
        <f t="shared" si="24"/>
        <v>#REF!</v>
      </c>
      <c r="AI123" t="e">
        <f t="shared" si="44"/>
        <v>#REF!</v>
      </c>
      <c r="AJ123" t="e">
        <f t="shared" si="45"/>
        <v>#REF!</v>
      </c>
      <c r="AK123" t="e">
        <f t="shared" si="46"/>
        <v>#REF!</v>
      </c>
      <c r="AL123" t="e">
        <f t="shared" si="47"/>
        <v>#REF!</v>
      </c>
    </row>
    <row r="124" spans="2:38" x14ac:dyDescent="0.15">
      <c r="B124" t="e">
        <f>Experiment!#REF!</f>
        <v>#REF!</v>
      </c>
      <c r="C124" t="e">
        <f t="shared" si="25"/>
        <v>#REF!</v>
      </c>
      <c r="D124" t="e">
        <f t="shared" si="26"/>
        <v>#REF!</v>
      </c>
      <c r="E124" t="e">
        <f t="shared" si="27"/>
        <v>#REF!</v>
      </c>
      <c r="F124" t="e">
        <f t="shared" si="28"/>
        <v>#REF!</v>
      </c>
      <c r="G124" t="e">
        <f t="shared" si="29"/>
        <v>#REF!</v>
      </c>
      <c r="H124" t="e">
        <f t="shared" si="30"/>
        <v>#REF!</v>
      </c>
      <c r="L124" t="e">
        <f>Reflection!I124</f>
        <v>#REF!</v>
      </c>
      <c r="M124" t="e">
        <f t="shared" si="31"/>
        <v>#REF!</v>
      </c>
      <c r="N124" t="e">
        <f t="shared" si="32"/>
        <v>#REF!</v>
      </c>
      <c r="O124" t="e">
        <f t="shared" si="33"/>
        <v>#REF!</v>
      </c>
      <c r="P124" t="e">
        <f t="shared" si="34"/>
        <v>#REF!</v>
      </c>
      <c r="Q124" t="e">
        <f t="shared" si="35"/>
        <v>#REF!</v>
      </c>
      <c r="R124" t="e">
        <f t="shared" si="36"/>
        <v>#REF!</v>
      </c>
      <c r="U124">
        <f>Reflection!Q124</f>
        <v>130100000</v>
      </c>
      <c r="V124" t="str">
        <f t="shared" si="37"/>
        <v>78.281022663923-16.0792367559253i</v>
      </c>
      <c r="W124" t="str">
        <f t="shared" si="38"/>
        <v>0.116378276847327+0.566582274131685i</v>
      </c>
      <c r="X124">
        <f t="shared" si="39"/>
        <v>78.281022663922997</v>
      </c>
      <c r="Y124">
        <f t="shared" si="40"/>
        <v>16.079236755925301</v>
      </c>
      <c r="Z124">
        <f t="shared" si="41"/>
        <v>0.116378276847327</v>
      </c>
      <c r="AA124">
        <f t="shared" si="42"/>
        <v>0.56658227413168505</v>
      </c>
      <c r="AE124" t="e">
        <f>Reflection!Y124</f>
        <v>#REF!</v>
      </c>
      <c r="AF124" t="e">
        <f>IMDIV(IMPRODUCT(IMSUB(C124,V124),IMSUB(Reflection!AB124,Reflection!D124),IMSUB(Reflection!L124,Reflection!T124)),IMPRODUCT(IMSUB(Permitivity!M124,Permitivity!V124),IMSUB(Reflection!AB124,Reflection!L124),IMSUB(Reflection!D124,Reflection!T124)))</f>
        <v>#REF!</v>
      </c>
      <c r="AG124" t="e">
        <f t="shared" si="43"/>
        <v>#REF!</v>
      </c>
      <c r="AH124" t="e">
        <f t="shared" si="24"/>
        <v>#REF!</v>
      </c>
      <c r="AI124" t="e">
        <f t="shared" si="44"/>
        <v>#REF!</v>
      </c>
      <c r="AJ124" t="e">
        <f t="shared" si="45"/>
        <v>#REF!</v>
      </c>
      <c r="AK124" t="e">
        <f t="shared" si="46"/>
        <v>#REF!</v>
      </c>
      <c r="AL124" t="e">
        <f t="shared" si="47"/>
        <v>#REF!</v>
      </c>
    </row>
    <row r="125" spans="2:38" x14ac:dyDescent="0.15">
      <c r="B125" t="e">
        <f>Experiment!#REF!</f>
        <v>#REF!</v>
      </c>
      <c r="C125" t="e">
        <f t="shared" si="25"/>
        <v>#REF!</v>
      </c>
      <c r="D125" t="e">
        <f t="shared" si="26"/>
        <v>#REF!</v>
      </c>
      <c r="E125" t="e">
        <f t="shared" si="27"/>
        <v>#REF!</v>
      </c>
      <c r="F125" t="e">
        <f t="shared" si="28"/>
        <v>#REF!</v>
      </c>
      <c r="G125" t="e">
        <f t="shared" si="29"/>
        <v>#REF!</v>
      </c>
      <c r="H125" t="e">
        <f t="shared" si="30"/>
        <v>#REF!</v>
      </c>
      <c r="L125" t="e">
        <f>Reflection!I125</f>
        <v>#REF!</v>
      </c>
      <c r="M125" t="e">
        <f t="shared" si="31"/>
        <v>#REF!</v>
      </c>
      <c r="N125" t="e">
        <f t="shared" si="32"/>
        <v>#REF!</v>
      </c>
      <c r="O125" t="e">
        <f t="shared" si="33"/>
        <v>#REF!</v>
      </c>
      <c r="P125" t="e">
        <f t="shared" si="34"/>
        <v>#REF!</v>
      </c>
      <c r="Q125" t="e">
        <f t="shared" si="35"/>
        <v>#REF!</v>
      </c>
      <c r="R125" t="e">
        <f t="shared" si="36"/>
        <v>#REF!</v>
      </c>
      <c r="U125">
        <f>Reflection!Q125</f>
        <v>135400000</v>
      </c>
      <c r="V125" t="str">
        <f t="shared" si="37"/>
        <v>78.2807220108124-15.4891602022635i</v>
      </c>
      <c r="W125" t="str">
        <f t="shared" si="38"/>
        <v>0.116674441859291+0.589661378001577i</v>
      </c>
      <c r="X125">
        <f t="shared" si="39"/>
        <v>78.280722010812397</v>
      </c>
      <c r="Y125">
        <f t="shared" si="40"/>
        <v>15.4891602022635</v>
      </c>
      <c r="Z125">
        <f t="shared" si="41"/>
        <v>0.116674441859291</v>
      </c>
      <c r="AA125">
        <f t="shared" si="42"/>
        <v>0.58966137800157703</v>
      </c>
      <c r="AE125" t="e">
        <f>Reflection!Y125</f>
        <v>#REF!</v>
      </c>
      <c r="AF125" t="e">
        <f>IMDIV(IMPRODUCT(IMSUB(C125,V125),IMSUB(Reflection!AB125,Reflection!D125),IMSUB(Reflection!L125,Reflection!T125)),IMPRODUCT(IMSUB(Permitivity!M125,Permitivity!V125),IMSUB(Reflection!AB125,Reflection!L125),IMSUB(Reflection!D125,Reflection!T125)))</f>
        <v>#REF!</v>
      </c>
      <c r="AG125" t="e">
        <f t="shared" si="43"/>
        <v>#REF!</v>
      </c>
      <c r="AH125" t="e">
        <f t="shared" si="24"/>
        <v>#REF!</v>
      </c>
      <c r="AI125" t="e">
        <f t="shared" si="44"/>
        <v>#REF!</v>
      </c>
      <c r="AJ125" t="e">
        <f t="shared" si="45"/>
        <v>#REF!</v>
      </c>
      <c r="AK125" t="e">
        <f t="shared" si="46"/>
        <v>#REF!</v>
      </c>
      <c r="AL125" t="e">
        <f t="shared" si="47"/>
        <v>#REF!</v>
      </c>
    </row>
    <row r="126" spans="2:38" x14ac:dyDescent="0.15">
      <c r="B126" t="e">
        <f>Experiment!#REF!</f>
        <v>#REF!</v>
      </c>
      <c r="C126" t="e">
        <f t="shared" si="25"/>
        <v>#REF!</v>
      </c>
      <c r="D126" t="e">
        <f t="shared" si="26"/>
        <v>#REF!</v>
      </c>
      <c r="E126" t="e">
        <f t="shared" si="27"/>
        <v>#REF!</v>
      </c>
      <c r="F126" t="e">
        <f t="shared" si="28"/>
        <v>#REF!</v>
      </c>
      <c r="G126" t="e">
        <f t="shared" si="29"/>
        <v>#REF!</v>
      </c>
      <c r="H126" t="e">
        <f t="shared" si="30"/>
        <v>#REF!</v>
      </c>
      <c r="L126" t="e">
        <f>Reflection!I126</f>
        <v>#REF!</v>
      </c>
      <c r="M126" t="e">
        <f t="shared" si="31"/>
        <v>#REF!</v>
      </c>
      <c r="N126" t="e">
        <f t="shared" si="32"/>
        <v>#REF!</v>
      </c>
      <c r="O126" t="e">
        <f t="shared" si="33"/>
        <v>#REF!</v>
      </c>
      <c r="P126" t="e">
        <f t="shared" si="34"/>
        <v>#REF!</v>
      </c>
      <c r="Q126" t="e">
        <f t="shared" si="35"/>
        <v>#REF!</v>
      </c>
      <c r="R126" t="e">
        <f t="shared" si="36"/>
        <v>#REF!</v>
      </c>
      <c r="U126">
        <f>Reflection!Q126</f>
        <v>141000000</v>
      </c>
      <c r="V126" t="str">
        <f t="shared" si="37"/>
        <v>78.2803924265432-14.9155170355418i</v>
      </c>
      <c r="W126" t="str">
        <f t="shared" si="38"/>
        <v>0.117000204582006+0.614046560158857i</v>
      </c>
      <c r="X126">
        <f t="shared" si="39"/>
        <v>78.280392426543202</v>
      </c>
      <c r="Y126">
        <f t="shared" si="40"/>
        <v>14.9155170355418</v>
      </c>
      <c r="Z126">
        <f t="shared" si="41"/>
        <v>0.117000204582006</v>
      </c>
      <c r="AA126">
        <f t="shared" si="42"/>
        <v>0.61404656015885695</v>
      </c>
      <c r="AE126" t="e">
        <f>Reflection!Y126</f>
        <v>#REF!</v>
      </c>
      <c r="AF126" t="e">
        <f>IMDIV(IMPRODUCT(IMSUB(C126,V126),IMSUB(Reflection!AB126,Reflection!D126),IMSUB(Reflection!L126,Reflection!T126)),IMPRODUCT(IMSUB(Permitivity!M126,Permitivity!V126),IMSUB(Reflection!AB126,Reflection!L126),IMSUB(Reflection!D126,Reflection!T126)))</f>
        <v>#REF!</v>
      </c>
      <c r="AG126" t="e">
        <f t="shared" si="43"/>
        <v>#REF!</v>
      </c>
      <c r="AH126" t="e">
        <f t="shared" si="24"/>
        <v>#REF!</v>
      </c>
      <c r="AI126" t="e">
        <f t="shared" si="44"/>
        <v>#REF!</v>
      </c>
      <c r="AJ126" t="e">
        <f t="shared" si="45"/>
        <v>#REF!</v>
      </c>
      <c r="AK126" t="e">
        <f t="shared" si="46"/>
        <v>#REF!</v>
      </c>
      <c r="AL126" t="e">
        <f t="shared" si="47"/>
        <v>#REF!</v>
      </c>
    </row>
    <row r="127" spans="2:38" x14ac:dyDescent="0.15">
      <c r="B127" t="e">
        <f>Experiment!#REF!</f>
        <v>#REF!</v>
      </c>
      <c r="C127" t="e">
        <f t="shared" si="25"/>
        <v>#REF!</v>
      </c>
      <c r="D127" t="e">
        <f t="shared" si="26"/>
        <v>#REF!</v>
      </c>
      <c r="E127" t="e">
        <f t="shared" si="27"/>
        <v>#REF!</v>
      </c>
      <c r="F127" t="e">
        <f t="shared" si="28"/>
        <v>#REF!</v>
      </c>
      <c r="G127" t="e">
        <f t="shared" si="29"/>
        <v>#REF!</v>
      </c>
      <c r="H127" t="e">
        <f t="shared" si="30"/>
        <v>#REF!</v>
      </c>
      <c r="L127" t="e">
        <f>Reflection!I127</f>
        <v>#REF!</v>
      </c>
      <c r="M127" t="e">
        <f t="shared" si="31"/>
        <v>#REF!</v>
      </c>
      <c r="N127" t="e">
        <f t="shared" si="32"/>
        <v>#REF!</v>
      </c>
      <c r="O127" t="e">
        <f t="shared" si="33"/>
        <v>#REF!</v>
      </c>
      <c r="P127" t="e">
        <f t="shared" si="34"/>
        <v>#REF!</v>
      </c>
      <c r="Q127" t="e">
        <f t="shared" si="35"/>
        <v>#REF!</v>
      </c>
      <c r="R127" t="e">
        <f t="shared" si="36"/>
        <v>#REF!</v>
      </c>
      <c r="U127">
        <f>Reflection!Q127</f>
        <v>146800000</v>
      </c>
      <c r="V127" t="str">
        <f t="shared" si="37"/>
        <v>78.2800381680596-14.3692269161857i</v>
      </c>
      <c r="W127" t="str">
        <f t="shared" si="38"/>
        <v>0.117351502584079+0.639302319807709i</v>
      </c>
      <c r="X127">
        <f t="shared" si="39"/>
        <v>78.280038168059605</v>
      </c>
      <c r="Y127">
        <f t="shared" si="40"/>
        <v>14.369226916185699</v>
      </c>
      <c r="Z127">
        <f t="shared" si="41"/>
        <v>0.117351502584079</v>
      </c>
      <c r="AA127">
        <f t="shared" si="42"/>
        <v>0.63930231980770902</v>
      </c>
      <c r="AE127" t="e">
        <f>Reflection!Y127</f>
        <v>#REF!</v>
      </c>
      <c r="AF127" t="e">
        <f>IMDIV(IMPRODUCT(IMSUB(C127,V127),IMSUB(Reflection!AB127,Reflection!D127),IMSUB(Reflection!L127,Reflection!T127)),IMPRODUCT(IMSUB(Permitivity!M127,Permitivity!V127),IMSUB(Reflection!AB127,Reflection!L127),IMSUB(Reflection!D127,Reflection!T127)))</f>
        <v>#REF!</v>
      </c>
      <c r="AG127" t="e">
        <f t="shared" si="43"/>
        <v>#REF!</v>
      </c>
      <c r="AH127" t="e">
        <f t="shared" si="24"/>
        <v>#REF!</v>
      </c>
      <c r="AI127" t="e">
        <f t="shared" si="44"/>
        <v>#REF!</v>
      </c>
      <c r="AJ127" t="e">
        <f t="shared" si="45"/>
        <v>#REF!</v>
      </c>
      <c r="AK127" t="e">
        <f t="shared" si="46"/>
        <v>#REF!</v>
      </c>
      <c r="AL127" t="e">
        <f t="shared" si="47"/>
        <v>#REF!</v>
      </c>
    </row>
    <row r="128" spans="2:38" x14ac:dyDescent="0.15">
      <c r="B128" t="e">
        <f>Experiment!#REF!</f>
        <v>#REF!</v>
      </c>
      <c r="C128" t="e">
        <f t="shared" si="25"/>
        <v>#REF!</v>
      </c>
      <c r="D128" t="e">
        <f t="shared" si="26"/>
        <v>#REF!</v>
      </c>
      <c r="E128" t="e">
        <f t="shared" si="27"/>
        <v>#REF!</v>
      </c>
      <c r="F128" t="e">
        <f t="shared" si="28"/>
        <v>#REF!</v>
      </c>
      <c r="G128" t="e">
        <f t="shared" si="29"/>
        <v>#REF!</v>
      </c>
      <c r="H128" t="e">
        <f t="shared" si="30"/>
        <v>#REF!</v>
      </c>
      <c r="L128" t="e">
        <f>Reflection!I128</f>
        <v>#REF!</v>
      </c>
      <c r="M128" t="e">
        <f t="shared" si="31"/>
        <v>#REF!</v>
      </c>
      <c r="N128" t="e">
        <f t="shared" si="32"/>
        <v>#REF!</v>
      </c>
      <c r="O128" t="e">
        <f t="shared" si="33"/>
        <v>#REF!</v>
      </c>
      <c r="P128" t="e">
        <f t="shared" si="34"/>
        <v>#REF!</v>
      </c>
      <c r="Q128" t="e">
        <f t="shared" si="35"/>
        <v>#REF!</v>
      </c>
      <c r="R128" t="e">
        <f t="shared" si="36"/>
        <v>#REF!</v>
      </c>
      <c r="U128">
        <f>Reflection!Q128</f>
        <v>152800000</v>
      </c>
      <c r="V128" t="str">
        <f t="shared" si="37"/>
        <v>78.2796578783958-13.8494921781219i</v>
      </c>
      <c r="W128" t="str">
        <f t="shared" si="38"/>
        <v>0.117729798199935+0.665428609703233i</v>
      </c>
      <c r="X128">
        <f t="shared" si="39"/>
        <v>78.279657878395795</v>
      </c>
      <c r="Y128">
        <f t="shared" si="40"/>
        <v>13.849492178121899</v>
      </c>
      <c r="Z128">
        <f t="shared" si="41"/>
        <v>0.117729798199935</v>
      </c>
      <c r="AA128">
        <f t="shared" si="42"/>
        <v>0.66542860970323303</v>
      </c>
      <c r="AE128" t="e">
        <f>Reflection!Y128</f>
        <v>#REF!</v>
      </c>
      <c r="AF128" t="e">
        <f>IMDIV(IMPRODUCT(IMSUB(C128,V128),IMSUB(Reflection!AB128,Reflection!D128),IMSUB(Reflection!L128,Reflection!T128)),IMPRODUCT(IMSUB(Permitivity!M128,Permitivity!V128),IMSUB(Reflection!AB128,Reflection!L128),IMSUB(Reflection!D128,Reflection!T128)))</f>
        <v>#REF!</v>
      </c>
      <c r="AG128" t="e">
        <f t="shared" si="43"/>
        <v>#REF!</v>
      </c>
      <c r="AH128" t="e">
        <f t="shared" si="24"/>
        <v>#REF!</v>
      </c>
      <c r="AI128" t="e">
        <f t="shared" si="44"/>
        <v>#REF!</v>
      </c>
      <c r="AJ128" t="e">
        <f t="shared" si="45"/>
        <v>#REF!</v>
      </c>
      <c r="AK128" t="e">
        <f t="shared" si="46"/>
        <v>#REF!</v>
      </c>
      <c r="AL128" t="e">
        <f t="shared" si="47"/>
        <v>#REF!</v>
      </c>
    </row>
    <row r="129" spans="2:38" x14ac:dyDescent="0.15">
      <c r="B129" t="e">
        <f>Experiment!#REF!</f>
        <v>#REF!</v>
      </c>
      <c r="C129" t="e">
        <f t="shared" si="25"/>
        <v>#REF!</v>
      </c>
      <c r="D129" t="e">
        <f t="shared" si="26"/>
        <v>#REF!</v>
      </c>
      <c r="E129" t="e">
        <f t="shared" si="27"/>
        <v>#REF!</v>
      </c>
      <c r="F129" t="e">
        <f t="shared" si="28"/>
        <v>#REF!</v>
      </c>
      <c r="G129" t="e">
        <f t="shared" si="29"/>
        <v>#REF!</v>
      </c>
      <c r="H129" t="e">
        <f t="shared" si="30"/>
        <v>#REF!</v>
      </c>
      <c r="L129" t="e">
        <f>Reflection!I129</f>
        <v>#REF!</v>
      </c>
      <c r="M129" t="e">
        <f t="shared" si="31"/>
        <v>#REF!</v>
      </c>
      <c r="N129" t="e">
        <f t="shared" si="32"/>
        <v>#REF!</v>
      </c>
      <c r="O129" t="e">
        <f t="shared" si="33"/>
        <v>#REF!</v>
      </c>
      <c r="P129" t="e">
        <f t="shared" si="34"/>
        <v>#REF!</v>
      </c>
      <c r="Q129" t="e">
        <f t="shared" si="35"/>
        <v>#REF!</v>
      </c>
      <c r="R129" t="e">
        <f t="shared" si="36"/>
        <v>#REF!</v>
      </c>
      <c r="U129">
        <f>Reflection!Q129</f>
        <v>159100000</v>
      </c>
      <c r="V129" t="str">
        <f t="shared" si="37"/>
        <v>78.2792434548795-13.3478007137301i</v>
      </c>
      <c r="W129" t="str">
        <f t="shared" si="38"/>
        <v>0.11814329784588+0.692860807033697i</v>
      </c>
      <c r="X129">
        <f t="shared" si="39"/>
        <v>78.279243454879506</v>
      </c>
      <c r="Y129">
        <f t="shared" si="40"/>
        <v>13.3478007137301</v>
      </c>
      <c r="Z129">
        <f t="shared" si="41"/>
        <v>0.11814329784588</v>
      </c>
      <c r="AA129">
        <f t="shared" si="42"/>
        <v>0.69286080703369701</v>
      </c>
      <c r="AE129" t="e">
        <f>Reflection!Y129</f>
        <v>#REF!</v>
      </c>
      <c r="AF129" t="e">
        <f>IMDIV(IMPRODUCT(IMSUB(C129,V129),IMSUB(Reflection!AB129,Reflection!D129),IMSUB(Reflection!L129,Reflection!T129)),IMPRODUCT(IMSUB(Permitivity!M129,Permitivity!V129),IMSUB(Reflection!AB129,Reflection!L129),IMSUB(Reflection!D129,Reflection!T129)))</f>
        <v>#REF!</v>
      </c>
      <c r="AG129" t="e">
        <f t="shared" si="43"/>
        <v>#REF!</v>
      </c>
      <c r="AH129" t="e">
        <f t="shared" si="24"/>
        <v>#REF!</v>
      </c>
      <c r="AI129" t="e">
        <f t="shared" si="44"/>
        <v>#REF!</v>
      </c>
      <c r="AJ129" t="e">
        <f t="shared" si="45"/>
        <v>#REF!</v>
      </c>
      <c r="AK129" t="e">
        <f t="shared" si="46"/>
        <v>#REF!</v>
      </c>
      <c r="AL129" t="e">
        <f t="shared" si="47"/>
        <v>#REF!</v>
      </c>
    </row>
    <row r="130" spans="2:38" x14ac:dyDescent="0.15">
      <c r="B130" t="e">
        <f>Experiment!#REF!</f>
        <v>#REF!</v>
      </c>
      <c r="C130" t="e">
        <f t="shared" si="25"/>
        <v>#REF!</v>
      </c>
      <c r="D130" t="e">
        <f t="shared" si="26"/>
        <v>#REF!</v>
      </c>
      <c r="E130" t="e">
        <f t="shared" si="27"/>
        <v>#REF!</v>
      </c>
      <c r="F130" t="e">
        <f t="shared" si="28"/>
        <v>#REF!</v>
      </c>
      <c r="G130" t="e">
        <f t="shared" si="29"/>
        <v>#REF!</v>
      </c>
      <c r="H130" t="e">
        <f t="shared" si="30"/>
        <v>#REF!</v>
      </c>
      <c r="L130" t="e">
        <f>Reflection!I130</f>
        <v>#REF!</v>
      </c>
      <c r="M130" t="e">
        <f t="shared" si="31"/>
        <v>#REF!</v>
      </c>
      <c r="N130" t="e">
        <f t="shared" si="32"/>
        <v>#REF!</v>
      </c>
      <c r="O130" t="e">
        <f t="shared" si="33"/>
        <v>#REF!</v>
      </c>
      <c r="P130" t="e">
        <f t="shared" si="34"/>
        <v>#REF!</v>
      </c>
      <c r="Q130" t="e">
        <f t="shared" si="35"/>
        <v>#REF!</v>
      </c>
      <c r="R130" t="e">
        <f t="shared" si="36"/>
        <v>#REF!</v>
      </c>
      <c r="U130">
        <f>Reflection!Q130</f>
        <v>165600000</v>
      </c>
      <c r="V130" t="str">
        <f t="shared" si="37"/>
        <v>78.2787996431746-12.8720899512558i</v>
      </c>
      <c r="W130" t="str">
        <f t="shared" si="38"/>
        <v>0.11858741285885+0.721163413752768i</v>
      </c>
      <c r="X130">
        <f t="shared" si="39"/>
        <v>78.278799643174594</v>
      </c>
      <c r="Y130">
        <f t="shared" si="40"/>
        <v>12.8720899512558</v>
      </c>
      <c r="Z130">
        <f t="shared" si="41"/>
        <v>0.11858741285884999</v>
      </c>
      <c r="AA130">
        <f t="shared" si="42"/>
        <v>0.72116341375276805</v>
      </c>
      <c r="AE130" t="e">
        <f>Reflection!Y130</f>
        <v>#REF!</v>
      </c>
      <c r="AF130" t="e">
        <f>IMDIV(IMPRODUCT(IMSUB(C130,V130),IMSUB(Reflection!AB130,Reflection!D130),IMSUB(Reflection!L130,Reflection!T130)),IMPRODUCT(IMSUB(Permitivity!M130,Permitivity!V130),IMSUB(Reflection!AB130,Reflection!L130),IMSUB(Reflection!D130,Reflection!T130)))</f>
        <v>#REF!</v>
      </c>
      <c r="AG130" t="e">
        <f t="shared" si="43"/>
        <v>#REF!</v>
      </c>
      <c r="AH130" t="e">
        <f t="shared" si="24"/>
        <v>#REF!</v>
      </c>
      <c r="AI130" t="e">
        <f t="shared" si="44"/>
        <v>#REF!</v>
      </c>
      <c r="AJ130" t="e">
        <f t="shared" si="45"/>
        <v>#REF!</v>
      </c>
      <c r="AK130" t="e">
        <f t="shared" si="46"/>
        <v>#REF!</v>
      </c>
      <c r="AL130" t="e">
        <f t="shared" si="47"/>
        <v>#REF!</v>
      </c>
    </row>
    <row r="131" spans="2:38" x14ac:dyDescent="0.15">
      <c r="B131" t="e">
        <f>Experiment!#REF!</f>
        <v>#REF!</v>
      </c>
      <c r="C131" t="e">
        <f t="shared" si="25"/>
        <v>#REF!</v>
      </c>
      <c r="D131" t="e">
        <f t="shared" si="26"/>
        <v>#REF!</v>
      </c>
      <c r="E131" t="e">
        <f t="shared" si="27"/>
        <v>#REF!</v>
      </c>
      <c r="F131" t="e">
        <f t="shared" si="28"/>
        <v>#REF!</v>
      </c>
      <c r="G131" t="e">
        <f t="shared" si="29"/>
        <v>#REF!</v>
      </c>
      <c r="H131" t="e">
        <f t="shared" si="30"/>
        <v>#REF!</v>
      </c>
      <c r="L131" t="e">
        <f>Reflection!I131</f>
        <v>#REF!</v>
      </c>
      <c r="M131" t="e">
        <f t="shared" si="31"/>
        <v>#REF!</v>
      </c>
      <c r="N131" t="e">
        <f t="shared" si="32"/>
        <v>#REF!</v>
      </c>
      <c r="O131" t="e">
        <f t="shared" si="33"/>
        <v>#REF!</v>
      </c>
      <c r="P131" t="e">
        <f t="shared" si="34"/>
        <v>#REF!</v>
      </c>
      <c r="Q131" t="e">
        <f t="shared" si="35"/>
        <v>#REF!</v>
      </c>
      <c r="R131" t="e">
        <f t="shared" si="36"/>
        <v>#REF!</v>
      </c>
      <c r="U131">
        <f>Reflection!Q131</f>
        <v>172400000</v>
      </c>
      <c r="V131" t="str">
        <f t="shared" si="37"/>
        <v>78.2783177052544-12.4147983245607i</v>
      </c>
      <c r="W131" t="str">
        <f t="shared" si="38"/>
        <v>0.1190710343941+0.750771781878659i</v>
      </c>
      <c r="X131">
        <f t="shared" si="39"/>
        <v>78.278317705254395</v>
      </c>
      <c r="Y131">
        <f t="shared" si="40"/>
        <v>12.414798324560699</v>
      </c>
      <c r="Z131">
        <f t="shared" si="41"/>
        <v>0.11907103439409999</v>
      </c>
      <c r="AA131">
        <f t="shared" si="42"/>
        <v>0.75077178187865901</v>
      </c>
      <c r="AE131" t="e">
        <f>Reflection!Y131</f>
        <v>#REF!</v>
      </c>
      <c r="AF131" t="e">
        <f>IMDIV(IMPRODUCT(IMSUB(C131,V131),IMSUB(Reflection!AB131,Reflection!D131),IMSUB(Reflection!L131,Reflection!T131)),IMPRODUCT(IMSUB(Permitivity!M131,Permitivity!V131),IMSUB(Reflection!AB131,Reflection!L131),IMSUB(Reflection!D131,Reflection!T131)))</f>
        <v>#REF!</v>
      </c>
      <c r="AG131" t="e">
        <f t="shared" si="43"/>
        <v>#REF!</v>
      </c>
      <c r="AH131" t="e">
        <f t="shared" ref="AH131:AH194" si="48">IMPRODUCT(IMPRODUCT(AG131,$AG$1),2*PI()*AE131*0.0000000000088542)</f>
        <v>#REF!</v>
      </c>
      <c r="AI131" t="e">
        <f t="shared" si="44"/>
        <v>#REF!</v>
      </c>
      <c r="AJ131" t="e">
        <f t="shared" si="45"/>
        <v>#REF!</v>
      </c>
      <c r="AK131" t="e">
        <f t="shared" si="46"/>
        <v>#REF!</v>
      </c>
      <c r="AL131" t="e">
        <f t="shared" si="47"/>
        <v>#REF!</v>
      </c>
    </row>
    <row r="132" spans="2:38" x14ac:dyDescent="0.15">
      <c r="B132" t="e">
        <f>Experiment!#REF!</f>
        <v>#REF!</v>
      </c>
      <c r="C132" t="e">
        <f t="shared" ref="C132:C195" si="49">IMSUM($D$1,IMDIV(($E$1-$D$1),IMSUM(IMPOWER(IMPRODUCT($J$1,2*PI()*B132*$F$1),(1-$G$1)),1)),IMDIV($H$1,IMPRODUCT($J$1,2*PI()*B132*0.000000000008854)))</f>
        <v>#REF!</v>
      </c>
      <c r="D132" t="e">
        <f t="shared" ref="D132:D195" si="50">IMPRODUCT(C132,$J$1,2*PI()*B132*0.0000000000088542)</f>
        <v>#REF!</v>
      </c>
      <c r="E132" t="e">
        <f t="shared" ref="E132:E195" si="51">IMREAL(C132)</f>
        <v>#REF!</v>
      </c>
      <c r="F132" t="e">
        <f t="shared" ref="F132:F195" si="52">-IMAGINARY(C132)</f>
        <v>#REF!</v>
      </c>
      <c r="G132" t="e">
        <f t="shared" ref="G132:G195" si="53">IMREAL(D132)</f>
        <v>#REF!</v>
      </c>
      <c r="H132" t="e">
        <f t="shared" ref="H132:H195" si="54">IMAGINARY(D132)</f>
        <v>#REF!</v>
      </c>
      <c r="L132" t="e">
        <f>Reflection!I132</f>
        <v>#REF!</v>
      </c>
      <c r="M132" t="e">
        <f t="shared" ref="M132:M195" si="55">IMSUM(2.6,IMDIV(19.94,IMSUM(1,IMPOWER(IMPRODUCT($N$1,2*PI()*L132,0.0000000001649),1))),IMDIV(0.74,IMSUM(1,IMPRODUCT($N$1,2*PI()*L132*0.0000000000104))),IMDIV(1.19,IMSUM(1,IMPRODUCT($N$1,2*PI()*L132*0.00000000000169))))</f>
        <v>#REF!</v>
      </c>
      <c r="N132" t="e">
        <f t="shared" ref="N132:N195" si="56">IMPRODUCT(M132,$N$1,2*PI()*L132*0.0000000000088542)</f>
        <v>#REF!</v>
      </c>
      <c r="O132" t="e">
        <f t="shared" ref="O132:O195" si="57">IMREAL(M132)</f>
        <v>#REF!</v>
      </c>
      <c r="P132" t="e">
        <f t="shared" ref="P132:P195" si="58">-IMAGINARY(M132)</f>
        <v>#REF!</v>
      </c>
      <c r="Q132" t="e">
        <f t="shared" ref="Q132:Q195" si="59">IMREAL(N132)</f>
        <v>#REF!</v>
      </c>
      <c r="R132" t="e">
        <f t="shared" ref="R132:R195" si="60">IMAGINARY(N132)</f>
        <v>#REF!</v>
      </c>
      <c r="U132">
        <f>Reflection!Q132</f>
        <v>179500000</v>
      </c>
      <c r="V132" t="str">
        <f t="shared" ref="V132:V195" si="61">IMSUM($W$1,IMDIV(($X$1-$W$1),IMSUM(IMPOWER(IMPRODUCT($AC$1,2*PI()*U132*$Y$1),(1-$Z$1)),1)),IMDIV($AA$1,IMPRODUCT($AC$1,2*PI()*U132*0.000000000008854)))</f>
        <v>78.2777952553938-11.9763828170209i</v>
      </c>
      <c r="W132" t="str">
        <f t="shared" ref="W132:W195" si="62">IMPRODUCT(V132,$N$1,2*PI()*U132*0.0000000000088542)</f>
        <v>0.119596733590388+0.781685820187482i</v>
      </c>
      <c r="X132">
        <f t="shared" ref="X132:X195" si="63">IMREAL(V132)</f>
        <v>78.277795255393798</v>
      </c>
      <c r="Y132">
        <f t="shared" ref="Y132:Y195" si="64">-IMAGINARY(V132)</f>
        <v>11.9763828170209</v>
      </c>
      <c r="Z132">
        <f t="shared" ref="Z132:Z195" si="65">IMREAL(W132)</f>
        <v>0.119596733590388</v>
      </c>
      <c r="AA132">
        <f t="shared" ref="AA132:AA195" si="66">IMAGINARY(W132)</f>
        <v>0.78168582018748201</v>
      </c>
      <c r="AE132" t="e">
        <f>Reflection!Y132</f>
        <v>#REF!</v>
      </c>
      <c r="AF132" t="e">
        <f>IMDIV(IMPRODUCT(IMSUB(C132,V132),IMSUB(Reflection!AB132,Reflection!D132),IMSUB(Reflection!L132,Reflection!T132)),IMPRODUCT(IMSUB(Permitivity!M132,Permitivity!V132),IMSUB(Reflection!AB132,Reflection!L132),IMSUB(Reflection!D132,Reflection!T132)))</f>
        <v>#REF!</v>
      </c>
      <c r="AG132" t="e">
        <f t="shared" ref="AG132:AG195" si="67">IMDIV(IMSUB(C132,IMPRODUCT(AF132,M132)),IMSUB(1,AF132))</f>
        <v>#REF!</v>
      </c>
      <c r="AH132" t="e">
        <f t="shared" si="48"/>
        <v>#REF!</v>
      </c>
      <c r="AI132" t="e">
        <f t="shared" ref="AI132:AI195" si="68">IMREAL(AG132)</f>
        <v>#REF!</v>
      </c>
      <c r="AJ132" t="e">
        <f t="shared" ref="AJ132:AJ195" si="69">-IMAGINARY(AG132)</f>
        <v>#REF!</v>
      </c>
      <c r="AK132" t="e">
        <f t="shared" ref="AK132:AK195" si="70">IMREAL(AH132)</f>
        <v>#REF!</v>
      </c>
      <c r="AL132" t="e">
        <f t="shared" ref="AL132:AL195" si="71">IMAGINARY(AH132)</f>
        <v>#REF!</v>
      </c>
    </row>
    <row r="133" spans="2:38" x14ac:dyDescent="0.15">
      <c r="B133" t="e">
        <f>Experiment!#REF!</f>
        <v>#REF!</v>
      </c>
      <c r="C133" t="e">
        <f t="shared" si="49"/>
        <v>#REF!</v>
      </c>
      <c r="D133" t="e">
        <f t="shared" si="50"/>
        <v>#REF!</v>
      </c>
      <c r="E133" t="e">
        <f t="shared" si="51"/>
        <v>#REF!</v>
      </c>
      <c r="F133" t="e">
        <f t="shared" si="52"/>
        <v>#REF!</v>
      </c>
      <c r="G133" t="e">
        <f t="shared" si="53"/>
        <v>#REF!</v>
      </c>
      <c r="H133" t="e">
        <f t="shared" si="54"/>
        <v>#REF!</v>
      </c>
      <c r="L133" t="e">
        <f>Reflection!I133</f>
        <v>#REF!</v>
      </c>
      <c r="M133" t="e">
        <f t="shared" si="55"/>
        <v>#REF!</v>
      </c>
      <c r="N133" t="e">
        <f t="shared" si="56"/>
        <v>#REF!</v>
      </c>
      <c r="O133" t="e">
        <f t="shared" si="57"/>
        <v>#REF!</v>
      </c>
      <c r="P133" t="e">
        <f t="shared" si="58"/>
        <v>#REF!</v>
      </c>
      <c r="Q133" t="e">
        <f t="shared" si="59"/>
        <v>#REF!</v>
      </c>
      <c r="R133" t="e">
        <f t="shared" si="60"/>
        <v>#REF!</v>
      </c>
      <c r="U133">
        <f>Reflection!Q133</f>
        <v>186800000</v>
      </c>
      <c r="V133" t="str">
        <f t="shared" si="61"/>
        <v>78.2772375866485-11.5624918237297i</v>
      </c>
      <c r="W133" t="str">
        <f t="shared" si="62"/>
        <v>0.120159332347577+0.813470033087583i</v>
      </c>
      <c r="X133">
        <f t="shared" si="63"/>
        <v>78.277237586648496</v>
      </c>
      <c r="Y133">
        <f t="shared" si="64"/>
        <v>11.562491823729699</v>
      </c>
      <c r="Z133">
        <f t="shared" si="65"/>
        <v>0.120159332347577</v>
      </c>
      <c r="AA133">
        <f t="shared" si="66"/>
        <v>0.81347003308758303</v>
      </c>
      <c r="AE133" t="e">
        <f>Reflection!Y133</f>
        <v>#REF!</v>
      </c>
      <c r="AF133" t="e">
        <f>IMDIV(IMPRODUCT(IMSUB(C133,V133),IMSUB(Reflection!AB133,Reflection!D133),IMSUB(Reflection!L133,Reflection!T133)),IMPRODUCT(IMSUB(Permitivity!M133,Permitivity!V133),IMSUB(Reflection!AB133,Reflection!L133),IMSUB(Reflection!D133,Reflection!T133)))</f>
        <v>#REF!</v>
      </c>
      <c r="AG133" t="e">
        <f t="shared" si="67"/>
        <v>#REF!</v>
      </c>
      <c r="AH133" t="e">
        <f t="shared" si="48"/>
        <v>#REF!</v>
      </c>
      <c r="AI133" t="e">
        <f t="shared" si="68"/>
        <v>#REF!</v>
      </c>
      <c r="AJ133" t="e">
        <f t="shared" si="69"/>
        <v>#REF!</v>
      </c>
      <c r="AK133" t="e">
        <f t="shared" si="70"/>
        <v>#REF!</v>
      </c>
      <c r="AL133" t="e">
        <f t="shared" si="71"/>
        <v>#REF!</v>
      </c>
    </row>
    <row r="134" spans="2:38" x14ac:dyDescent="0.15">
      <c r="B134" t="e">
        <f>Experiment!#REF!</f>
        <v>#REF!</v>
      </c>
      <c r="C134" t="e">
        <f t="shared" si="49"/>
        <v>#REF!</v>
      </c>
      <c r="D134" t="e">
        <f t="shared" si="50"/>
        <v>#REF!</v>
      </c>
      <c r="E134" t="e">
        <f t="shared" si="51"/>
        <v>#REF!</v>
      </c>
      <c r="F134" t="e">
        <f t="shared" si="52"/>
        <v>#REF!</v>
      </c>
      <c r="G134" t="e">
        <f t="shared" si="53"/>
        <v>#REF!</v>
      </c>
      <c r="H134" t="e">
        <f t="shared" si="54"/>
        <v>#REF!</v>
      </c>
      <c r="L134" t="e">
        <f>Reflection!I134</f>
        <v>#REF!</v>
      </c>
      <c r="M134" t="e">
        <f t="shared" si="55"/>
        <v>#REF!</v>
      </c>
      <c r="N134" t="e">
        <f t="shared" si="56"/>
        <v>#REF!</v>
      </c>
      <c r="O134" t="e">
        <f t="shared" si="57"/>
        <v>#REF!</v>
      </c>
      <c r="P134" t="e">
        <f t="shared" si="58"/>
        <v>#REF!</v>
      </c>
      <c r="Q134" t="e">
        <f t="shared" si="59"/>
        <v>#REF!</v>
      </c>
      <c r="R134" t="e">
        <f t="shared" si="60"/>
        <v>#REF!</v>
      </c>
      <c r="U134">
        <f>Reflection!Q134</f>
        <v>194500000</v>
      </c>
      <c r="V134" t="str">
        <f t="shared" si="61"/>
        <v>78.2766268367603-11.1618335179233i</v>
      </c>
      <c r="W134" t="str">
        <f t="shared" si="62"/>
        <v>0.120777029029763+0.846995112105406i</v>
      </c>
      <c r="X134">
        <f t="shared" si="63"/>
        <v>78.2766268367603</v>
      </c>
      <c r="Y134">
        <f t="shared" si="64"/>
        <v>11.1618335179233</v>
      </c>
      <c r="Z134">
        <f t="shared" si="65"/>
        <v>0.12077702902976301</v>
      </c>
      <c r="AA134">
        <f t="shared" si="66"/>
        <v>0.84699511210540601</v>
      </c>
      <c r="AE134" t="e">
        <f>Reflection!Y134</f>
        <v>#REF!</v>
      </c>
      <c r="AF134" t="e">
        <f>IMDIV(IMPRODUCT(IMSUB(C134,V134),IMSUB(Reflection!AB134,Reflection!D134),IMSUB(Reflection!L134,Reflection!T134)),IMPRODUCT(IMSUB(Permitivity!M134,Permitivity!V134),IMSUB(Reflection!AB134,Reflection!L134),IMSUB(Reflection!D134,Reflection!T134)))</f>
        <v>#REF!</v>
      </c>
      <c r="AG134" t="e">
        <f t="shared" si="67"/>
        <v>#REF!</v>
      </c>
      <c r="AH134" t="e">
        <f t="shared" si="48"/>
        <v>#REF!</v>
      </c>
      <c r="AI134" t="e">
        <f t="shared" si="68"/>
        <v>#REF!</v>
      </c>
      <c r="AJ134" t="e">
        <f t="shared" si="69"/>
        <v>#REF!</v>
      </c>
      <c r="AK134" t="e">
        <f t="shared" si="70"/>
        <v>#REF!</v>
      </c>
      <c r="AL134" t="e">
        <f t="shared" si="71"/>
        <v>#REF!</v>
      </c>
    </row>
    <row r="135" spans="2:38" x14ac:dyDescent="0.15">
      <c r="B135" t="e">
        <f>Experiment!#REF!</f>
        <v>#REF!</v>
      </c>
      <c r="C135" t="e">
        <f t="shared" si="49"/>
        <v>#REF!</v>
      </c>
      <c r="D135" t="e">
        <f t="shared" si="50"/>
        <v>#REF!</v>
      </c>
      <c r="E135" t="e">
        <f t="shared" si="51"/>
        <v>#REF!</v>
      </c>
      <c r="F135" t="e">
        <f t="shared" si="52"/>
        <v>#REF!</v>
      </c>
      <c r="G135" t="e">
        <f t="shared" si="53"/>
        <v>#REF!</v>
      </c>
      <c r="H135" t="e">
        <f t="shared" si="54"/>
        <v>#REF!</v>
      </c>
      <c r="L135" t="e">
        <f>Reflection!I135</f>
        <v>#REF!</v>
      </c>
      <c r="M135" t="e">
        <f t="shared" si="55"/>
        <v>#REF!</v>
      </c>
      <c r="N135" t="e">
        <f t="shared" si="56"/>
        <v>#REF!</v>
      </c>
      <c r="O135" t="e">
        <f t="shared" si="57"/>
        <v>#REF!</v>
      </c>
      <c r="P135" t="e">
        <f t="shared" si="58"/>
        <v>#REF!</v>
      </c>
      <c r="Q135" t="e">
        <f t="shared" si="59"/>
        <v>#REF!</v>
      </c>
      <c r="R135" t="e">
        <f t="shared" si="60"/>
        <v>#REF!</v>
      </c>
      <c r="U135">
        <f>Reflection!Q135</f>
        <v>202500000</v>
      </c>
      <c r="V135" t="str">
        <f t="shared" si="61"/>
        <v>78.2759678006457-10.7801813943505i</v>
      </c>
      <c r="W135" t="str">
        <f t="shared" si="62"/>
        <v>0.12144518260087+0.881825532897907i</v>
      </c>
      <c r="X135">
        <f t="shared" si="63"/>
        <v>78.275967800645702</v>
      </c>
      <c r="Y135">
        <f t="shared" si="64"/>
        <v>10.7801813943505</v>
      </c>
      <c r="Z135">
        <f t="shared" si="65"/>
        <v>0.12144518260087001</v>
      </c>
      <c r="AA135">
        <f t="shared" si="66"/>
        <v>0.88182553289790699</v>
      </c>
      <c r="AE135" t="e">
        <f>Reflection!Y135</f>
        <v>#REF!</v>
      </c>
      <c r="AF135" t="e">
        <f>IMDIV(IMPRODUCT(IMSUB(C135,V135),IMSUB(Reflection!AB135,Reflection!D135),IMSUB(Reflection!L135,Reflection!T135)),IMPRODUCT(IMSUB(Permitivity!M135,Permitivity!V135),IMSUB(Reflection!AB135,Reflection!L135),IMSUB(Reflection!D135,Reflection!T135)))</f>
        <v>#REF!</v>
      </c>
      <c r="AG135" t="e">
        <f t="shared" si="67"/>
        <v>#REF!</v>
      </c>
      <c r="AH135" t="e">
        <f t="shared" si="48"/>
        <v>#REF!</v>
      </c>
      <c r="AI135" t="e">
        <f t="shared" si="68"/>
        <v>#REF!</v>
      </c>
      <c r="AJ135" t="e">
        <f t="shared" si="69"/>
        <v>#REF!</v>
      </c>
      <c r="AK135" t="e">
        <f t="shared" si="70"/>
        <v>#REF!</v>
      </c>
      <c r="AL135" t="e">
        <f t="shared" si="71"/>
        <v>#REF!</v>
      </c>
    </row>
    <row r="136" spans="2:38" x14ac:dyDescent="0.15">
      <c r="B136" t="e">
        <f>Experiment!#REF!</f>
        <v>#REF!</v>
      </c>
      <c r="C136" t="e">
        <f t="shared" si="49"/>
        <v>#REF!</v>
      </c>
      <c r="D136" t="e">
        <f t="shared" si="50"/>
        <v>#REF!</v>
      </c>
      <c r="E136" t="e">
        <f t="shared" si="51"/>
        <v>#REF!</v>
      </c>
      <c r="F136" t="e">
        <f t="shared" si="52"/>
        <v>#REF!</v>
      </c>
      <c r="G136" t="e">
        <f t="shared" si="53"/>
        <v>#REF!</v>
      </c>
      <c r="H136" t="e">
        <f t="shared" si="54"/>
        <v>#REF!</v>
      </c>
      <c r="L136" t="e">
        <f>Reflection!I136</f>
        <v>#REF!</v>
      </c>
      <c r="M136" t="e">
        <f t="shared" si="55"/>
        <v>#REF!</v>
      </c>
      <c r="N136" t="e">
        <f t="shared" si="56"/>
        <v>#REF!</v>
      </c>
      <c r="O136" t="e">
        <f t="shared" si="57"/>
        <v>#REF!</v>
      </c>
      <c r="P136" t="e">
        <f t="shared" si="58"/>
        <v>#REF!</v>
      </c>
      <c r="Q136" t="e">
        <f t="shared" si="59"/>
        <v>#REF!</v>
      </c>
      <c r="R136" t="e">
        <f t="shared" si="60"/>
        <v>#REF!</v>
      </c>
      <c r="U136">
        <f>Reflection!Q136</f>
        <v>210800000</v>
      </c>
      <c r="V136" t="str">
        <f t="shared" si="61"/>
        <v>78.2752576735808-10.4172587991236i</v>
      </c>
      <c r="W136" t="str">
        <f t="shared" si="62"/>
        <v>0.122166816292302+0.917961165104727i</v>
      </c>
      <c r="X136">
        <f t="shared" si="63"/>
        <v>78.275257673580796</v>
      </c>
      <c r="Y136">
        <f t="shared" si="64"/>
        <v>10.4172587991236</v>
      </c>
      <c r="Z136">
        <f t="shared" si="65"/>
        <v>0.122166816292302</v>
      </c>
      <c r="AA136">
        <f t="shared" si="66"/>
        <v>0.91796116510472703</v>
      </c>
      <c r="AE136" t="e">
        <f>Reflection!Y136</f>
        <v>#REF!</v>
      </c>
      <c r="AF136" t="e">
        <f>IMDIV(IMPRODUCT(IMSUB(C136,V136),IMSUB(Reflection!AB136,Reflection!D136),IMSUB(Reflection!L136,Reflection!T136)),IMPRODUCT(IMSUB(Permitivity!M136,Permitivity!V136),IMSUB(Reflection!AB136,Reflection!L136),IMSUB(Reflection!D136,Reflection!T136)))</f>
        <v>#REF!</v>
      </c>
      <c r="AG136" t="e">
        <f t="shared" si="67"/>
        <v>#REF!</v>
      </c>
      <c r="AH136" t="e">
        <f t="shared" si="48"/>
        <v>#REF!</v>
      </c>
      <c r="AI136" t="e">
        <f t="shared" si="68"/>
        <v>#REF!</v>
      </c>
      <c r="AJ136" t="e">
        <f t="shared" si="69"/>
        <v>#REF!</v>
      </c>
      <c r="AK136" t="e">
        <f t="shared" si="70"/>
        <v>#REF!</v>
      </c>
      <c r="AL136" t="e">
        <f t="shared" si="71"/>
        <v>#REF!</v>
      </c>
    </row>
    <row r="137" spans="2:38" x14ac:dyDescent="0.15">
      <c r="B137" t="e">
        <f>Experiment!#REF!</f>
        <v>#REF!</v>
      </c>
      <c r="C137" t="e">
        <f t="shared" si="49"/>
        <v>#REF!</v>
      </c>
      <c r="D137" t="e">
        <f t="shared" si="50"/>
        <v>#REF!</v>
      </c>
      <c r="E137" t="e">
        <f t="shared" si="51"/>
        <v>#REF!</v>
      </c>
      <c r="F137" t="e">
        <f t="shared" si="52"/>
        <v>#REF!</v>
      </c>
      <c r="G137" t="e">
        <f t="shared" si="53"/>
        <v>#REF!</v>
      </c>
      <c r="H137" t="e">
        <f t="shared" si="54"/>
        <v>#REF!</v>
      </c>
      <c r="L137" t="e">
        <f>Reflection!I137</f>
        <v>#REF!</v>
      </c>
      <c r="M137" t="e">
        <f t="shared" si="55"/>
        <v>#REF!</v>
      </c>
      <c r="N137" t="e">
        <f t="shared" si="56"/>
        <v>#REF!</v>
      </c>
      <c r="O137" t="e">
        <f t="shared" si="57"/>
        <v>#REF!</v>
      </c>
      <c r="P137" t="e">
        <f t="shared" si="58"/>
        <v>#REF!</v>
      </c>
      <c r="Q137" t="e">
        <f t="shared" si="59"/>
        <v>#REF!</v>
      </c>
      <c r="R137" t="e">
        <f t="shared" si="60"/>
        <v>#REF!</v>
      </c>
      <c r="U137">
        <f>Reflection!Q137</f>
        <v>219500000</v>
      </c>
      <c r="V137" t="str">
        <f t="shared" si="61"/>
        <v>78.2744844914534-10.0688528827124i</v>
      </c>
      <c r="W137" t="str">
        <f t="shared" si="62"/>
        <v>0.122954298395927+0.955837217511999i</v>
      </c>
      <c r="X137">
        <f t="shared" si="63"/>
        <v>78.274484491453407</v>
      </c>
      <c r="Y137">
        <f t="shared" si="64"/>
        <v>10.068852882712401</v>
      </c>
      <c r="Z137">
        <f t="shared" si="65"/>
        <v>0.122954298395927</v>
      </c>
      <c r="AA137">
        <f t="shared" si="66"/>
        <v>0.95583721751199902</v>
      </c>
      <c r="AE137" t="e">
        <f>Reflection!Y137</f>
        <v>#REF!</v>
      </c>
      <c r="AF137" t="e">
        <f>IMDIV(IMPRODUCT(IMSUB(C137,V137),IMSUB(Reflection!AB137,Reflection!D137),IMSUB(Reflection!L137,Reflection!T137)),IMPRODUCT(IMSUB(Permitivity!M137,Permitivity!V137),IMSUB(Reflection!AB137,Reflection!L137),IMSUB(Reflection!D137,Reflection!T137)))</f>
        <v>#REF!</v>
      </c>
      <c r="AG137" t="e">
        <f t="shared" si="67"/>
        <v>#REF!</v>
      </c>
      <c r="AH137" t="e">
        <f t="shared" si="48"/>
        <v>#REF!</v>
      </c>
      <c r="AI137" t="e">
        <f t="shared" si="68"/>
        <v>#REF!</v>
      </c>
      <c r="AJ137" t="e">
        <f t="shared" si="69"/>
        <v>#REF!</v>
      </c>
      <c r="AK137" t="e">
        <f t="shared" si="70"/>
        <v>#REF!</v>
      </c>
      <c r="AL137" t="e">
        <f t="shared" si="71"/>
        <v>#REF!</v>
      </c>
    </row>
    <row r="138" spans="2:38" x14ac:dyDescent="0.15">
      <c r="B138" t="e">
        <f>Experiment!#REF!</f>
        <v>#REF!</v>
      </c>
      <c r="C138" t="e">
        <f t="shared" si="49"/>
        <v>#REF!</v>
      </c>
      <c r="D138" t="e">
        <f t="shared" si="50"/>
        <v>#REF!</v>
      </c>
      <c r="E138" t="e">
        <f t="shared" si="51"/>
        <v>#REF!</v>
      </c>
      <c r="F138" t="e">
        <f t="shared" si="52"/>
        <v>#REF!</v>
      </c>
      <c r="G138" t="e">
        <f t="shared" si="53"/>
        <v>#REF!</v>
      </c>
      <c r="H138" t="e">
        <f t="shared" si="54"/>
        <v>#REF!</v>
      </c>
      <c r="L138" t="e">
        <f>Reflection!I138</f>
        <v>#REF!</v>
      </c>
      <c r="M138" t="e">
        <f t="shared" si="55"/>
        <v>#REF!</v>
      </c>
      <c r="N138" t="e">
        <f t="shared" si="56"/>
        <v>#REF!</v>
      </c>
      <c r="O138" t="e">
        <f t="shared" si="57"/>
        <v>#REF!</v>
      </c>
      <c r="P138" t="e">
        <f t="shared" si="58"/>
        <v>#REF!</v>
      </c>
      <c r="Q138" t="e">
        <f t="shared" si="59"/>
        <v>#REF!</v>
      </c>
      <c r="R138" t="e">
        <f t="shared" si="60"/>
        <v>#REF!</v>
      </c>
      <c r="U138">
        <f>Reflection!Q138</f>
        <v>228500000</v>
      </c>
      <c r="V138" t="str">
        <f t="shared" si="61"/>
        <v>78.2736535974351-9.73898406444484i</v>
      </c>
      <c r="W138" t="str">
        <f t="shared" si="62"/>
        <v>0.123802397650645+0.995018158374089i</v>
      </c>
      <c r="X138">
        <f t="shared" si="63"/>
        <v>78.2736535974351</v>
      </c>
      <c r="Y138">
        <f t="shared" si="64"/>
        <v>9.7389840644448409</v>
      </c>
      <c r="Z138">
        <f t="shared" si="65"/>
        <v>0.123802397650645</v>
      </c>
      <c r="AA138">
        <f t="shared" si="66"/>
        <v>0.99501815837408902</v>
      </c>
      <c r="AE138" t="e">
        <f>Reflection!Y138</f>
        <v>#REF!</v>
      </c>
      <c r="AF138" t="e">
        <f>IMDIV(IMPRODUCT(IMSUB(C138,V138),IMSUB(Reflection!AB138,Reflection!D138),IMSUB(Reflection!L138,Reflection!T138)),IMPRODUCT(IMSUB(Permitivity!M138,Permitivity!V138),IMSUB(Reflection!AB138,Reflection!L138),IMSUB(Reflection!D138,Reflection!T138)))</f>
        <v>#REF!</v>
      </c>
      <c r="AG138" t="e">
        <f t="shared" si="67"/>
        <v>#REF!</v>
      </c>
      <c r="AH138" t="e">
        <f t="shared" si="48"/>
        <v>#REF!</v>
      </c>
      <c r="AI138" t="e">
        <f t="shared" si="68"/>
        <v>#REF!</v>
      </c>
      <c r="AJ138" t="e">
        <f t="shared" si="69"/>
        <v>#REF!</v>
      </c>
      <c r="AK138" t="e">
        <f t="shared" si="70"/>
        <v>#REF!</v>
      </c>
      <c r="AL138" t="e">
        <f t="shared" si="71"/>
        <v>#REF!</v>
      </c>
    </row>
    <row r="139" spans="2:38" x14ac:dyDescent="0.15">
      <c r="B139" t="e">
        <f>Experiment!#REF!</f>
        <v>#REF!</v>
      </c>
      <c r="C139" t="e">
        <f t="shared" si="49"/>
        <v>#REF!</v>
      </c>
      <c r="D139" t="e">
        <f t="shared" si="50"/>
        <v>#REF!</v>
      </c>
      <c r="E139" t="e">
        <f t="shared" si="51"/>
        <v>#REF!</v>
      </c>
      <c r="F139" t="e">
        <f t="shared" si="52"/>
        <v>#REF!</v>
      </c>
      <c r="G139" t="e">
        <f t="shared" si="53"/>
        <v>#REF!</v>
      </c>
      <c r="H139" t="e">
        <f t="shared" si="54"/>
        <v>#REF!</v>
      </c>
      <c r="L139" t="e">
        <f>Reflection!I139</f>
        <v>#REF!</v>
      </c>
      <c r="M139" t="e">
        <f t="shared" si="55"/>
        <v>#REF!</v>
      </c>
      <c r="N139" t="e">
        <f t="shared" si="56"/>
        <v>#REF!</v>
      </c>
      <c r="O139" t="e">
        <f t="shared" si="57"/>
        <v>#REF!</v>
      </c>
      <c r="P139" t="e">
        <f t="shared" si="58"/>
        <v>#REF!</v>
      </c>
      <c r="Q139" t="e">
        <f t="shared" si="59"/>
        <v>#REF!</v>
      </c>
      <c r="R139" t="e">
        <f t="shared" si="60"/>
        <v>#REF!</v>
      </c>
      <c r="U139">
        <f>Reflection!Q139</f>
        <v>237900000</v>
      </c>
      <c r="V139" t="str">
        <f t="shared" si="61"/>
        <v>78.2727520662828-9.42384638356676i</v>
      </c>
      <c r="W139" t="str">
        <f t="shared" si="62"/>
        <v>0.124724518553126+1.03593913991628i</v>
      </c>
      <c r="X139">
        <f t="shared" si="63"/>
        <v>78.272752066282806</v>
      </c>
      <c r="Y139">
        <f t="shared" si="64"/>
        <v>9.4238463835667599</v>
      </c>
      <c r="Z139">
        <f t="shared" si="65"/>
        <v>0.124724518553126</v>
      </c>
      <c r="AA139">
        <f t="shared" si="66"/>
        <v>1.0359391399162801</v>
      </c>
      <c r="AE139" t="e">
        <f>Reflection!Y139</f>
        <v>#REF!</v>
      </c>
      <c r="AF139" t="e">
        <f>IMDIV(IMPRODUCT(IMSUB(C139,V139),IMSUB(Reflection!AB139,Reflection!D139),IMSUB(Reflection!L139,Reflection!T139)),IMPRODUCT(IMSUB(Permitivity!M139,Permitivity!V139),IMSUB(Reflection!AB139,Reflection!L139),IMSUB(Reflection!D139,Reflection!T139)))</f>
        <v>#REF!</v>
      </c>
      <c r="AG139" t="e">
        <f t="shared" si="67"/>
        <v>#REF!</v>
      </c>
      <c r="AH139" t="e">
        <f t="shared" si="48"/>
        <v>#REF!</v>
      </c>
      <c r="AI139" t="e">
        <f t="shared" si="68"/>
        <v>#REF!</v>
      </c>
      <c r="AJ139" t="e">
        <f t="shared" si="69"/>
        <v>#REF!</v>
      </c>
      <c r="AK139" t="e">
        <f t="shared" si="70"/>
        <v>#REF!</v>
      </c>
      <c r="AL139" t="e">
        <f t="shared" si="71"/>
        <v>#REF!</v>
      </c>
    </row>
    <row r="140" spans="2:38" x14ac:dyDescent="0.15">
      <c r="B140" t="e">
        <f>Experiment!#REF!</f>
        <v>#REF!</v>
      </c>
      <c r="C140" t="e">
        <f t="shared" si="49"/>
        <v>#REF!</v>
      </c>
      <c r="D140" t="e">
        <f t="shared" si="50"/>
        <v>#REF!</v>
      </c>
      <c r="E140" t="e">
        <f t="shared" si="51"/>
        <v>#REF!</v>
      </c>
      <c r="F140" t="e">
        <f t="shared" si="52"/>
        <v>#REF!</v>
      </c>
      <c r="G140" t="e">
        <f t="shared" si="53"/>
        <v>#REF!</v>
      </c>
      <c r="H140" t="e">
        <f t="shared" si="54"/>
        <v>#REF!</v>
      </c>
      <c r="L140" t="e">
        <f>Reflection!I140</f>
        <v>#REF!</v>
      </c>
      <c r="M140" t="e">
        <f t="shared" si="55"/>
        <v>#REF!</v>
      </c>
      <c r="N140" t="e">
        <f t="shared" si="56"/>
        <v>#REF!</v>
      </c>
      <c r="O140" t="e">
        <f t="shared" si="57"/>
        <v>#REF!</v>
      </c>
      <c r="P140" t="e">
        <f t="shared" si="58"/>
        <v>#REF!</v>
      </c>
      <c r="Q140" t="e">
        <f t="shared" si="59"/>
        <v>#REF!</v>
      </c>
      <c r="R140" t="e">
        <f t="shared" si="60"/>
        <v>#REF!</v>
      </c>
      <c r="U140">
        <f>Reflection!Q140</f>
        <v>247600000</v>
      </c>
      <c r="V140" t="str">
        <f t="shared" si="61"/>
        <v>78.2717856602434-9.12656160270506i</v>
      </c>
      <c r="W140" t="str">
        <f t="shared" si="62"/>
        <v>0.125714978641491+1.07816462440711i</v>
      </c>
      <c r="X140">
        <f t="shared" si="63"/>
        <v>78.271785660243395</v>
      </c>
      <c r="Y140">
        <f t="shared" si="64"/>
        <v>9.1265616027050598</v>
      </c>
      <c r="Z140">
        <f t="shared" si="65"/>
        <v>0.125714978641491</v>
      </c>
      <c r="AA140">
        <f t="shared" si="66"/>
        <v>1.0781646244071099</v>
      </c>
      <c r="AE140" t="e">
        <f>Reflection!Y140</f>
        <v>#REF!</v>
      </c>
      <c r="AF140" t="e">
        <f>IMDIV(IMPRODUCT(IMSUB(C140,V140),IMSUB(Reflection!AB140,Reflection!D140),IMSUB(Reflection!L140,Reflection!T140)),IMPRODUCT(IMSUB(Permitivity!M140,Permitivity!V140),IMSUB(Reflection!AB140,Reflection!L140),IMSUB(Reflection!D140,Reflection!T140)))</f>
        <v>#REF!</v>
      </c>
      <c r="AG140" t="e">
        <f t="shared" si="67"/>
        <v>#REF!</v>
      </c>
      <c r="AH140" t="e">
        <f t="shared" si="48"/>
        <v>#REF!</v>
      </c>
      <c r="AI140" t="e">
        <f t="shared" si="68"/>
        <v>#REF!</v>
      </c>
      <c r="AJ140" t="e">
        <f t="shared" si="69"/>
        <v>#REF!</v>
      </c>
      <c r="AK140" t="e">
        <f t="shared" si="70"/>
        <v>#REF!</v>
      </c>
      <c r="AL140" t="e">
        <f t="shared" si="71"/>
        <v>#REF!</v>
      </c>
    </row>
    <row r="141" spans="2:38" x14ac:dyDescent="0.15">
      <c r="B141" t="e">
        <f>Experiment!#REF!</f>
        <v>#REF!</v>
      </c>
      <c r="C141" t="e">
        <f t="shared" si="49"/>
        <v>#REF!</v>
      </c>
      <c r="D141" t="e">
        <f t="shared" si="50"/>
        <v>#REF!</v>
      </c>
      <c r="E141" t="e">
        <f t="shared" si="51"/>
        <v>#REF!</v>
      </c>
      <c r="F141" t="e">
        <f t="shared" si="52"/>
        <v>#REF!</v>
      </c>
      <c r="G141" t="e">
        <f t="shared" si="53"/>
        <v>#REF!</v>
      </c>
      <c r="H141" t="e">
        <f t="shared" si="54"/>
        <v>#REF!</v>
      </c>
      <c r="L141" t="e">
        <f>Reflection!I141</f>
        <v>#REF!</v>
      </c>
      <c r="M141" t="e">
        <f t="shared" si="55"/>
        <v>#REF!</v>
      </c>
      <c r="N141" t="e">
        <f t="shared" si="56"/>
        <v>#REF!</v>
      </c>
      <c r="O141" t="e">
        <f t="shared" si="57"/>
        <v>#REF!</v>
      </c>
      <c r="P141" t="e">
        <f t="shared" si="58"/>
        <v>#REF!</v>
      </c>
      <c r="Q141" t="e">
        <f t="shared" si="59"/>
        <v>#REF!</v>
      </c>
      <c r="R141" t="e">
        <f t="shared" si="60"/>
        <v>#REF!</v>
      </c>
      <c r="U141">
        <f>Reflection!Q141</f>
        <v>257800000</v>
      </c>
      <c r="V141" t="str">
        <f t="shared" si="61"/>
        <v>78.2707298915314-8.84105562146509i</v>
      </c>
      <c r="W141" t="str">
        <f t="shared" si="62"/>
        <v>0.126799117774015+1.12256498801777i</v>
      </c>
      <c r="X141">
        <f t="shared" si="63"/>
        <v>78.270729891531403</v>
      </c>
      <c r="Y141">
        <f t="shared" si="64"/>
        <v>8.8410556214650899</v>
      </c>
      <c r="Z141">
        <f t="shared" si="65"/>
        <v>0.12679911777401501</v>
      </c>
      <c r="AA141">
        <f t="shared" si="66"/>
        <v>1.1225649880177699</v>
      </c>
      <c r="AE141" t="e">
        <f>Reflection!Y141</f>
        <v>#REF!</v>
      </c>
      <c r="AF141" t="e">
        <f>IMDIV(IMPRODUCT(IMSUB(C141,V141),IMSUB(Reflection!AB141,Reflection!D141),IMSUB(Reflection!L141,Reflection!T141)),IMPRODUCT(IMSUB(Permitivity!M141,Permitivity!V141),IMSUB(Reflection!AB141,Reflection!L141),IMSUB(Reflection!D141,Reflection!T141)))</f>
        <v>#REF!</v>
      </c>
      <c r="AG141" t="e">
        <f t="shared" si="67"/>
        <v>#REF!</v>
      </c>
      <c r="AH141" t="e">
        <f t="shared" si="48"/>
        <v>#REF!</v>
      </c>
      <c r="AI141" t="e">
        <f t="shared" si="68"/>
        <v>#REF!</v>
      </c>
      <c r="AJ141" t="e">
        <f t="shared" si="69"/>
        <v>#REF!</v>
      </c>
      <c r="AK141" t="e">
        <f t="shared" si="70"/>
        <v>#REF!</v>
      </c>
      <c r="AL141" t="e">
        <f t="shared" si="71"/>
        <v>#REF!</v>
      </c>
    </row>
    <row r="142" spans="2:38" x14ac:dyDescent="0.15">
      <c r="B142" t="e">
        <f>Experiment!#REF!</f>
        <v>#REF!</v>
      </c>
      <c r="C142" t="e">
        <f t="shared" si="49"/>
        <v>#REF!</v>
      </c>
      <c r="D142" t="e">
        <f t="shared" si="50"/>
        <v>#REF!</v>
      </c>
      <c r="E142" t="e">
        <f t="shared" si="51"/>
        <v>#REF!</v>
      </c>
      <c r="F142" t="e">
        <f t="shared" si="52"/>
        <v>#REF!</v>
      </c>
      <c r="G142" t="e">
        <f t="shared" si="53"/>
        <v>#REF!</v>
      </c>
      <c r="H142" t="e">
        <f t="shared" si="54"/>
        <v>#REF!</v>
      </c>
      <c r="L142" t="e">
        <f>Reflection!I142</f>
        <v>#REF!</v>
      </c>
      <c r="M142" t="e">
        <f t="shared" si="55"/>
        <v>#REF!</v>
      </c>
      <c r="N142" t="e">
        <f t="shared" si="56"/>
        <v>#REF!</v>
      </c>
      <c r="O142" t="e">
        <f t="shared" si="57"/>
        <v>#REF!</v>
      </c>
      <c r="P142" t="e">
        <f t="shared" si="58"/>
        <v>#REF!</v>
      </c>
      <c r="Q142" t="e">
        <f t="shared" si="59"/>
        <v>#REF!</v>
      </c>
      <c r="R142" t="e">
        <f t="shared" si="60"/>
        <v>#REF!</v>
      </c>
      <c r="U142">
        <f>Reflection!Q142</f>
        <v>268399999.99999997</v>
      </c>
      <c r="V142" t="str">
        <f t="shared" si="61"/>
        <v>78.2695897690837-8.57044700076985i</v>
      </c>
      <c r="W142" t="str">
        <f t="shared" si="62"/>
        <v>0.127972065941701+1.1687046314223i</v>
      </c>
      <c r="X142">
        <f t="shared" si="63"/>
        <v>78.269589769083694</v>
      </c>
      <c r="Y142">
        <f t="shared" si="64"/>
        <v>8.5704470007698497</v>
      </c>
      <c r="Z142">
        <f t="shared" si="65"/>
        <v>0.12797206594170099</v>
      </c>
      <c r="AA142">
        <f t="shared" si="66"/>
        <v>1.1687046314223</v>
      </c>
      <c r="AE142" t="e">
        <f>Reflection!Y142</f>
        <v>#REF!</v>
      </c>
      <c r="AF142" t="e">
        <f>IMDIV(IMPRODUCT(IMSUB(C142,V142),IMSUB(Reflection!AB142,Reflection!D142),IMSUB(Reflection!L142,Reflection!T142)),IMPRODUCT(IMSUB(Permitivity!M142,Permitivity!V142),IMSUB(Reflection!AB142,Reflection!L142),IMSUB(Reflection!D142,Reflection!T142)))</f>
        <v>#REF!</v>
      </c>
      <c r="AG142" t="e">
        <f t="shared" si="67"/>
        <v>#REF!</v>
      </c>
      <c r="AH142" t="e">
        <f t="shared" si="48"/>
        <v>#REF!</v>
      </c>
      <c r="AI142" t="e">
        <f t="shared" si="68"/>
        <v>#REF!</v>
      </c>
      <c r="AJ142" t="e">
        <f t="shared" si="69"/>
        <v>#REF!</v>
      </c>
      <c r="AK142" t="e">
        <f t="shared" si="70"/>
        <v>#REF!</v>
      </c>
      <c r="AL142" t="e">
        <f t="shared" si="71"/>
        <v>#REF!</v>
      </c>
    </row>
    <row r="143" spans="2:38" x14ac:dyDescent="0.15">
      <c r="B143" t="e">
        <f>Experiment!#REF!</f>
        <v>#REF!</v>
      </c>
      <c r="C143" t="e">
        <f t="shared" si="49"/>
        <v>#REF!</v>
      </c>
      <c r="D143" t="e">
        <f t="shared" si="50"/>
        <v>#REF!</v>
      </c>
      <c r="E143" t="e">
        <f t="shared" si="51"/>
        <v>#REF!</v>
      </c>
      <c r="F143" t="e">
        <f t="shared" si="52"/>
        <v>#REF!</v>
      </c>
      <c r="G143" t="e">
        <f t="shared" si="53"/>
        <v>#REF!</v>
      </c>
      <c r="H143" t="e">
        <f t="shared" si="54"/>
        <v>#REF!</v>
      </c>
      <c r="L143" t="e">
        <f>Reflection!I143</f>
        <v>#REF!</v>
      </c>
      <c r="M143" t="e">
        <f t="shared" si="55"/>
        <v>#REF!</v>
      </c>
      <c r="N143" t="e">
        <f t="shared" si="56"/>
        <v>#REF!</v>
      </c>
      <c r="O143" t="e">
        <f t="shared" si="57"/>
        <v>#REF!</v>
      </c>
      <c r="P143" t="e">
        <f t="shared" si="58"/>
        <v>#REF!</v>
      </c>
      <c r="Q143" t="e">
        <f t="shared" si="59"/>
        <v>#REF!</v>
      </c>
      <c r="R143" t="e">
        <f t="shared" si="60"/>
        <v>#REF!</v>
      </c>
      <c r="U143">
        <f>Reflection!Q143</f>
        <v>279400000</v>
      </c>
      <c r="V143" t="str">
        <f t="shared" si="61"/>
        <v>78.268360344387-8.31454567853464i</v>
      </c>
      <c r="W143" t="str">
        <f t="shared" si="62"/>
        <v>0.12923915844098+1.21658325235718i</v>
      </c>
      <c r="X143">
        <f t="shared" si="63"/>
        <v>78.268360344387006</v>
      </c>
      <c r="Y143">
        <f t="shared" si="64"/>
        <v>8.3145456785346408</v>
      </c>
      <c r="Z143">
        <f t="shared" si="65"/>
        <v>0.12923915844098</v>
      </c>
      <c r="AA143">
        <f t="shared" si="66"/>
        <v>1.21658325235718</v>
      </c>
      <c r="AE143" t="e">
        <f>Reflection!Y143</f>
        <v>#REF!</v>
      </c>
      <c r="AF143" t="e">
        <f>IMDIV(IMPRODUCT(IMSUB(C143,V143),IMSUB(Reflection!AB143,Reflection!D143),IMSUB(Reflection!L143,Reflection!T143)),IMPRODUCT(IMSUB(Permitivity!M143,Permitivity!V143),IMSUB(Reflection!AB143,Reflection!L143),IMSUB(Reflection!D143,Reflection!T143)))</f>
        <v>#REF!</v>
      </c>
      <c r="AG143" t="e">
        <f t="shared" si="67"/>
        <v>#REF!</v>
      </c>
      <c r="AH143" t="e">
        <f t="shared" si="48"/>
        <v>#REF!</v>
      </c>
      <c r="AI143" t="e">
        <f t="shared" si="68"/>
        <v>#REF!</v>
      </c>
      <c r="AJ143" t="e">
        <f t="shared" si="69"/>
        <v>#REF!</v>
      </c>
      <c r="AK143" t="e">
        <f t="shared" si="70"/>
        <v>#REF!</v>
      </c>
      <c r="AL143" t="e">
        <f t="shared" si="71"/>
        <v>#REF!</v>
      </c>
    </row>
    <row r="144" spans="2:38" x14ac:dyDescent="0.15">
      <c r="B144" t="e">
        <f>Experiment!#REF!</f>
        <v>#REF!</v>
      </c>
      <c r="C144" t="e">
        <f t="shared" si="49"/>
        <v>#REF!</v>
      </c>
      <c r="D144" t="e">
        <f t="shared" si="50"/>
        <v>#REF!</v>
      </c>
      <c r="E144" t="e">
        <f t="shared" si="51"/>
        <v>#REF!</v>
      </c>
      <c r="F144" t="e">
        <f t="shared" si="52"/>
        <v>#REF!</v>
      </c>
      <c r="G144" t="e">
        <f t="shared" si="53"/>
        <v>#REF!</v>
      </c>
      <c r="H144" t="e">
        <f t="shared" si="54"/>
        <v>#REF!</v>
      </c>
      <c r="L144" t="e">
        <f>Reflection!I144</f>
        <v>#REF!</v>
      </c>
      <c r="M144" t="e">
        <f t="shared" si="55"/>
        <v>#REF!</v>
      </c>
      <c r="N144" t="e">
        <f t="shared" si="56"/>
        <v>#REF!</v>
      </c>
      <c r="O144" t="e">
        <f t="shared" si="57"/>
        <v>#REF!</v>
      </c>
      <c r="P144" t="e">
        <f t="shared" si="58"/>
        <v>#REF!</v>
      </c>
      <c r="Q144" t="e">
        <f t="shared" si="59"/>
        <v>#REF!</v>
      </c>
      <c r="R144" t="e">
        <f t="shared" si="60"/>
        <v>#REF!</v>
      </c>
      <c r="U144">
        <f>Reflection!Q144</f>
        <v>290900000</v>
      </c>
      <c r="V144" t="str">
        <f t="shared" si="61"/>
        <v>78.2670246469006-8.07106134653761i</v>
      </c>
      <c r="W144" t="str">
        <f t="shared" si="62"/>
        <v>0.130618161189268+1.26663574989662i</v>
      </c>
      <c r="X144">
        <f t="shared" si="63"/>
        <v>78.267024646900595</v>
      </c>
      <c r="Y144">
        <f t="shared" si="64"/>
        <v>8.0710613465376095</v>
      </c>
      <c r="Z144">
        <f t="shared" si="65"/>
        <v>0.130618161189268</v>
      </c>
      <c r="AA144">
        <f t="shared" si="66"/>
        <v>1.2666357498966201</v>
      </c>
      <c r="AE144" t="e">
        <f>Reflection!Y144</f>
        <v>#REF!</v>
      </c>
      <c r="AF144" t="e">
        <f>IMDIV(IMPRODUCT(IMSUB(C144,V144),IMSUB(Reflection!AB144,Reflection!D144),IMSUB(Reflection!L144,Reflection!T144)),IMPRODUCT(IMSUB(Permitivity!M144,Permitivity!V144),IMSUB(Reflection!AB144,Reflection!L144),IMSUB(Reflection!D144,Reflection!T144)))</f>
        <v>#REF!</v>
      </c>
      <c r="AG144" t="e">
        <f t="shared" si="67"/>
        <v>#REF!</v>
      </c>
      <c r="AH144" t="e">
        <f t="shared" si="48"/>
        <v>#REF!</v>
      </c>
      <c r="AI144" t="e">
        <f t="shared" si="68"/>
        <v>#REF!</v>
      </c>
      <c r="AJ144" t="e">
        <f t="shared" si="69"/>
        <v>#REF!</v>
      </c>
      <c r="AK144" t="e">
        <f t="shared" si="70"/>
        <v>#REF!</v>
      </c>
      <c r="AL144" t="e">
        <f t="shared" si="71"/>
        <v>#REF!</v>
      </c>
    </row>
    <row r="145" spans="2:38" x14ac:dyDescent="0.15">
      <c r="B145" t="e">
        <f>Experiment!#REF!</f>
        <v>#REF!</v>
      </c>
      <c r="C145" t="e">
        <f t="shared" si="49"/>
        <v>#REF!</v>
      </c>
      <c r="D145" t="e">
        <f t="shared" si="50"/>
        <v>#REF!</v>
      </c>
      <c r="E145" t="e">
        <f t="shared" si="51"/>
        <v>#REF!</v>
      </c>
      <c r="F145" t="e">
        <f t="shared" si="52"/>
        <v>#REF!</v>
      </c>
      <c r="G145" t="e">
        <f t="shared" si="53"/>
        <v>#REF!</v>
      </c>
      <c r="H145" t="e">
        <f t="shared" si="54"/>
        <v>#REF!</v>
      </c>
      <c r="L145" t="e">
        <f>Reflection!I145</f>
        <v>#REF!</v>
      </c>
      <c r="M145" t="e">
        <f t="shared" si="55"/>
        <v>#REF!</v>
      </c>
      <c r="N145" t="e">
        <f t="shared" si="56"/>
        <v>#REF!</v>
      </c>
      <c r="O145" t="e">
        <f t="shared" si="57"/>
        <v>#REF!</v>
      </c>
      <c r="P145" t="e">
        <f t="shared" si="58"/>
        <v>#REF!</v>
      </c>
      <c r="Q145" t="e">
        <f t="shared" si="59"/>
        <v>#REF!</v>
      </c>
      <c r="R145" t="e">
        <f t="shared" si="60"/>
        <v>#REF!</v>
      </c>
      <c r="U145">
        <f>Reflection!Q145</f>
        <v>302800000</v>
      </c>
      <c r="V145" t="str">
        <f t="shared" si="61"/>
        <v>78.2655882716383-7.84204804812671i</v>
      </c>
      <c r="W145" t="str">
        <f t="shared" si="62"/>
        <v>0.132103573492499+1.31842649123348i</v>
      </c>
      <c r="X145">
        <f t="shared" si="63"/>
        <v>78.265588271638293</v>
      </c>
      <c r="Y145">
        <f t="shared" si="64"/>
        <v>7.8420480481267099</v>
      </c>
      <c r="Z145">
        <f t="shared" si="65"/>
        <v>0.13210357349249899</v>
      </c>
      <c r="AA145">
        <f t="shared" si="66"/>
        <v>1.31842649123348</v>
      </c>
      <c r="AE145" t="e">
        <f>Reflection!Y145</f>
        <v>#REF!</v>
      </c>
      <c r="AF145" t="e">
        <f>IMDIV(IMPRODUCT(IMSUB(C145,V145),IMSUB(Reflection!AB145,Reflection!D145),IMSUB(Reflection!L145,Reflection!T145)),IMPRODUCT(IMSUB(Permitivity!M145,Permitivity!V145),IMSUB(Reflection!AB145,Reflection!L145),IMSUB(Reflection!D145,Reflection!T145)))</f>
        <v>#REF!</v>
      </c>
      <c r="AG145" t="e">
        <f t="shared" si="67"/>
        <v>#REF!</v>
      </c>
      <c r="AH145" t="e">
        <f t="shared" si="48"/>
        <v>#REF!</v>
      </c>
      <c r="AI145" t="e">
        <f t="shared" si="68"/>
        <v>#REF!</v>
      </c>
      <c r="AJ145" t="e">
        <f t="shared" si="69"/>
        <v>#REF!</v>
      </c>
      <c r="AK145" t="e">
        <f t="shared" si="70"/>
        <v>#REF!</v>
      </c>
      <c r="AL145" t="e">
        <f t="shared" si="71"/>
        <v>#REF!</v>
      </c>
    </row>
    <row r="146" spans="2:38" x14ac:dyDescent="0.15">
      <c r="B146" t="e">
        <f>Experiment!#REF!</f>
        <v>#REF!</v>
      </c>
      <c r="C146" t="e">
        <f t="shared" si="49"/>
        <v>#REF!</v>
      </c>
      <c r="D146" t="e">
        <f t="shared" si="50"/>
        <v>#REF!</v>
      </c>
      <c r="E146" t="e">
        <f t="shared" si="51"/>
        <v>#REF!</v>
      </c>
      <c r="F146" t="e">
        <f t="shared" si="52"/>
        <v>#REF!</v>
      </c>
      <c r="G146" t="e">
        <f t="shared" si="53"/>
        <v>#REF!</v>
      </c>
      <c r="H146" t="e">
        <f t="shared" si="54"/>
        <v>#REF!</v>
      </c>
      <c r="L146" t="e">
        <f>Reflection!I146</f>
        <v>#REF!</v>
      </c>
      <c r="M146" t="e">
        <f t="shared" si="55"/>
        <v>#REF!</v>
      </c>
      <c r="N146" t="e">
        <f t="shared" si="56"/>
        <v>#REF!</v>
      </c>
      <c r="O146" t="e">
        <f t="shared" si="57"/>
        <v>#REF!</v>
      </c>
      <c r="P146" t="e">
        <f t="shared" si="58"/>
        <v>#REF!</v>
      </c>
      <c r="Q146" t="e">
        <f t="shared" si="59"/>
        <v>#REF!</v>
      </c>
      <c r="R146" t="e">
        <f t="shared" si="60"/>
        <v>#REF!</v>
      </c>
      <c r="U146">
        <f>Reflection!Q146</f>
        <v>315200000</v>
      </c>
      <c r="V146" t="str">
        <f t="shared" si="61"/>
        <v>78.2640328855016-7.62541570384236i</v>
      </c>
      <c r="W146" t="str">
        <f t="shared" si="62"/>
        <v>0.133714630730759+1.37239026214815i</v>
      </c>
      <c r="X146">
        <f t="shared" si="63"/>
        <v>78.264032885501607</v>
      </c>
      <c r="Y146">
        <f t="shared" si="64"/>
        <v>7.6254157038423598</v>
      </c>
      <c r="Z146">
        <f t="shared" si="65"/>
        <v>0.13371463073075901</v>
      </c>
      <c r="AA146">
        <f t="shared" si="66"/>
        <v>1.3723902621481501</v>
      </c>
      <c r="AE146" t="e">
        <f>Reflection!Y146</f>
        <v>#REF!</v>
      </c>
      <c r="AF146" t="e">
        <f>IMDIV(IMPRODUCT(IMSUB(C146,V146),IMSUB(Reflection!AB146,Reflection!D146),IMSUB(Reflection!L146,Reflection!T146)),IMPRODUCT(IMSUB(Permitivity!M146,Permitivity!V146),IMSUB(Reflection!AB146,Reflection!L146),IMSUB(Reflection!D146,Reflection!T146)))</f>
        <v>#REF!</v>
      </c>
      <c r="AG146" t="e">
        <f t="shared" si="67"/>
        <v>#REF!</v>
      </c>
      <c r="AH146" t="e">
        <f t="shared" si="48"/>
        <v>#REF!</v>
      </c>
      <c r="AI146" t="e">
        <f t="shared" si="68"/>
        <v>#REF!</v>
      </c>
      <c r="AJ146" t="e">
        <f t="shared" si="69"/>
        <v>#REF!</v>
      </c>
      <c r="AK146" t="e">
        <f t="shared" si="70"/>
        <v>#REF!</v>
      </c>
      <c r="AL146" t="e">
        <f t="shared" si="71"/>
        <v>#REF!</v>
      </c>
    </row>
    <row r="147" spans="2:38" x14ac:dyDescent="0.15">
      <c r="B147" t="e">
        <f>Experiment!#REF!</f>
        <v>#REF!</v>
      </c>
      <c r="C147" t="e">
        <f t="shared" si="49"/>
        <v>#REF!</v>
      </c>
      <c r="D147" t="e">
        <f t="shared" si="50"/>
        <v>#REF!</v>
      </c>
      <c r="E147" t="e">
        <f t="shared" si="51"/>
        <v>#REF!</v>
      </c>
      <c r="F147" t="e">
        <f t="shared" si="52"/>
        <v>#REF!</v>
      </c>
      <c r="G147" t="e">
        <f t="shared" si="53"/>
        <v>#REF!</v>
      </c>
      <c r="H147" t="e">
        <f t="shared" si="54"/>
        <v>#REF!</v>
      </c>
      <c r="L147" t="e">
        <f>Reflection!I147</f>
        <v>#REF!</v>
      </c>
      <c r="M147" t="e">
        <f t="shared" si="55"/>
        <v>#REF!</v>
      </c>
      <c r="N147" t="e">
        <f t="shared" si="56"/>
        <v>#REF!</v>
      </c>
      <c r="O147" t="e">
        <f t="shared" si="57"/>
        <v>#REF!</v>
      </c>
      <c r="P147" t="e">
        <f t="shared" si="58"/>
        <v>#REF!</v>
      </c>
      <c r="Q147" t="e">
        <f t="shared" si="59"/>
        <v>#REF!</v>
      </c>
      <c r="R147" t="e">
        <f t="shared" si="60"/>
        <v>#REF!</v>
      </c>
      <c r="U147">
        <f>Reflection!Q147</f>
        <v>328200000</v>
      </c>
      <c r="V147" t="str">
        <f t="shared" si="61"/>
        <v>78.2623379701004-7.41967244779255i</v>
      </c>
      <c r="W147" t="str">
        <f t="shared" si="62"/>
        <v>0.135472924410047+1.42896170559812i</v>
      </c>
      <c r="X147">
        <f t="shared" si="63"/>
        <v>78.262337970100404</v>
      </c>
      <c r="Y147">
        <f t="shared" si="64"/>
        <v>7.41967244779255</v>
      </c>
      <c r="Z147">
        <f t="shared" si="65"/>
        <v>0.13547292441004699</v>
      </c>
      <c r="AA147">
        <f t="shared" si="66"/>
        <v>1.4289617055981201</v>
      </c>
      <c r="AE147" t="e">
        <f>Reflection!Y147</f>
        <v>#REF!</v>
      </c>
      <c r="AF147" t="e">
        <f>IMDIV(IMPRODUCT(IMSUB(C147,V147),IMSUB(Reflection!AB147,Reflection!D147),IMSUB(Reflection!L147,Reflection!T147)),IMPRODUCT(IMSUB(Permitivity!M147,Permitivity!V147),IMSUB(Reflection!AB147,Reflection!L147),IMSUB(Reflection!D147,Reflection!T147)))</f>
        <v>#REF!</v>
      </c>
      <c r="AG147" t="e">
        <f t="shared" si="67"/>
        <v>#REF!</v>
      </c>
      <c r="AH147" t="e">
        <f t="shared" si="48"/>
        <v>#REF!</v>
      </c>
      <c r="AI147" t="e">
        <f t="shared" si="68"/>
        <v>#REF!</v>
      </c>
      <c r="AJ147" t="e">
        <f t="shared" si="69"/>
        <v>#REF!</v>
      </c>
      <c r="AK147" t="e">
        <f t="shared" si="70"/>
        <v>#REF!</v>
      </c>
      <c r="AL147" t="e">
        <f t="shared" si="71"/>
        <v>#REF!</v>
      </c>
    </row>
    <row r="148" spans="2:38" x14ac:dyDescent="0.15">
      <c r="B148" t="e">
        <f>Experiment!#REF!</f>
        <v>#REF!</v>
      </c>
      <c r="C148" t="e">
        <f t="shared" si="49"/>
        <v>#REF!</v>
      </c>
      <c r="D148" t="e">
        <f t="shared" si="50"/>
        <v>#REF!</v>
      </c>
      <c r="E148" t="e">
        <f t="shared" si="51"/>
        <v>#REF!</v>
      </c>
      <c r="F148" t="e">
        <f t="shared" si="52"/>
        <v>#REF!</v>
      </c>
      <c r="G148" t="e">
        <f t="shared" si="53"/>
        <v>#REF!</v>
      </c>
      <c r="H148" t="e">
        <f t="shared" si="54"/>
        <v>#REF!</v>
      </c>
      <c r="L148" t="e">
        <f>Reflection!I148</f>
        <v>#REF!</v>
      </c>
      <c r="M148" t="e">
        <f t="shared" si="55"/>
        <v>#REF!</v>
      </c>
      <c r="N148" t="e">
        <f t="shared" si="56"/>
        <v>#REF!</v>
      </c>
      <c r="O148" t="e">
        <f t="shared" si="57"/>
        <v>#REF!</v>
      </c>
      <c r="P148" t="e">
        <f t="shared" si="58"/>
        <v>#REF!</v>
      </c>
      <c r="Q148" t="e">
        <f t="shared" si="59"/>
        <v>#REF!</v>
      </c>
      <c r="R148" t="e">
        <f t="shared" si="60"/>
        <v>#REF!</v>
      </c>
      <c r="U148">
        <f>Reflection!Q148</f>
        <v>341600000</v>
      </c>
      <c r="V148" t="str">
        <f t="shared" si="61"/>
        <v>78.2605220633017-7.22789350073073i</v>
      </c>
      <c r="W148" t="str">
        <f t="shared" si="62"/>
        <v>0.137359532128448+1.48726993468517i</v>
      </c>
      <c r="X148">
        <f t="shared" si="63"/>
        <v>78.260522063301707</v>
      </c>
      <c r="Y148">
        <f t="shared" si="64"/>
        <v>7.2278935007307297</v>
      </c>
      <c r="Z148">
        <f t="shared" si="65"/>
        <v>0.13735953212844801</v>
      </c>
      <c r="AA148">
        <f t="shared" si="66"/>
        <v>1.4872699346851701</v>
      </c>
      <c r="AE148" t="e">
        <f>Reflection!Y148</f>
        <v>#REF!</v>
      </c>
      <c r="AF148" t="e">
        <f>IMDIV(IMPRODUCT(IMSUB(C148,V148),IMSUB(Reflection!AB148,Reflection!D148),IMSUB(Reflection!L148,Reflection!T148)),IMPRODUCT(IMSUB(Permitivity!M148,Permitivity!V148),IMSUB(Reflection!AB148,Reflection!L148),IMSUB(Reflection!D148,Reflection!T148)))</f>
        <v>#REF!</v>
      </c>
      <c r="AG148" t="e">
        <f t="shared" si="67"/>
        <v>#REF!</v>
      </c>
      <c r="AH148" t="e">
        <f t="shared" si="48"/>
        <v>#REF!</v>
      </c>
      <c r="AI148" t="e">
        <f t="shared" si="68"/>
        <v>#REF!</v>
      </c>
      <c r="AJ148" t="e">
        <f t="shared" si="69"/>
        <v>#REF!</v>
      </c>
      <c r="AK148" t="e">
        <f t="shared" si="70"/>
        <v>#REF!</v>
      </c>
      <c r="AL148" t="e">
        <f t="shared" si="71"/>
        <v>#REF!</v>
      </c>
    </row>
    <row r="149" spans="2:38" x14ac:dyDescent="0.15">
      <c r="B149" t="e">
        <f>Experiment!#REF!</f>
        <v>#REF!</v>
      </c>
      <c r="C149" t="e">
        <f t="shared" si="49"/>
        <v>#REF!</v>
      </c>
      <c r="D149" t="e">
        <f t="shared" si="50"/>
        <v>#REF!</v>
      </c>
      <c r="E149" t="e">
        <f t="shared" si="51"/>
        <v>#REF!</v>
      </c>
      <c r="F149" t="e">
        <f t="shared" si="52"/>
        <v>#REF!</v>
      </c>
      <c r="G149" t="e">
        <f t="shared" si="53"/>
        <v>#REF!</v>
      </c>
      <c r="H149" t="e">
        <f t="shared" si="54"/>
        <v>#REF!</v>
      </c>
      <c r="L149" t="e">
        <f>Reflection!I149</f>
        <v>#REF!</v>
      </c>
      <c r="M149" t="e">
        <f t="shared" si="55"/>
        <v>#REF!</v>
      </c>
      <c r="N149" t="e">
        <f t="shared" si="56"/>
        <v>#REF!</v>
      </c>
      <c r="O149" t="e">
        <f t="shared" si="57"/>
        <v>#REF!</v>
      </c>
      <c r="P149" t="e">
        <f t="shared" si="58"/>
        <v>#REF!</v>
      </c>
      <c r="Q149" t="e">
        <f t="shared" si="59"/>
        <v>#REF!</v>
      </c>
      <c r="R149" t="e">
        <f t="shared" si="60"/>
        <v>#REF!</v>
      </c>
      <c r="U149">
        <f>Reflection!Q149</f>
        <v>355700000</v>
      </c>
      <c r="V149" t="str">
        <f t="shared" si="61"/>
        <v>78.2585358576121-7.04580754558756i</v>
      </c>
      <c r="W149" t="str">
        <f t="shared" si="62"/>
        <v>0.139426022319688+1.54861969995515i</v>
      </c>
      <c r="X149">
        <f t="shared" si="63"/>
        <v>78.258535857612102</v>
      </c>
      <c r="Y149">
        <f t="shared" si="64"/>
        <v>7.04580754558756</v>
      </c>
      <c r="Z149">
        <f t="shared" si="65"/>
        <v>0.13942602231968801</v>
      </c>
      <c r="AA149">
        <f t="shared" si="66"/>
        <v>1.54861969995515</v>
      </c>
      <c r="AE149" t="e">
        <f>Reflection!Y149</f>
        <v>#REF!</v>
      </c>
      <c r="AF149" t="e">
        <f>IMDIV(IMPRODUCT(IMSUB(C149,V149),IMSUB(Reflection!AB149,Reflection!D149),IMSUB(Reflection!L149,Reflection!T149)),IMPRODUCT(IMSUB(Permitivity!M149,Permitivity!V149),IMSUB(Reflection!AB149,Reflection!L149),IMSUB(Reflection!D149,Reflection!T149)))</f>
        <v>#REF!</v>
      </c>
      <c r="AG149" t="e">
        <f t="shared" si="67"/>
        <v>#REF!</v>
      </c>
      <c r="AH149" t="e">
        <f t="shared" si="48"/>
        <v>#REF!</v>
      </c>
      <c r="AI149" t="e">
        <f t="shared" si="68"/>
        <v>#REF!</v>
      </c>
      <c r="AJ149" t="e">
        <f t="shared" si="69"/>
        <v>#REF!</v>
      </c>
      <c r="AK149" t="e">
        <f t="shared" si="70"/>
        <v>#REF!</v>
      </c>
      <c r="AL149" t="e">
        <f t="shared" si="71"/>
        <v>#REF!</v>
      </c>
    </row>
    <row r="150" spans="2:38" x14ac:dyDescent="0.15">
      <c r="B150" t="e">
        <f>Experiment!#REF!</f>
        <v>#REF!</v>
      </c>
      <c r="C150" t="e">
        <f t="shared" si="49"/>
        <v>#REF!</v>
      </c>
      <c r="D150" t="e">
        <f t="shared" si="50"/>
        <v>#REF!</v>
      </c>
      <c r="E150" t="e">
        <f t="shared" si="51"/>
        <v>#REF!</v>
      </c>
      <c r="F150" t="e">
        <f t="shared" si="52"/>
        <v>#REF!</v>
      </c>
      <c r="G150" t="e">
        <f t="shared" si="53"/>
        <v>#REF!</v>
      </c>
      <c r="H150" t="e">
        <f t="shared" si="54"/>
        <v>#REF!</v>
      </c>
      <c r="L150" t="e">
        <f>Reflection!I150</f>
        <v>#REF!</v>
      </c>
      <c r="M150" t="e">
        <f t="shared" si="55"/>
        <v>#REF!</v>
      </c>
      <c r="N150" t="e">
        <f t="shared" si="56"/>
        <v>#REF!</v>
      </c>
      <c r="O150" t="e">
        <f t="shared" si="57"/>
        <v>#REF!</v>
      </c>
      <c r="P150" t="e">
        <f t="shared" si="58"/>
        <v>#REF!</v>
      </c>
      <c r="Q150" t="e">
        <f t="shared" si="59"/>
        <v>#REF!</v>
      </c>
      <c r="R150" t="e">
        <f t="shared" si="60"/>
        <v>#REF!</v>
      </c>
      <c r="U150">
        <f>Reflection!Q150</f>
        <v>370300000</v>
      </c>
      <c r="V150" t="str">
        <f t="shared" si="61"/>
        <v>78.256397716002-6.87614298366447i</v>
      </c>
      <c r="W150" t="str">
        <f t="shared" si="62"/>
        <v>0.141653662222419+1.61214002604964i</v>
      </c>
      <c r="X150">
        <f t="shared" si="63"/>
        <v>78.256397716001999</v>
      </c>
      <c r="Y150">
        <f t="shared" si="64"/>
        <v>6.8761429836644696</v>
      </c>
      <c r="Z150">
        <f t="shared" si="65"/>
        <v>0.14165366222241901</v>
      </c>
      <c r="AA150">
        <f t="shared" si="66"/>
        <v>1.6121400260496399</v>
      </c>
      <c r="AE150" t="e">
        <f>Reflection!Y150</f>
        <v>#REF!</v>
      </c>
      <c r="AF150" t="e">
        <f>IMDIV(IMPRODUCT(IMSUB(C150,V150),IMSUB(Reflection!AB150,Reflection!D150),IMSUB(Reflection!L150,Reflection!T150)),IMPRODUCT(IMSUB(Permitivity!M150,Permitivity!V150),IMSUB(Reflection!AB150,Reflection!L150),IMSUB(Reflection!D150,Reflection!T150)))</f>
        <v>#REF!</v>
      </c>
      <c r="AG150" t="e">
        <f t="shared" si="67"/>
        <v>#REF!</v>
      </c>
      <c r="AH150" t="e">
        <f t="shared" si="48"/>
        <v>#REF!</v>
      </c>
      <c r="AI150" t="e">
        <f t="shared" si="68"/>
        <v>#REF!</v>
      </c>
      <c r="AJ150" t="e">
        <f t="shared" si="69"/>
        <v>#REF!</v>
      </c>
      <c r="AK150" t="e">
        <f t="shared" si="70"/>
        <v>#REF!</v>
      </c>
      <c r="AL150" t="e">
        <f t="shared" si="71"/>
        <v>#REF!</v>
      </c>
    </row>
    <row r="151" spans="2:38" x14ac:dyDescent="0.15">
      <c r="B151" t="e">
        <f>Experiment!#REF!</f>
        <v>#REF!</v>
      </c>
      <c r="C151" t="e">
        <f t="shared" si="49"/>
        <v>#REF!</v>
      </c>
      <c r="D151" t="e">
        <f t="shared" si="50"/>
        <v>#REF!</v>
      </c>
      <c r="E151" t="e">
        <f t="shared" si="51"/>
        <v>#REF!</v>
      </c>
      <c r="F151" t="e">
        <f t="shared" si="52"/>
        <v>#REF!</v>
      </c>
      <c r="G151" t="e">
        <f t="shared" si="53"/>
        <v>#REF!</v>
      </c>
      <c r="H151" t="e">
        <f t="shared" si="54"/>
        <v>#REF!</v>
      </c>
      <c r="L151" t="e">
        <f>Reflection!I151</f>
        <v>#REF!</v>
      </c>
      <c r="M151" t="e">
        <f t="shared" si="55"/>
        <v>#REF!</v>
      </c>
      <c r="N151" t="e">
        <f t="shared" si="56"/>
        <v>#REF!</v>
      </c>
      <c r="O151" t="e">
        <f t="shared" si="57"/>
        <v>#REF!</v>
      </c>
      <c r="P151" t="e">
        <f t="shared" si="58"/>
        <v>#REF!</v>
      </c>
      <c r="Q151" t="e">
        <f t="shared" si="59"/>
        <v>#REF!</v>
      </c>
      <c r="R151" t="e">
        <f t="shared" si="60"/>
        <v>#REF!</v>
      </c>
      <c r="U151">
        <f>Reflection!Q151</f>
        <v>385500000</v>
      </c>
      <c r="V151" t="str">
        <f t="shared" si="61"/>
        <v>78.2540836222475-6.71758847929446i</v>
      </c>
      <c r="W151" t="str">
        <f t="shared" si="62"/>
        <v>0.14406781641312+1.67826519704449i</v>
      </c>
      <c r="X151">
        <f t="shared" si="63"/>
        <v>78.254083622247506</v>
      </c>
      <c r="Y151">
        <f t="shared" si="64"/>
        <v>6.7175884792944602</v>
      </c>
      <c r="Z151">
        <f t="shared" si="65"/>
        <v>0.14406781641312</v>
      </c>
      <c r="AA151">
        <f t="shared" si="66"/>
        <v>1.67826519704449</v>
      </c>
      <c r="AE151" t="e">
        <f>Reflection!Y151</f>
        <v>#REF!</v>
      </c>
      <c r="AF151" t="e">
        <f>IMDIV(IMPRODUCT(IMSUB(C151,V151),IMSUB(Reflection!AB151,Reflection!D151),IMSUB(Reflection!L151,Reflection!T151)),IMPRODUCT(IMSUB(Permitivity!M151,Permitivity!V151),IMSUB(Reflection!AB151,Reflection!L151),IMSUB(Reflection!D151,Reflection!T151)))</f>
        <v>#REF!</v>
      </c>
      <c r="AG151" t="e">
        <f t="shared" si="67"/>
        <v>#REF!</v>
      </c>
      <c r="AH151" t="e">
        <f t="shared" si="48"/>
        <v>#REF!</v>
      </c>
      <c r="AI151" t="e">
        <f t="shared" si="68"/>
        <v>#REF!</v>
      </c>
      <c r="AJ151" t="e">
        <f t="shared" si="69"/>
        <v>#REF!</v>
      </c>
      <c r="AK151" t="e">
        <f t="shared" si="70"/>
        <v>#REF!</v>
      </c>
      <c r="AL151" t="e">
        <f t="shared" si="71"/>
        <v>#REF!</v>
      </c>
    </row>
    <row r="152" spans="2:38" x14ac:dyDescent="0.15">
      <c r="B152" t="e">
        <f>Experiment!#REF!</f>
        <v>#REF!</v>
      </c>
      <c r="C152" t="e">
        <f t="shared" si="49"/>
        <v>#REF!</v>
      </c>
      <c r="D152" t="e">
        <f t="shared" si="50"/>
        <v>#REF!</v>
      </c>
      <c r="E152" t="e">
        <f t="shared" si="51"/>
        <v>#REF!</v>
      </c>
      <c r="F152" t="e">
        <f t="shared" si="52"/>
        <v>#REF!</v>
      </c>
      <c r="G152" t="e">
        <f t="shared" si="53"/>
        <v>#REF!</v>
      </c>
      <c r="H152" t="e">
        <f t="shared" si="54"/>
        <v>#REF!</v>
      </c>
      <c r="L152" t="e">
        <f>Reflection!I152</f>
        <v>#REF!</v>
      </c>
      <c r="M152" t="e">
        <f t="shared" si="55"/>
        <v>#REF!</v>
      </c>
      <c r="N152" t="e">
        <f t="shared" si="56"/>
        <v>#REF!</v>
      </c>
      <c r="O152" t="e">
        <f t="shared" si="57"/>
        <v>#REF!</v>
      </c>
      <c r="P152" t="e">
        <f t="shared" si="58"/>
        <v>#REF!</v>
      </c>
      <c r="Q152" t="e">
        <f t="shared" si="59"/>
        <v>#REF!</v>
      </c>
      <c r="R152" t="e">
        <f t="shared" si="60"/>
        <v>#REF!</v>
      </c>
      <c r="U152">
        <f>Reflection!Q152</f>
        <v>401300000</v>
      </c>
      <c r="V152" t="str">
        <f t="shared" si="61"/>
        <v>78.2515829599055-6.57010563028614i</v>
      </c>
      <c r="W152" t="str">
        <f t="shared" si="62"/>
        <v>0.14667993461721+1.74699429783022i</v>
      </c>
      <c r="X152">
        <f t="shared" si="63"/>
        <v>78.251582959905505</v>
      </c>
      <c r="Y152">
        <f t="shared" si="64"/>
        <v>6.5701056302861396</v>
      </c>
      <c r="Z152">
        <f t="shared" si="65"/>
        <v>0.14667993461720999</v>
      </c>
      <c r="AA152">
        <f t="shared" si="66"/>
        <v>1.74699429783022</v>
      </c>
      <c r="AE152" t="e">
        <f>Reflection!Y152</f>
        <v>#REF!</v>
      </c>
      <c r="AF152" t="e">
        <f>IMDIV(IMPRODUCT(IMSUB(C152,V152),IMSUB(Reflection!AB152,Reflection!D152),IMSUB(Reflection!L152,Reflection!T152)),IMPRODUCT(IMSUB(Permitivity!M152,Permitivity!V152),IMSUB(Reflection!AB152,Reflection!L152),IMSUB(Reflection!D152,Reflection!T152)))</f>
        <v>#REF!</v>
      </c>
      <c r="AG152" t="e">
        <f t="shared" si="67"/>
        <v>#REF!</v>
      </c>
      <c r="AH152" t="e">
        <f t="shared" si="48"/>
        <v>#REF!</v>
      </c>
      <c r="AI152" t="e">
        <f t="shared" si="68"/>
        <v>#REF!</v>
      </c>
      <c r="AJ152" t="e">
        <f t="shared" si="69"/>
        <v>#REF!</v>
      </c>
      <c r="AK152" t="e">
        <f t="shared" si="70"/>
        <v>#REF!</v>
      </c>
      <c r="AL152" t="e">
        <f t="shared" si="71"/>
        <v>#REF!</v>
      </c>
    </row>
    <row r="153" spans="2:38" x14ac:dyDescent="0.15">
      <c r="B153" t="e">
        <f>Experiment!#REF!</f>
        <v>#REF!</v>
      </c>
      <c r="C153" t="e">
        <f t="shared" si="49"/>
        <v>#REF!</v>
      </c>
      <c r="D153" t="e">
        <f t="shared" si="50"/>
        <v>#REF!</v>
      </c>
      <c r="E153" t="e">
        <f t="shared" si="51"/>
        <v>#REF!</v>
      </c>
      <c r="F153" t="e">
        <f t="shared" si="52"/>
        <v>#REF!</v>
      </c>
      <c r="G153" t="e">
        <f t="shared" si="53"/>
        <v>#REF!</v>
      </c>
      <c r="H153" t="e">
        <f t="shared" si="54"/>
        <v>#REF!</v>
      </c>
      <c r="L153" t="e">
        <f>Reflection!I153</f>
        <v>#REF!</v>
      </c>
      <c r="M153" t="e">
        <f t="shared" si="55"/>
        <v>#REF!</v>
      </c>
      <c r="N153" t="e">
        <f t="shared" si="56"/>
        <v>#REF!</v>
      </c>
      <c r="O153" t="e">
        <f t="shared" si="57"/>
        <v>#REF!</v>
      </c>
      <c r="P153" t="e">
        <f t="shared" si="58"/>
        <v>#REF!</v>
      </c>
      <c r="Q153" t="e">
        <f t="shared" si="59"/>
        <v>#REF!</v>
      </c>
      <c r="R153" t="e">
        <f t="shared" si="60"/>
        <v>#REF!</v>
      </c>
      <c r="U153">
        <f>Reflection!Q153</f>
        <v>417800000</v>
      </c>
      <c r="V153" t="str">
        <f t="shared" si="61"/>
        <v>78.2488679253829-6.43280084647905i</v>
      </c>
      <c r="W153" t="str">
        <f t="shared" si="62"/>
        <v>0.14951946620819+1.8187612585585i</v>
      </c>
      <c r="X153">
        <f t="shared" si="63"/>
        <v>78.248867925382896</v>
      </c>
      <c r="Y153">
        <f t="shared" si="64"/>
        <v>6.4328008464790498</v>
      </c>
      <c r="Z153">
        <f t="shared" si="65"/>
        <v>0.14951946620819001</v>
      </c>
      <c r="AA153">
        <f t="shared" si="66"/>
        <v>1.8187612585585</v>
      </c>
      <c r="AE153" t="e">
        <f>Reflection!Y153</f>
        <v>#REF!</v>
      </c>
      <c r="AF153" t="e">
        <f>IMDIV(IMPRODUCT(IMSUB(C153,V153),IMSUB(Reflection!AB153,Reflection!D153),IMSUB(Reflection!L153,Reflection!T153)),IMPRODUCT(IMSUB(Permitivity!M153,Permitivity!V153),IMSUB(Reflection!AB153,Reflection!L153),IMSUB(Reflection!D153,Reflection!T153)))</f>
        <v>#REF!</v>
      </c>
      <c r="AG153" t="e">
        <f t="shared" si="67"/>
        <v>#REF!</v>
      </c>
      <c r="AH153" t="e">
        <f t="shared" si="48"/>
        <v>#REF!</v>
      </c>
      <c r="AI153" t="e">
        <f t="shared" si="68"/>
        <v>#REF!</v>
      </c>
      <c r="AJ153" t="e">
        <f t="shared" si="69"/>
        <v>#REF!</v>
      </c>
      <c r="AK153" t="e">
        <f t="shared" si="70"/>
        <v>#REF!</v>
      </c>
      <c r="AL153" t="e">
        <f t="shared" si="71"/>
        <v>#REF!</v>
      </c>
    </row>
    <row r="154" spans="2:38" x14ac:dyDescent="0.15">
      <c r="B154" t="e">
        <f>Experiment!#REF!</f>
        <v>#REF!</v>
      </c>
      <c r="C154" t="e">
        <f t="shared" si="49"/>
        <v>#REF!</v>
      </c>
      <c r="D154" t="e">
        <f t="shared" si="50"/>
        <v>#REF!</v>
      </c>
      <c r="E154" t="e">
        <f t="shared" si="51"/>
        <v>#REF!</v>
      </c>
      <c r="F154" t="e">
        <f t="shared" si="52"/>
        <v>#REF!</v>
      </c>
      <c r="G154" t="e">
        <f t="shared" si="53"/>
        <v>#REF!</v>
      </c>
      <c r="H154" t="e">
        <f t="shared" si="54"/>
        <v>#REF!</v>
      </c>
      <c r="L154" t="e">
        <f>Reflection!I154</f>
        <v>#REF!</v>
      </c>
      <c r="M154" t="e">
        <f t="shared" si="55"/>
        <v>#REF!</v>
      </c>
      <c r="N154" t="e">
        <f t="shared" si="56"/>
        <v>#REF!</v>
      </c>
      <c r="O154" t="e">
        <f t="shared" si="57"/>
        <v>#REF!</v>
      </c>
      <c r="P154" t="e">
        <f t="shared" si="58"/>
        <v>#REF!</v>
      </c>
      <c r="Q154" t="e">
        <f t="shared" si="59"/>
        <v>#REF!</v>
      </c>
      <c r="R154" t="e">
        <f t="shared" si="60"/>
        <v>#REF!</v>
      </c>
      <c r="U154">
        <f>Reflection!Q154</f>
        <v>434900000</v>
      </c>
      <c r="V154" t="str">
        <f t="shared" si="61"/>
        <v>78.245942524119-6.3064722750128i</v>
      </c>
      <c r="W154" t="str">
        <f t="shared" si="62"/>
        <v>0.152582629336706+1.89312996626702i</v>
      </c>
      <c r="X154">
        <f t="shared" si="63"/>
        <v>78.245942524119002</v>
      </c>
      <c r="Y154">
        <f t="shared" si="64"/>
        <v>6.3064722750128004</v>
      </c>
      <c r="Z154">
        <f t="shared" si="65"/>
        <v>0.15258262933670599</v>
      </c>
      <c r="AA154">
        <f t="shared" si="66"/>
        <v>1.89312996626702</v>
      </c>
      <c r="AE154" t="e">
        <f>Reflection!Y154</f>
        <v>#REF!</v>
      </c>
      <c r="AF154" t="e">
        <f>IMDIV(IMPRODUCT(IMSUB(C154,V154),IMSUB(Reflection!AB154,Reflection!D154),IMSUB(Reflection!L154,Reflection!T154)),IMPRODUCT(IMSUB(Permitivity!M154,Permitivity!V154),IMSUB(Reflection!AB154,Reflection!L154),IMSUB(Reflection!D154,Reflection!T154)))</f>
        <v>#REF!</v>
      </c>
      <c r="AG154" t="e">
        <f t="shared" si="67"/>
        <v>#REF!</v>
      </c>
      <c r="AH154" t="e">
        <f t="shared" si="48"/>
        <v>#REF!</v>
      </c>
      <c r="AI154" t="e">
        <f t="shared" si="68"/>
        <v>#REF!</v>
      </c>
      <c r="AJ154" t="e">
        <f t="shared" si="69"/>
        <v>#REF!</v>
      </c>
      <c r="AK154" t="e">
        <f t="shared" si="70"/>
        <v>#REF!</v>
      </c>
      <c r="AL154" t="e">
        <f t="shared" si="71"/>
        <v>#REF!</v>
      </c>
    </row>
    <row r="155" spans="2:38" x14ac:dyDescent="0.15">
      <c r="B155" t="e">
        <f>Experiment!#REF!</f>
        <v>#REF!</v>
      </c>
      <c r="C155" t="e">
        <f t="shared" si="49"/>
        <v>#REF!</v>
      </c>
      <c r="D155" t="e">
        <f t="shared" si="50"/>
        <v>#REF!</v>
      </c>
      <c r="E155" t="e">
        <f t="shared" si="51"/>
        <v>#REF!</v>
      </c>
      <c r="F155" t="e">
        <f t="shared" si="52"/>
        <v>#REF!</v>
      </c>
      <c r="G155" t="e">
        <f t="shared" si="53"/>
        <v>#REF!</v>
      </c>
      <c r="H155" t="e">
        <f t="shared" si="54"/>
        <v>#REF!</v>
      </c>
      <c r="L155" t="e">
        <f>Reflection!I155</f>
        <v>#REF!</v>
      </c>
      <c r="M155" t="e">
        <f t="shared" si="55"/>
        <v>#REF!</v>
      </c>
      <c r="N155" t="e">
        <f t="shared" si="56"/>
        <v>#REF!</v>
      </c>
      <c r="O155" t="e">
        <f t="shared" si="57"/>
        <v>#REF!</v>
      </c>
      <c r="P155" t="e">
        <f t="shared" si="58"/>
        <v>#REF!</v>
      </c>
      <c r="Q155" t="e">
        <f t="shared" si="59"/>
        <v>#REF!</v>
      </c>
      <c r="R155" t="e">
        <f t="shared" si="60"/>
        <v>#REF!</v>
      </c>
      <c r="U155">
        <f>Reflection!Q155</f>
        <v>452800000</v>
      </c>
      <c r="V155" t="str">
        <f t="shared" si="61"/>
        <v>78.2427585693204-6.18966441805718i</v>
      </c>
      <c r="W155" t="str">
        <f t="shared" si="62"/>
        <v>0.155920320181746+1.97096888361853i</v>
      </c>
      <c r="X155">
        <f t="shared" si="63"/>
        <v>78.242758569320401</v>
      </c>
      <c r="Y155">
        <f t="shared" si="64"/>
        <v>6.1896644180571796</v>
      </c>
      <c r="Z155">
        <f t="shared" si="65"/>
        <v>0.15592032018174601</v>
      </c>
      <c r="AA155">
        <f t="shared" si="66"/>
        <v>1.97096888361853</v>
      </c>
      <c r="AE155" t="e">
        <f>Reflection!Y155</f>
        <v>#REF!</v>
      </c>
      <c r="AF155" t="e">
        <f>IMDIV(IMPRODUCT(IMSUB(C155,V155),IMSUB(Reflection!AB155,Reflection!D155),IMSUB(Reflection!L155,Reflection!T155)),IMPRODUCT(IMSUB(Permitivity!M155,Permitivity!V155),IMSUB(Reflection!AB155,Reflection!L155),IMSUB(Reflection!D155,Reflection!T155)))</f>
        <v>#REF!</v>
      </c>
      <c r="AG155" t="e">
        <f t="shared" si="67"/>
        <v>#REF!</v>
      </c>
      <c r="AH155" t="e">
        <f t="shared" si="48"/>
        <v>#REF!</v>
      </c>
      <c r="AI155" t="e">
        <f t="shared" si="68"/>
        <v>#REF!</v>
      </c>
      <c r="AJ155" t="e">
        <f t="shared" si="69"/>
        <v>#REF!</v>
      </c>
      <c r="AK155" t="e">
        <f t="shared" si="70"/>
        <v>#REF!</v>
      </c>
      <c r="AL155" t="e">
        <f t="shared" si="71"/>
        <v>#REF!</v>
      </c>
    </row>
    <row r="156" spans="2:38" x14ac:dyDescent="0.15">
      <c r="B156" t="e">
        <f>Experiment!#REF!</f>
        <v>#REF!</v>
      </c>
      <c r="C156" t="e">
        <f t="shared" si="49"/>
        <v>#REF!</v>
      </c>
      <c r="D156" t="e">
        <f t="shared" si="50"/>
        <v>#REF!</v>
      </c>
      <c r="E156" t="e">
        <f t="shared" si="51"/>
        <v>#REF!</v>
      </c>
      <c r="F156" t="e">
        <f t="shared" si="52"/>
        <v>#REF!</v>
      </c>
      <c r="G156" t="e">
        <f t="shared" si="53"/>
        <v>#REF!</v>
      </c>
      <c r="H156" t="e">
        <f t="shared" si="54"/>
        <v>#REF!</v>
      </c>
      <c r="L156" t="e">
        <f>Reflection!I156</f>
        <v>#REF!</v>
      </c>
      <c r="M156" t="e">
        <f t="shared" si="55"/>
        <v>#REF!</v>
      </c>
      <c r="N156" t="e">
        <f t="shared" si="56"/>
        <v>#REF!</v>
      </c>
      <c r="O156" t="e">
        <f t="shared" si="57"/>
        <v>#REF!</v>
      </c>
      <c r="P156" t="e">
        <f t="shared" si="58"/>
        <v>#REF!</v>
      </c>
      <c r="Q156" t="e">
        <f t="shared" si="59"/>
        <v>#REF!</v>
      </c>
      <c r="R156" t="e">
        <f t="shared" si="60"/>
        <v>#REF!</v>
      </c>
      <c r="U156">
        <f>Reflection!Q156</f>
        <v>471400000</v>
      </c>
      <c r="V156" t="str">
        <f t="shared" si="61"/>
        <v>78.2393182747662-6.0831072170181i</v>
      </c>
      <c r="W156" t="str">
        <f t="shared" si="62"/>
        <v>0.159530690638131+2.05184160563725i</v>
      </c>
      <c r="X156">
        <f t="shared" si="63"/>
        <v>78.239318274766205</v>
      </c>
      <c r="Y156">
        <f t="shared" si="64"/>
        <v>6.0831072170181004</v>
      </c>
      <c r="Z156">
        <f t="shared" si="65"/>
        <v>0.159530690638131</v>
      </c>
      <c r="AA156">
        <f t="shared" si="66"/>
        <v>2.0518416056372502</v>
      </c>
      <c r="AE156" t="e">
        <f>Reflection!Y156</f>
        <v>#REF!</v>
      </c>
      <c r="AF156" t="e">
        <f>IMDIV(IMPRODUCT(IMSUB(C156,V156),IMSUB(Reflection!AB156,Reflection!D156),IMSUB(Reflection!L156,Reflection!T156)),IMPRODUCT(IMSUB(Permitivity!M156,Permitivity!V156),IMSUB(Reflection!AB156,Reflection!L156),IMSUB(Reflection!D156,Reflection!T156)))</f>
        <v>#REF!</v>
      </c>
      <c r="AG156" t="e">
        <f t="shared" si="67"/>
        <v>#REF!</v>
      </c>
      <c r="AH156" t="e">
        <f t="shared" si="48"/>
        <v>#REF!</v>
      </c>
      <c r="AI156" t="e">
        <f t="shared" si="68"/>
        <v>#REF!</v>
      </c>
      <c r="AJ156" t="e">
        <f t="shared" si="69"/>
        <v>#REF!</v>
      </c>
      <c r="AK156" t="e">
        <f t="shared" si="70"/>
        <v>#REF!</v>
      </c>
      <c r="AL156" t="e">
        <f t="shared" si="71"/>
        <v>#REF!</v>
      </c>
    </row>
    <row r="157" spans="2:38" x14ac:dyDescent="0.15">
      <c r="B157" t="e">
        <f>Experiment!#REF!</f>
        <v>#REF!</v>
      </c>
      <c r="C157" t="e">
        <f t="shared" si="49"/>
        <v>#REF!</v>
      </c>
      <c r="D157" t="e">
        <f t="shared" si="50"/>
        <v>#REF!</v>
      </c>
      <c r="E157" t="e">
        <f t="shared" si="51"/>
        <v>#REF!</v>
      </c>
      <c r="F157" t="e">
        <f t="shared" si="52"/>
        <v>#REF!</v>
      </c>
      <c r="G157" t="e">
        <f t="shared" si="53"/>
        <v>#REF!</v>
      </c>
      <c r="H157" t="e">
        <f t="shared" si="54"/>
        <v>#REF!</v>
      </c>
      <c r="L157" t="e">
        <f>Reflection!I157</f>
        <v>#REF!</v>
      </c>
      <c r="M157" t="e">
        <f t="shared" si="55"/>
        <v>#REF!</v>
      </c>
      <c r="N157" t="e">
        <f t="shared" si="56"/>
        <v>#REF!</v>
      </c>
      <c r="O157" t="e">
        <f t="shared" si="57"/>
        <v>#REF!</v>
      </c>
      <c r="P157" t="e">
        <f t="shared" si="58"/>
        <v>#REF!</v>
      </c>
      <c r="Q157" t="e">
        <f t="shared" si="59"/>
        <v>#REF!</v>
      </c>
      <c r="R157" t="e">
        <f t="shared" si="60"/>
        <v>#REF!</v>
      </c>
      <c r="U157">
        <f>Reflection!Q157</f>
        <v>490700000</v>
      </c>
      <c r="V157" t="str">
        <f t="shared" si="61"/>
        <v>78.235606521072-5.98668847529533i</v>
      </c>
      <c r="W157" t="str">
        <f t="shared" si="62"/>
        <v>0.163430050042181+2.1357465219014i</v>
      </c>
      <c r="X157">
        <f t="shared" si="63"/>
        <v>78.235606521072</v>
      </c>
      <c r="Y157">
        <f t="shared" si="64"/>
        <v>5.9866884752953302</v>
      </c>
      <c r="Z157">
        <f t="shared" si="65"/>
        <v>0.163430050042181</v>
      </c>
      <c r="AA157">
        <f t="shared" si="66"/>
        <v>2.1357465219014</v>
      </c>
      <c r="AE157" t="e">
        <f>Reflection!Y157</f>
        <v>#REF!</v>
      </c>
      <c r="AF157" t="e">
        <f>IMDIV(IMPRODUCT(IMSUB(C157,V157),IMSUB(Reflection!AB157,Reflection!D157),IMSUB(Reflection!L157,Reflection!T157)),IMPRODUCT(IMSUB(Permitivity!M157,Permitivity!V157),IMSUB(Reflection!AB157,Reflection!L157),IMSUB(Reflection!D157,Reflection!T157)))</f>
        <v>#REF!</v>
      </c>
      <c r="AG157" t="e">
        <f t="shared" si="67"/>
        <v>#REF!</v>
      </c>
      <c r="AH157" t="e">
        <f t="shared" si="48"/>
        <v>#REF!</v>
      </c>
      <c r="AI157" t="e">
        <f t="shared" si="68"/>
        <v>#REF!</v>
      </c>
      <c r="AJ157" t="e">
        <f t="shared" si="69"/>
        <v>#REF!</v>
      </c>
      <c r="AK157" t="e">
        <f t="shared" si="70"/>
        <v>#REF!</v>
      </c>
      <c r="AL157" t="e">
        <f t="shared" si="71"/>
        <v>#REF!</v>
      </c>
    </row>
    <row r="158" spans="2:38" x14ac:dyDescent="0.15">
      <c r="B158" t="e">
        <f>Experiment!#REF!</f>
        <v>#REF!</v>
      </c>
      <c r="C158" t="e">
        <f t="shared" si="49"/>
        <v>#REF!</v>
      </c>
      <c r="D158" t="e">
        <f t="shared" si="50"/>
        <v>#REF!</v>
      </c>
      <c r="E158" t="e">
        <f t="shared" si="51"/>
        <v>#REF!</v>
      </c>
      <c r="F158" t="e">
        <f t="shared" si="52"/>
        <v>#REF!</v>
      </c>
      <c r="G158" t="e">
        <f t="shared" si="53"/>
        <v>#REF!</v>
      </c>
      <c r="H158" t="e">
        <f t="shared" si="54"/>
        <v>#REF!</v>
      </c>
      <c r="L158" t="e">
        <f>Reflection!I158</f>
        <v>#REF!</v>
      </c>
      <c r="M158" t="e">
        <f t="shared" si="55"/>
        <v>#REF!</v>
      </c>
      <c r="N158" t="e">
        <f t="shared" si="56"/>
        <v>#REF!</v>
      </c>
      <c r="O158" t="e">
        <f t="shared" si="57"/>
        <v>#REF!</v>
      </c>
      <c r="P158" t="e">
        <f t="shared" si="58"/>
        <v>#REF!</v>
      </c>
      <c r="Q158" t="e">
        <f t="shared" si="59"/>
        <v>#REF!</v>
      </c>
      <c r="R158" t="e">
        <f t="shared" si="60"/>
        <v>#REF!</v>
      </c>
      <c r="U158">
        <f>Reflection!Q158</f>
        <v>510900000</v>
      </c>
      <c r="V158" t="str">
        <f t="shared" si="61"/>
        <v>78.2315668579794-5.89945002713608i</v>
      </c>
      <c r="W158" t="str">
        <f t="shared" si="62"/>
        <v>0.167678208545588+2.22355116529879i</v>
      </c>
      <c r="X158">
        <f t="shared" si="63"/>
        <v>78.231566857979402</v>
      </c>
      <c r="Y158">
        <f t="shared" si="64"/>
        <v>5.8994500271360799</v>
      </c>
      <c r="Z158">
        <f t="shared" si="65"/>
        <v>0.16767820854558799</v>
      </c>
      <c r="AA158">
        <f t="shared" si="66"/>
        <v>2.2235511652987898</v>
      </c>
      <c r="AE158" t="e">
        <f>Reflection!Y158</f>
        <v>#REF!</v>
      </c>
      <c r="AF158" t="e">
        <f>IMDIV(IMPRODUCT(IMSUB(C158,V158),IMSUB(Reflection!AB158,Reflection!D158),IMSUB(Reflection!L158,Reflection!T158)),IMPRODUCT(IMSUB(Permitivity!M158,Permitivity!V158),IMSUB(Reflection!AB158,Reflection!L158),IMSUB(Reflection!D158,Reflection!T158)))</f>
        <v>#REF!</v>
      </c>
      <c r="AG158" t="e">
        <f t="shared" si="67"/>
        <v>#REF!</v>
      </c>
      <c r="AH158" t="e">
        <f t="shared" si="48"/>
        <v>#REF!</v>
      </c>
      <c r="AI158" t="e">
        <f t="shared" si="68"/>
        <v>#REF!</v>
      </c>
      <c r="AJ158" t="e">
        <f t="shared" si="69"/>
        <v>#REF!</v>
      </c>
      <c r="AK158" t="e">
        <f t="shared" si="70"/>
        <v>#REF!</v>
      </c>
      <c r="AL158" t="e">
        <f t="shared" si="71"/>
        <v>#REF!</v>
      </c>
    </row>
    <row r="159" spans="2:38" x14ac:dyDescent="0.15">
      <c r="B159" t="e">
        <f>Experiment!#REF!</f>
        <v>#REF!</v>
      </c>
      <c r="C159" t="e">
        <f t="shared" si="49"/>
        <v>#REF!</v>
      </c>
      <c r="D159" t="e">
        <f t="shared" si="50"/>
        <v>#REF!</v>
      </c>
      <c r="E159" t="e">
        <f t="shared" si="51"/>
        <v>#REF!</v>
      </c>
      <c r="F159" t="e">
        <f t="shared" si="52"/>
        <v>#REF!</v>
      </c>
      <c r="G159" t="e">
        <f t="shared" si="53"/>
        <v>#REF!</v>
      </c>
      <c r="H159" t="e">
        <f t="shared" si="54"/>
        <v>#REF!</v>
      </c>
      <c r="L159" t="e">
        <f>Reflection!I159</f>
        <v>#REF!</v>
      </c>
      <c r="M159" t="e">
        <f t="shared" si="55"/>
        <v>#REF!</v>
      </c>
      <c r="N159" t="e">
        <f t="shared" si="56"/>
        <v>#REF!</v>
      </c>
      <c r="O159" t="e">
        <f t="shared" si="57"/>
        <v>#REF!</v>
      </c>
      <c r="P159" t="e">
        <f t="shared" si="58"/>
        <v>#REF!</v>
      </c>
      <c r="Q159" t="e">
        <f t="shared" si="59"/>
        <v>#REF!</v>
      </c>
      <c r="R159" t="e">
        <f t="shared" si="60"/>
        <v>#REF!</v>
      </c>
      <c r="U159">
        <f>Reflection!Q159</f>
        <v>531799999.99999994</v>
      </c>
      <c r="V159" t="str">
        <f t="shared" si="61"/>
        <v>78.2272205969325-5.82223762363353i</v>
      </c>
      <c r="W159" t="str">
        <f t="shared" si="62"/>
        <v>0.172253262157462+2.31438405788111i</v>
      </c>
      <c r="X159">
        <f t="shared" si="63"/>
        <v>78.227220596932497</v>
      </c>
      <c r="Y159">
        <f t="shared" si="64"/>
        <v>5.82223762363353</v>
      </c>
      <c r="Z159">
        <f t="shared" si="65"/>
        <v>0.17225326215746201</v>
      </c>
      <c r="AA159">
        <f t="shared" si="66"/>
        <v>2.3143840578811101</v>
      </c>
      <c r="AE159" t="e">
        <f>Reflection!Y159</f>
        <v>#REF!</v>
      </c>
      <c r="AF159" t="e">
        <f>IMDIV(IMPRODUCT(IMSUB(C159,V159),IMSUB(Reflection!AB159,Reflection!D159),IMSUB(Reflection!L159,Reflection!T159)),IMPRODUCT(IMSUB(Permitivity!M159,Permitivity!V159),IMSUB(Reflection!AB159,Reflection!L159),IMSUB(Reflection!D159,Reflection!T159)))</f>
        <v>#REF!</v>
      </c>
      <c r="AG159" t="e">
        <f t="shared" si="67"/>
        <v>#REF!</v>
      </c>
      <c r="AH159" t="e">
        <f t="shared" si="48"/>
        <v>#REF!</v>
      </c>
      <c r="AI159" t="e">
        <f t="shared" si="68"/>
        <v>#REF!</v>
      </c>
      <c r="AJ159" t="e">
        <f t="shared" si="69"/>
        <v>#REF!</v>
      </c>
      <c r="AK159" t="e">
        <f t="shared" si="70"/>
        <v>#REF!</v>
      </c>
      <c r="AL159" t="e">
        <f t="shared" si="71"/>
        <v>#REF!</v>
      </c>
    </row>
    <row r="160" spans="2:38" x14ac:dyDescent="0.15">
      <c r="B160" t="e">
        <f>Experiment!#REF!</f>
        <v>#REF!</v>
      </c>
      <c r="C160" t="e">
        <f t="shared" si="49"/>
        <v>#REF!</v>
      </c>
      <c r="D160" t="e">
        <f t="shared" si="50"/>
        <v>#REF!</v>
      </c>
      <c r="E160" t="e">
        <f t="shared" si="51"/>
        <v>#REF!</v>
      </c>
      <c r="F160" t="e">
        <f t="shared" si="52"/>
        <v>#REF!</v>
      </c>
      <c r="G160" t="e">
        <f t="shared" si="53"/>
        <v>#REF!</v>
      </c>
      <c r="H160" t="e">
        <f t="shared" si="54"/>
        <v>#REF!</v>
      </c>
      <c r="L160" t="e">
        <f>Reflection!I160</f>
        <v>#REF!</v>
      </c>
      <c r="M160" t="e">
        <f t="shared" si="55"/>
        <v>#REF!</v>
      </c>
      <c r="N160" t="e">
        <f t="shared" si="56"/>
        <v>#REF!</v>
      </c>
      <c r="O160" t="e">
        <f t="shared" si="57"/>
        <v>#REF!</v>
      </c>
      <c r="P160" t="e">
        <f t="shared" si="58"/>
        <v>#REF!</v>
      </c>
      <c r="Q160" t="e">
        <f t="shared" si="59"/>
        <v>#REF!</v>
      </c>
      <c r="R160" t="e">
        <f t="shared" si="60"/>
        <v>#REF!</v>
      </c>
      <c r="U160">
        <f>Reflection!Q160</f>
        <v>553700000</v>
      </c>
      <c r="V160" t="str">
        <f t="shared" si="61"/>
        <v>78.2224846560592-5.75394732300481i</v>
      </c>
      <c r="W160" t="str">
        <f t="shared" si="62"/>
        <v>0.177243207697215+2.40954658014594i</v>
      </c>
      <c r="X160">
        <f t="shared" si="63"/>
        <v>78.222484656059194</v>
      </c>
      <c r="Y160">
        <f t="shared" si="64"/>
        <v>5.7539473230048097</v>
      </c>
      <c r="Z160">
        <f t="shared" si="65"/>
        <v>0.17724320769721499</v>
      </c>
      <c r="AA160">
        <f t="shared" si="66"/>
        <v>2.4095465801459399</v>
      </c>
      <c r="AE160" t="e">
        <f>Reflection!Y160</f>
        <v>#REF!</v>
      </c>
      <c r="AF160" t="e">
        <f>IMDIV(IMPRODUCT(IMSUB(C160,V160),IMSUB(Reflection!AB160,Reflection!D160),IMSUB(Reflection!L160,Reflection!T160)),IMPRODUCT(IMSUB(Permitivity!M160,Permitivity!V160),IMSUB(Reflection!AB160,Reflection!L160),IMSUB(Reflection!D160,Reflection!T160)))</f>
        <v>#REF!</v>
      </c>
      <c r="AG160" t="e">
        <f t="shared" si="67"/>
        <v>#REF!</v>
      </c>
      <c r="AH160" t="e">
        <f t="shared" si="48"/>
        <v>#REF!</v>
      </c>
      <c r="AI160" t="e">
        <f t="shared" si="68"/>
        <v>#REF!</v>
      </c>
      <c r="AJ160" t="e">
        <f t="shared" si="69"/>
        <v>#REF!</v>
      </c>
      <c r="AK160" t="e">
        <f t="shared" si="70"/>
        <v>#REF!</v>
      </c>
      <c r="AL160" t="e">
        <f t="shared" si="71"/>
        <v>#REF!</v>
      </c>
    </row>
    <row r="161" spans="2:38" x14ac:dyDescent="0.15">
      <c r="B161" t="e">
        <f>Experiment!#REF!</f>
        <v>#REF!</v>
      </c>
      <c r="C161" t="e">
        <f t="shared" si="49"/>
        <v>#REF!</v>
      </c>
      <c r="D161" t="e">
        <f t="shared" si="50"/>
        <v>#REF!</v>
      </c>
      <c r="E161" t="e">
        <f t="shared" si="51"/>
        <v>#REF!</v>
      </c>
      <c r="F161" t="e">
        <f t="shared" si="52"/>
        <v>#REF!</v>
      </c>
      <c r="G161" t="e">
        <f t="shared" si="53"/>
        <v>#REF!</v>
      </c>
      <c r="H161" t="e">
        <f t="shared" si="54"/>
        <v>#REF!</v>
      </c>
      <c r="L161" t="e">
        <f>Reflection!I161</f>
        <v>#REF!</v>
      </c>
      <c r="M161" t="e">
        <f t="shared" si="55"/>
        <v>#REF!</v>
      </c>
      <c r="N161" t="e">
        <f t="shared" si="56"/>
        <v>#REF!</v>
      </c>
      <c r="O161" t="e">
        <f t="shared" si="57"/>
        <v>#REF!</v>
      </c>
      <c r="P161" t="e">
        <f t="shared" si="58"/>
        <v>#REF!</v>
      </c>
      <c r="Q161" t="e">
        <f t="shared" si="59"/>
        <v>#REF!</v>
      </c>
      <c r="R161" t="e">
        <f t="shared" si="60"/>
        <v>#REF!</v>
      </c>
      <c r="U161">
        <f>Reflection!Q161</f>
        <v>576400000</v>
      </c>
      <c r="V161" t="str">
        <f t="shared" si="61"/>
        <v>78.2173795175788-5.69523839609249i</v>
      </c>
      <c r="W161" t="str">
        <f t="shared" si="62"/>
        <v>0.18262703825535+2.50816688748109i</v>
      </c>
      <c r="X161">
        <f t="shared" si="63"/>
        <v>78.217379517578806</v>
      </c>
      <c r="Y161">
        <f t="shared" si="64"/>
        <v>5.6952383960924902</v>
      </c>
      <c r="Z161">
        <f t="shared" si="65"/>
        <v>0.18262703825535001</v>
      </c>
      <c r="AA161">
        <f t="shared" si="66"/>
        <v>2.5081668874810901</v>
      </c>
      <c r="AE161" t="e">
        <f>Reflection!Y161</f>
        <v>#REF!</v>
      </c>
      <c r="AF161" t="e">
        <f>IMDIV(IMPRODUCT(IMSUB(C161,V161),IMSUB(Reflection!AB161,Reflection!D161),IMSUB(Reflection!L161,Reflection!T161)),IMPRODUCT(IMSUB(Permitivity!M161,Permitivity!V161),IMSUB(Reflection!AB161,Reflection!L161),IMSUB(Reflection!D161,Reflection!T161)))</f>
        <v>#REF!</v>
      </c>
      <c r="AG161" t="e">
        <f t="shared" si="67"/>
        <v>#REF!</v>
      </c>
      <c r="AH161" t="e">
        <f t="shared" si="48"/>
        <v>#REF!</v>
      </c>
      <c r="AI161" t="e">
        <f t="shared" si="68"/>
        <v>#REF!</v>
      </c>
      <c r="AJ161" t="e">
        <f t="shared" si="69"/>
        <v>#REF!</v>
      </c>
      <c r="AK161" t="e">
        <f t="shared" si="70"/>
        <v>#REF!</v>
      </c>
      <c r="AL161" t="e">
        <f t="shared" si="71"/>
        <v>#REF!</v>
      </c>
    </row>
    <row r="162" spans="2:38" x14ac:dyDescent="0.15">
      <c r="B162" t="e">
        <f>Experiment!#REF!</f>
        <v>#REF!</v>
      </c>
      <c r="C162" t="e">
        <f t="shared" si="49"/>
        <v>#REF!</v>
      </c>
      <c r="D162" t="e">
        <f t="shared" si="50"/>
        <v>#REF!</v>
      </c>
      <c r="E162" t="e">
        <f t="shared" si="51"/>
        <v>#REF!</v>
      </c>
      <c r="F162" t="e">
        <f t="shared" si="52"/>
        <v>#REF!</v>
      </c>
      <c r="G162" t="e">
        <f t="shared" si="53"/>
        <v>#REF!</v>
      </c>
      <c r="H162" t="e">
        <f t="shared" si="54"/>
        <v>#REF!</v>
      </c>
      <c r="L162" t="e">
        <f>Reflection!I162</f>
        <v>#REF!</v>
      </c>
      <c r="M162" t="e">
        <f t="shared" si="55"/>
        <v>#REF!</v>
      </c>
      <c r="N162" t="e">
        <f t="shared" si="56"/>
        <v>#REF!</v>
      </c>
      <c r="O162" t="e">
        <f t="shared" si="57"/>
        <v>#REF!</v>
      </c>
      <c r="P162" t="e">
        <f t="shared" si="58"/>
        <v>#REF!</v>
      </c>
      <c r="Q162" t="e">
        <f t="shared" si="59"/>
        <v>#REF!</v>
      </c>
      <c r="R162" t="e">
        <f t="shared" si="60"/>
        <v>#REF!</v>
      </c>
      <c r="U162">
        <f>Reflection!Q162</f>
        <v>600100000</v>
      </c>
      <c r="V162" t="str">
        <f t="shared" si="61"/>
        <v>78.2118364824252-5.64556398889565i</v>
      </c>
      <c r="W162" t="str">
        <f t="shared" si="62"/>
        <v>0.188477779670561+2.61111083200176i</v>
      </c>
      <c r="X162">
        <f t="shared" si="63"/>
        <v>78.211836482425198</v>
      </c>
      <c r="Y162">
        <f t="shared" si="64"/>
        <v>5.6455639888956499</v>
      </c>
      <c r="Z162">
        <f t="shared" si="65"/>
        <v>0.18847777967056101</v>
      </c>
      <c r="AA162">
        <f t="shared" si="66"/>
        <v>2.61111083200176</v>
      </c>
      <c r="AE162" t="e">
        <f>Reflection!Y162</f>
        <v>#REF!</v>
      </c>
      <c r="AF162" t="e">
        <f>IMDIV(IMPRODUCT(IMSUB(C162,V162),IMSUB(Reflection!AB162,Reflection!D162),IMSUB(Reflection!L162,Reflection!T162)),IMPRODUCT(IMSUB(Permitivity!M162,Permitivity!V162),IMSUB(Reflection!AB162,Reflection!L162),IMSUB(Reflection!D162,Reflection!T162)))</f>
        <v>#REF!</v>
      </c>
      <c r="AG162" t="e">
        <f t="shared" si="67"/>
        <v>#REF!</v>
      </c>
      <c r="AH162" t="e">
        <f t="shared" si="48"/>
        <v>#REF!</v>
      </c>
      <c r="AI162" t="e">
        <f t="shared" si="68"/>
        <v>#REF!</v>
      </c>
      <c r="AJ162" t="e">
        <f t="shared" si="69"/>
        <v>#REF!</v>
      </c>
      <c r="AK162" t="e">
        <f t="shared" si="70"/>
        <v>#REF!</v>
      </c>
      <c r="AL162" t="e">
        <f t="shared" si="71"/>
        <v>#REF!</v>
      </c>
    </row>
    <row r="163" spans="2:38" x14ac:dyDescent="0.15">
      <c r="B163" t="e">
        <f>Experiment!#REF!</f>
        <v>#REF!</v>
      </c>
      <c r="C163" t="e">
        <f t="shared" si="49"/>
        <v>#REF!</v>
      </c>
      <c r="D163" t="e">
        <f t="shared" si="50"/>
        <v>#REF!</v>
      </c>
      <c r="E163" t="e">
        <f t="shared" si="51"/>
        <v>#REF!</v>
      </c>
      <c r="F163" t="e">
        <f t="shared" si="52"/>
        <v>#REF!</v>
      </c>
      <c r="G163" t="e">
        <f t="shared" si="53"/>
        <v>#REF!</v>
      </c>
      <c r="H163" t="e">
        <f t="shared" si="54"/>
        <v>#REF!</v>
      </c>
      <c r="L163" t="e">
        <f>Reflection!I163</f>
        <v>#REF!</v>
      </c>
      <c r="M163" t="e">
        <f t="shared" si="55"/>
        <v>#REF!</v>
      </c>
      <c r="N163" t="e">
        <f t="shared" si="56"/>
        <v>#REF!</v>
      </c>
      <c r="O163" t="e">
        <f t="shared" si="57"/>
        <v>#REF!</v>
      </c>
      <c r="P163" t="e">
        <f t="shared" si="58"/>
        <v>#REF!</v>
      </c>
      <c r="Q163" t="e">
        <f t="shared" si="59"/>
        <v>#REF!</v>
      </c>
      <c r="R163" t="e">
        <f t="shared" si="60"/>
        <v>#REF!</v>
      </c>
      <c r="U163">
        <f>Reflection!Q163</f>
        <v>624700000</v>
      </c>
      <c r="V163" t="str">
        <f t="shared" si="61"/>
        <v>78.2058529304276-5.60512871342967i</v>
      </c>
      <c r="W163" t="str">
        <f t="shared" si="62"/>
        <v>0.194798806606548+2.717940586091i</v>
      </c>
      <c r="X163">
        <f t="shared" si="63"/>
        <v>78.205852930427596</v>
      </c>
      <c r="Y163">
        <f t="shared" si="64"/>
        <v>5.6051287134296697</v>
      </c>
      <c r="Z163">
        <f t="shared" si="65"/>
        <v>0.194798806606548</v>
      </c>
      <c r="AA163">
        <f t="shared" si="66"/>
        <v>2.7179405860910002</v>
      </c>
      <c r="AE163" t="e">
        <f>Reflection!Y163</f>
        <v>#REF!</v>
      </c>
      <c r="AF163" t="e">
        <f>IMDIV(IMPRODUCT(IMSUB(C163,V163),IMSUB(Reflection!AB163,Reflection!D163),IMSUB(Reflection!L163,Reflection!T163)),IMPRODUCT(IMSUB(Permitivity!M163,Permitivity!V163),IMSUB(Reflection!AB163,Reflection!L163),IMSUB(Reflection!D163,Reflection!T163)))</f>
        <v>#REF!</v>
      </c>
      <c r="AG163" t="e">
        <f t="shared" si="67"/>
        <v>#REF!</v>
      </c>
      <c r="AH163" t="e">
        <f t="shared" si="48"/>
        <v>#REF!</v>
      </c>
      <c r="AI163" t="e">
        <f t="shared" si="68"/>
        <v>#REF!</v>
      </c>
      <c r="AJ163" t="e">
        <f t="shared" si="69"/>
        <v>#REF!</v>
      </c>
      <c r="AK163" t="e">
        <f t="shared" si="70"/>
        <v>#REF!</v>
      </c>
      <c r="AL163" t="e">
        <f t="shared" si="71"/>
        <v>#REF!</v>
      </c>
    </row>
    <row r="164" spans="2:38" x14ac:dyDescent="0.15">
      <c r="B164" t="e">
        <f>Experiment!#REF!</f>
        <v>#REF!</v>
      </c>
      <c r="C164" t="e">
        <f t="shared" si="49"/>
        <v>#REF!</v>
      </c>
      <c r="D164" t="e">
        <f t="shared" si="50"/>
        <v>#REF!</v>
      </c>
      <c r="E164" t="e">
        <f t="shared" si="51"/>
        <v>#REF!</v>
      </c>
      <c r="F164" t="e">
        <f t="shared" si="52"/>
        <v>#REF!</v>
      </c>
      <c r="G164" t="e">
        <f t="shared" si="53"/>
        <v>#REF!</v>
      </c>
      <c r="H164" t="e">
        <f t="shared" si="54"/>
        <v>#REF!</v>
      </c>
      <c r="L164" t="e">
        <f>Reflection!I164</f>
        <v>#REF!</v>
      </c>
      <c r="M164" t="e">
        <f t="shared" si="55"/>
        <v>#REF!</v>
      </c>
      <c r="N164" t="e">
        <f t="shared" si="56"/>
        <v>#REF!</v>
      </c>
      <c r="O164" t="e">
        <f t="shared" si="57"/>
        <v>#REF!</v>
      </c>
      <c r="P164" t="e">
        <f t="shared" si="58"/>
        <v>#REF!</v>
      </c>
      <c r="Q164" t="e">
        <f t="shared" si="59"/>
        <v>#REF!</v>
      </c>
      <c r="R164" t="e">
        <f t="shared" si="60"/>
        <v>#REF!</v>
      </c>
      <c r="U164">
        <f>Reflection!Q164</f>
        <v>650400000</v>
      </c>
      <c r="V164" t="str">
        <f t="shared" si="61"/>
        <v>78.1993517041928-5.5736085219004i</v>
      </c>
      <c r="W164" t="str">
        <f t="shared" si="62"/>
        <v>0.20167227161015+2.82952073771561i</v>
      </c>
      <c r="X164">
        <f t="shared" si="63"/>
        <v>78.199351704192793</v>
      </c>
      <c r="Y164">
        <f t="shared" si="64"/>
        <v>5.5736085219004003</v>
      </c>
      <c r="Z164">
        <f t="shared" si="65"/>
        <v>0.20167227161015</v>
      </c>
      <c r="AA164">
        <f t="shared" si="66"/>
        <v>2.82952073771561</v>
      </c>
      <c r="AE164" t="e">
        <f>Reflection!Y164</f>
        <v>#REF!</v>
      </c>
      <c r="AF164" t="e">
        <f>IMDIV(IMPRODUCT(IMSUB(C164,V164),IMSUB(Reflection!AB164,Reflection!D164),IMSUB(Reflection!L164,Reflection!T164)),IMPRODUCT(IMSUB(Permitivity!M164,Permitivity!V164),IMSUB(Reflection!AB164,Reflection!L164),IMSUB(Reflection!D164,Reflection!T164)))</f>
        <v>#REF!</v>
      </c>
      <c r="AG164" t="e">
        <f t="shared" si="67"/>
        <v>#REF!</v>
      </c>
      <c r="AH164" t="e">
        <f t="shared" si="48"/>
        <v>#REF!</v>
      </c>
      <c r="AI164" t="e">
        <f t="shared" si="68"/>
        <v>#REF!</v>
      </c>
      <c r="AJ164" t="e">
        <f t="shared" si="69"/>
        <v>#REF!</v>
      </c>
      <c r="AK164" t="e">
        <f t="shared" si="70"/>
        <v>#REF!</v>
      </c>
      <c r="AL164" t="e">
        <f t="shared" si="71"/>
        <v>#REF!</v>
      </c>
    </row>
    <row r="165" spans="2:38" x14ac:dyDescent="0.15">
      <c r="B165" t="e">
        <f>Experiment!#REF!</f>
        <v>#REF!</v>
      </c>
      <c r="C165" t="e">
        <f t="shared" si="49"/>
        <v>#REF!</v>
      </c>
      <c r="D165" t="e">
        <f t="shared" si="50"/>
        <v>#REF!</v>
      </c>
      <c r="E165" t="e">
        <f t="shared" si="51"/>
        <v>#REF!</v>
      </c>
      <c r="F165" t="e">
        <f t="shared" si="52"/>
        <v>#REF!</v>
      </c>
      <c r="G165" t="e">
        <f t="shared" si="53"/>
        <v>#REF!</v>
      </c>
      <c r="H165" t="e">
        <f t="shared" si="54"/>
        <v>#REF!</v>
      </c>
      <c r="L165" t="e">
        <f>Reflection!I165</f>
        <v>#REF!</v>
      </c>
      <c r="M165" t="e">
        <f t="shared" si="55"/>
        <v>#REF!</v>
      </c>
      <c r="N165" t="e">
        <f t="shared" si="56"/>
        <v>#REF!</v>
      </c>
      <c r="O165" t="e">
        <f t="shared" si="57"/>
        <v>#REF!</v>
      </c>
      <c r="P165" t="e">
        <f t="shared" si="58"/>
        <v>#REF!</v>
      </c>
      <c r="Q165" t="e">
        <f t="shared" si="59"/>
        <v>#REF!</v>
      </c>
      <c r="R165" t="e">
        <f t="shared" si="60"/>
        <v>#REF!</v>
      </c>
      <c r="U165">
        <f>Reflection!Q165</f>
        <v>677100000</v>
      </c>
      <c r="V165" t="str">
        <f t="shared" si="61"/>
        <v>78.1923269776996-5.5511432041998i</v>
      </c>
      <c r="W165" t="str">
        <f t="shared" si="62"/>
        <v>0.209105011242973+2.94541264931086i</v>
      </c>
      <c r="X165">
        <f t="shared" si="63"/>
        <v>78.192326977699594</v>
      </c>
      <c r="Y165">
        <f t="shared" si="64"/>
        <v>5.5511432041997999</v>
      </c>
      <c r="Z165">
        <f t="shared" si="65"/>
        <v>0.20910501124297301</v>
      </c>
      <c r="AA165">
        <f t="shared" si="66"/>
        <v>2.9454126493108599</v>
      </c>
      <c r="AE165" t="e">
        <f>Reflection!Y165</f>
        <v>#REF!</v>
      </c>
      <c r="AF165" t="e">
        <f>IMDIV(IMPRODUCT(IMSUB(C165,V165),IMSUB(Reflection!AB165,Reflection!D165),IMSUB(Reflection!L165,Reflection!T165)),IMPRODUCT(IMSUB(Permitivity!M165,Permitivity!V165),IMSUB(Reflection!AB165,Reflection!L165),IMSUB(Reflection!D165,Reflection!T165)))</f>
        <v>#REF!</v>
      </c>
      <c r="AG165" t="e">
        <f t="shared" si="67"/>
        <v>#REF!</v>
      </c>
      <c r="AH165" t="e">
        <f t="shared" si="48"/>
        <v>#REF!</v>
      </c>
      <c r="AI165" t="e">
        <f t="shared" si="68"/>
        <v>#REF!</v>
      </c>
      <c r="AJ165" t="e">
        <f t="shared" si="69"/>
        <v>#REF!</v>
      </c>
      <c r="AK165" t="e">
        <f t="shared" si="70"/>
        <v>#REF!</v>
      </c>
      <c r="AL165" t="e">
        <f t="shared" si="71"/>
        <v>#REF!</v>
      </c>
    </row>
    <row r="166" spans="2:38" x14ac:dyDescent="0.15">
      <c r="B166" t="e">
        <f>Experiment!#REF!</f>
        <v>#REF!</v>
      </c>
      <c r="C166" t="e">
        <f t="shared" si="49"/>
        <v>#REF!</v>
      </c>
      <c r="D166" t="e">
        <f t="shared" si="50"/>
        <v>#REF!</v>
      </c>
      <c r="E166" t="e">
        <f t="shared" si="51"/>
        <v>#REF!</v>
      </c>
      <c r="F166" t="e">
        <f t="shared" si="52"/>
        <v>#REF!</v>
      </c>
      <c r="G166" t="e">
        <f t="shared" si="53"/>
        <v>#REF!</v>
      </c>
      <c r="H166" t="e">
        <f t="shared" si="54"/>
        <v>#REF!</v>
      </c>
      <c r="L166" t="e">
        <f>Reflection!I166</f>
        <v>#REF!</v>
      </c>
      <c r="M166" t="e">
        <f t="shared" si="55"/>
        <v>#REF!</v>
      </c>
      <c r="N166" t="e">
        <f t="shared" si="56"/>
        <v>#REF!</v>
      </c>
      <c r="O166" t="e">
        <f t="shared" si="57"/>
        <v>#REF!</v>
      </c>
      <c r="P166" t="e">
        <f t="shared" si="58"/>
        <v>#REF!</v>
      </c>
      <c r="Q166" t="e">
        <f t="shared" si="59"/>
        <v>#REF!</v>
      </c>
      <c r="R166" t="e">
        <f t="shared" si="60"/>
        <v>#REF!</v>
      </c>
      <c r="U166">
        <f>Reflection!Q166</f>
        <v>704800000</v>
      </c>
      <c r="V166" t="str">
        <f t="shared" si="61"/>
        <v>78.1847479626157-5.53764662098797i</v>
      </c>
      <c r="W166" t="str">
        <f t="shared" si="62"/>
        <v>0.217130248637948+3.06561160845422i</v>
      </c>
      <c r="X166">
        <f t="shared" si="63"/>
        <v>78.184747962615702</v>
      </c>
      <c r="Y166">
        <f t="shared" si="64"/>
        <v>5.53764662098797</v>
      </c>
      <c r="Z166">
        <f t="shared" si="65"/>
        <v>0.217130248637948</v>
      </c>
      <c r="AA166">
        <f t="shared" si="66"/>
        <v>3.06561160845422</v>
      </c>
      <c r="AE166" t="e">
        <f>Reflection!Y166</f>
        <v>#REF!</v>
      </c>
      <c r="AF166" t="e">
        <f>IMDIV(IMPRODUCT(IMSUB(C166,V166),IMSUB(Reflection!AB166,Reflection!D166),IMSUB(Reflection!L166,Reflection!T166)),IMPRODUCT(IMSUB(Permitivity!M166,Permitivity!V166),IMSUB(Reflection!AB166,Reflection!L166),IMSUB(Reflection!D166,Reflection!T166)))</f>
        <v>#REF!</v>
      </c>
      <c r="AG166" t="e">
        <f t="shared" si="67"/>
        <v>#REF!</v>
      </c>
      <c r="AH166" t="e">
        <f t="shared" si="48"/>
        <v>#REF!</v>
      </c>
      <c r="AI166" t="e">
        <f t="shared" si="68"/>
        <v>#REF!</v>
      </c>
      <c r="AJ166" t="e">
        <f t="shared" si="69"/>
        <v>#REF!</v>
      </c>
      <c r="AK166" t="e">
        <f t="shared" si="70"/>
        <v>#REF!</v>
      </c>
      <c r="AL166" t="e">
        <f t="shared" si="71"/>
        <v>#REF!</v>
      </c>
    </row>
    <row r="167" spans="2:38" x14ac:dyDescent="0.15">
      <c r="B167" t="e">
        <f>Experiment!#REF!</f>
        <v>#REF!</v>
      </c>
      <c r="C167" t="e">
        <f t="shared" si="49"/>
        <v>#REF!</v>
      </c>
      <c r="D167" t="e">
        <f t="shared" si="50"/>
        <v>#REF!</v>
      </c>
      <c r="E167" t="e">
        <f t="shared" si="51"/>
        <v>#REF!</v>
      </c>
      <c r="F167" t="e">
        <f t="shared" si="52"/>
        <v>#REF!</v>
      </c>
      <c r="G167" t="e">
        <f t="shared" si="53"/>
        <v>#REF!</v>
      </c>
      <c r="H167" t="e">
        <f t="shared" si="54"/>
        <v>#REF!</v>
      </c>
      <c r="L167" t="e">
        <f>Reflection!I167</f>
        <v>#REF!</v>
      </c>
      <c r="M167" t="e">
        <f t="shared" si="55"/>
        <v>#REF!</v>
      </c>
      <c r="N167" t="e">
        <f t="shared" si="56"/>
        <v>#REF!</v>
      </c>
      <c r="O167" t="e">
        <f t="shared" si="57"/>
        <v>#REF!</v>
      </c>
      <c r="P167" t="e">
        <f t="shared" si="58"/>
        <v>#REF!</v>
      </c>
      <c r="Q167" t="e">
        <f t="shared" si="59"/>
        <v>#REF!</v>
      </c>
      <c r="R167" t="e">
        <f t="shared" si="60"/>
        <v>#REF!</v>
      </c>
      <c r="U167">
        <f>Reflection!Q167</f>
        <v>733800000</v>
      </c>
      <c r="V167" t="str">
        <f t="shared" si="61"/>
        <v>78.1764957296877-5.53299921192586i</v>
      </c>
      <c r="W167" t="str">
        <f t="shared" si="62"/>
        <v>0.225874659976087+3.19141368265603i</v>
      </c>
      <c r="X167">
        <f t="shared" si="63"/>
        <v>78.176495729687701</v>
      </c>
      <c r="Y167">
        <f t="shared" si="64"/>
        <v>5.5329992119258602</v>
      </c>
      <c r="Z167">
        <f t="shared" si="65"/>
        <v>0.22587465997608699</v>
      </c>
      <c r="AA167">
        <f t="shared" si="66"/>
        <v>3.1914136826560302</v>
      </c>
      <c r="AE167" t="e">
        <f>Reflection!Y167</f>
        <v>#REF!</v>
      </c>
      <c r="AF167" t="e">
        <f>IMDIV(IMPRODUCT(IMSUB(C167,V167),IMSUB(Reflection!AB167,Reflection!D167),IMSUB(Reflection!L167,Reflection!T167)),IMPRODUCT(IMSUB(Permitivity!M167,Permitivity!V167),IMSUB(Reflection!AB167,Reflection!L167),IMSUB(Reflection!D167,Reflection!T167)))</f>
        <v>#REF!</v>
      </c>
      <c r="AG167" t="e">
        <f t="shared" si="67"/>
        <v>#REF!</v>
      </c>
      <c r="AH167" t="e">
        <f t="shared" si="48"/>
        <v>#REF!</v>
      </c>
      <c r="AI167" t="e">
        <f t="shared" si="68"/>
        <v>#REF!</v>
      </c>
      <c r="AJ167" t="e">
        <f t="shared" si="69"/>
        <v>#REF!</v>
      </c>
      <c r="AK167" t="e">
        <f t="shared" si="70"/>
        <v>#REF!</v>
      </c>
      <c r="AL167" t="e">
        <f t="shared" si="71"/>
        <v>#REF!</v>
      </c>
    </row>
    <row r="168" spans="2:38" x14ac:dyDescent="0.15">
      <c r="B168" t="e">
        <f>Experiment!#REF!</f>
        <v>#REF!</v>
      </c>
      <c r="C168" t="e">
        <f t="shared" si="49"/>
        <v>#REF!</v>
      </c>
      <c r="D168" t="e">
        <f t="shared" si="50"/>
        <v>#REF!</v>
      </c>
      <c r="E168" t="e">
        <f t="shared" si="51"/>
        <v>#REF!</v>
      </c>
      <c r="F168" t="e">
        <f t="shared" si="52"/>
        <v>#REF!</v>
      </c>
      <c r="G168" t="e">
        <f t="shared" si="53"/>
        <v>#REF!</v>
      </c>
      <c r="H168" t="e">
        <f t="shared" si="54"/>
        <v>#REF!</v>
      </c>
      <c r="L168" t="e">
        <f>Reflection!I168</f>
        <v>#REF!</v>
      </c>
      <c r="M168" t="e">
        <f t="shared" si="55"/>
        <v>#REF!</v>
      </c>
      <c r="N168" t="e">
        <f t="shared" si="56"/>
        <v>#REF!</v>
      </c>
      <c r="O168" t="e">
        <f t="shared" si="57"/>
        <v>#REF!</v>
      </c>
      <c r="P168" t="e">
        <f t="shared" si="58"/>
        <v>#REF!</v>
      </c>
      <c r="Q168" t="e">
        <f t="shared" si="59"/>
        <v>#REF!</v>
      </c>
      <c r="R168" t="e">
        <f t="shared" si="60"/>
        <v>#REF!</v>
      </c>
      <c r="U168">
        <f>Reflection!Q168</f>
        <v>763900000</v>
      </c>
      <c r="V168" t="str">
        <f t="shared" si="61"/>
        <v>78.1675872202252-5.5372625133743i</v>
      </c>
      <c r="W168" t="str">
        <f t="shared" si="62"/>
        <v>0.235321072630979+3.32194481031202i</v>
      </c>
      <c r="X168">
        <f t="shared" si="63"/>
        <v>78.167587220225201</v>
      </c>
      <c r="Y168">
        <f t="shared" si="64"/>
        <v>5.5372625133742996</v>
      </c>
      <c r="Z168">
        <f t="shared" si="65"/>
        <v>0.23532107263097901</v>
      </c>
      <c r="AA168">
        <f t="shared" si="66"/>
        <v>3.3219448103120199</v>
      </c>
      <c r="AE168" t="e">
        <f>Reflection!Y168</f>
        <v>#REF!</v>
      </c>
      <c r="AF168" t="e">
        <f>IMDIV(IMPRODUCT(IMSUB(C168,V168),IMSUB(Reflection!AB168,Reflection!D168),IMSUB(Reflection!L168,Reflection!T168)),IMPRODUCT(IMSUB(Permitivity!M168,Permitivity!V168),IMSUB(Reflection!AB168,Reflection!L168),IMSUB(Reflection!D168,Reflection!T168)))</f>
        <v>#REF!</v>
      </c>
      <c r="AG168" t="e">
        <f t="shared" si="67"/>
        <v>#REF!</v>
      </c>
      <c r="AH168" t="e">
        <f t="shared" si="48"/>
        <v>#REF!</v>
      </c>
      <c r="AI168" t="e">
        <f t="shared" si="68"/>
        <v>#REF!</v>
      </c>
      <c r="AJ168" t="e">
        <f t="shared" si="69"/>
        <v>#REF!</v>
      </c>
      <c r="AK168" t="e">
        <f t="shared" si="70"/>
        <v>#REF!</v>
      </c>
      <c r="AL168" t="e">
        <f t="shared" si="71"/>
        <v>#REF!</v>
      </c>
    </row>
    <row r="169" spans="2:38" x14ac:dyDescent="0.15">
      <c r="B169" t="e">
        <f>Experiment!#REF!</f>
        <v>#REF!</v>
      </c>
      <c r="C169" t="e">
        <f t="shared" si="49"/>
        <v>#REF!</v>
      </c>
      <c r="D169" t="e">
        <f t="shared" si="50"/>
        <v>#REF!</v>
      </c>
      <c r="E169" t="e">
        <f t="shared" si="51"/>
        <v>#REF!</v>
      </c>
      <c r="F169" t="e">
        <f t="shared" si="52"/>
        <v>#REF!</v>
      </c>
      <c r="G169" t="e">
        <f t="shared" si="53"/>
        <v>#REF!</v>
      </c>
      <c r="H169" t="e">
        <f t="shared" si="54"/>
        <v>#REF!</v>
      </c>
      <c r="L169" t="e">
        <f>Reflection!I169</f>
        <v>#REF!</v>
      </c>
      <c r="M169" t="e">
        <f t="shared" si="55"/>
        <v>#REF!</v>
      </c>
      <c r="N169" t="e">
        <f t="shared" si="56"/>
        <v>#REF!</v>
      </c>
      <c r="O169" t="e">
        <f t="shared" si="57"/>
        <v>#REF!</v>
      </c>
      <c r="P169" t="e">
        <f t="shared" si="58"/>
        <v>#REF!</v>
      </c>
      <c r="Q169" t="e">
        <f t="shared" si="59"/>
        <v>#REF!</v>
      </c>
      <c r="R169" t="e">
        <f t="shared" si="60"/>
        <v>#REF!</v>
      </c>
      <c r="U169">
        <f>Reflection!Q169</f>
        <v>795300000</v>
      </c>
      <c r="V169" t="str">
        <f t="shared" si="61"/>
        <v>78.1579216307993-5.55044486683226i</v>
      </c>
      <c r="W169" t="str">
        <f t="shared" si="62"/>
        <v>0.245577159418417+3.45806522551645i</v>
      </c>
      <c r="X169">
        <f t="shared" si="63"/>
        <v>78.157921630799294</v>
      </c>
      <c r="Y169">
        <f t="shared" si="64"/>
        <v>5.5504448668322599</v>
      </c>
      <c r="Z169">
        <f t="shared" si="65"/>
        <v>0.24557715941841701</v>
      </c>
      <c r="AA169">
        <f t="shared" si="66"/>
        <v>3.4580652255164499</v>
      </c>
      <c r="AE169" t="e">
        <f>Reflection!Y169</f>
        <v>#REF!</v>
      </c>
      <c r="AF169" t="e">
        <f>IMDIV(IMPRODUCT(IMSUB(C169,V169),IMSUB(Reflection!AB169,Reflection!D169),IMSUB(Reflection!L169,Reflection!T169)),IMPRODUCT(IMSUB(Permitivity!M169,Permitivity!V169),IMSUB(Reflection!AB169,Reflection!L169),IMSUB(Reflection!D169,Reflection!T169)))</f>
        <v>#REF!</v>
      </c>
      <c r="AG169" t="e">
        <f t="shared" si="67"/>
        <v>#REF!</v>
      </c>
      <c r="AH169" t="e">
        <f t="shared" si="48"/>
        <v>#REF!</v>
      </c>
      <c r="AI169" t="e">
        <f t="shared" si="68"/>
        <v>#REF!</v>
      </c>
      <c r="AJ169" t="e">
        <f t="shared" si="69"/>
        <v>#REF!</v>
      </c>
      <c r="AK169" t="e">
        <f t="shared" si="70"/>
        <v>#REF!</v>
      </c>
      <c r="AL169" t="e">
        <f t="shared" si="71"/>
        <v>#REF!</v>
      </c>
    </row>
    <row r="170" spans="2:38" x14ac:dyDescent="0.15">
      <c r="B170" t="e">
        <f>Experiment!#REF!</f>
        <v>#REF!</v>
      </c>
      <c r="C170" t="e">
        <f t="shared" si="49"/>
        <v>#REF!</v>
      </c>
      <c r="D170" t="e">
        <f t="shared" si="50"/>
        <v>#REF!</v>
      </c>
      <c r="E170" t="e">
        <f t="shared" si="51"/>
        <v>#REF!</v>
      </c>
      <c r="F170" t="e">
        <f t="shared" si="52"/>
        <v>#REF!</v>
      </c>
      <c r="G170" t="e">
        <f t="shared" si="53"/>
        <v>#REF!</v>
      </c>
      <c r="H170" t="e">
        <f t="shared" si="54"/>
        <v>#REF!</v>
      </c>
      <c r="L170" t="e">
        <f>Reflection!I170</f>
        <v>#REF!</v>
      </c>
      <c r="M170" t="e">
        <f t="shared" si="55"/>
        <v>#REF!</v>
      </c>
      <c r="N170" t="e">
        <f t="shared" si="56"/>
        <v>#REF!</v>
      </c>
      <c r="O170" t="e">
        <f t="shared" si="57"/>
        <v>#REF!</v>
      </c>
      <c r="P170" t="e">
        <f t="shared" si="58"/>
        <v>#REF!</v>
      </c>
      <c r="Q170" t="e">
        <f t="shared" si="59"/>
        <v>#REF!</v>
      </c>
      <c r="R170" t="e">
        <f t="shared" si="60"/>
        <v>#REF!</v>
      </c>
      <c r="U170">
        <f>Reflection!Q170</f>
        <v>827900000</v>
      </c>
      <c r="V170" t="str">
        <f t="shared" si="61"/>
        <v>78.1474847347276-5.5724879278449i</v>
      </c>
      <c r="W170" t="str">
        <f t="shared" si="62"/>
        <v>0.256658832806926+3.59933345366065i</v>
      </c>
      <c r="X170">
        <f t="shared" si="63"/>
        <v>78.147484734727598</v>
      </c>
      <c r="Y170">
        <f t="shared" si="64"/>
        <v>5.5724879278449002</v>
      </c>
      <c r="Z170">
        <f t="shared" si="65"/>
        <v>0.25665883280692597</v>
      </c>
      <c r="AA170">
        <f t="shared" si="66"/>
        <v>3.5993334536606501</v>
      </c>
      <c r="AE170" t="e">
        <f>Reflection!Y170</f>
        <v>#REF!</v>
      </c>
      <c r="AF170" t="e">
        <f>IMDIV(IMPRODUCT(IMSUB(C170,V170),IMSUB(Reflection!AB170,Reflection!D170),IMSUB(Reflection!L170,Reflection!T170)),IMPRODUCT(IMSUB(Permitivity!M170,Permitivity!V170),IMSUB(Reflection!AB170,Reflection!L170),IMSUB(Reflection!D170,Reflection!T170)))</f>
        <v>#REF!</v>
      </c>
      <c r="AG170" t="e">
        <f t="shared" si="67"/>
        <v>#REF!</v>
      </c>
      <c r="AH170" t="e">
        <f t="shared" si="48"/>
        <v>#REF!</v>
      </c>
      <c r="AI170" t="e">
        <f t="shared" si="68"/>
        <v>#REF!</v>
      </c>
      <c r="AJ170" t="e">
        <f t="shared" si="69"/>
        <v>#REF!</v>
      </c>
      <c r="AK170" t="e">
        <f t="shared" si="70"/>
        <v>#REF!</v>
      </c>
      <c r="AL170" t="e">
        <f t="shared" si="71"/>
        <v>#REF!</v>
      </c>
    </row>
    <row r="171" spans="2:38" x14ac:dyDescent="0.15">
      <c r="B171" t="e">
        <f>Experiment!#REF!</f>
        <v>#REF!</v>
      </c>
      <c r="C171" t="e">
        <f t="shared" si="49"/>
        <v>#REF!</v>
      </c>
      <c r="D171" t="e">
        <f t="shared" si="50"/>
        <v>#REF!</v>
      </c>
      <c r="E171" t="e">
        <f t="shared" si="51"/>
        <v>#REF!</v>
      </c>
      <c r="F171" t="e">
        <f t="shared" si="52"/>
        <v>#REF!</v>
      </c>
      <c r="G171" t="e">
        <f t="shared" si="53"/>
        <v>#REF!</v>
      </c>
      <c r="H171" t="e">
        <f t="shared" si="54"/>
        <v>#REF!</v>
      </c>
      <c r="L171" t="e">
        <f>Reflection!I171</f>
        <v>#REF!</v>
      </c>
      <c r="M171" t="e">
        <f t="shared" si="55"/>
        <v>#REF!</v>
      </c>
      <c r="N171" t="e">
        <f t="shared" si="56"/>
        <v>#REF!</v>
      </c>
      <c r="O171" t="e">
        <f t="shared" si="57"/>
        <v>#REF!</v>
      </c>
      <c r="P171" t="e">
        <f t="shared" si="58"/>
        <v>#REF!</v>
      </c>
      <c r="Q171" t="e">
        <f t="shared" si="59"/>
        <v>#REF!</v>
      </c>
      <c r="R171" t="e">
        <f t="shared" si="60"/>
        <v>#REF!</v>
      </c>
      <c r="U171">
        <f>Reflection!Q171</f>
        <v>861900000</v>
      </c>
      <c r="V171" t="str">
        <f t="shared" si="61"/>
        <v>78.136163824971-5.6035074658391i</v>
      </c>
      <c r="W171" t="str">
        <f t="shared" si="62"/>
        <v>0.268686614783963+3.74660718814494i</v>
      </c>
      <c r="X171">
        <f t="shared" si="63"/>
        <v>78.136163824971007</v>
      </c>
      <c r="Y171">
        <f t="shared" si="64"/>
        <v>5.6035074658391002</v>
      </c>
      <c r="Z171">
        <f t="shared" si="65"/>
        <v>0.268686614783963</v>
      </c>
      <c r="AA171">
        <f t="shared" si="66"/>
        <v>3.7466071881449401</v>
      </c>
      <c r="AE171" t="e">
        <f>Reflection!Y171</f>
        <v>#REF!</v>
      </c>
      <c r="AF171" t="e">
        <f>IMDIV(IMPRODUCT(IMSUB(C171,V171),IMSUB(Reflection!AB171,Reflection!D171),IMSUB(Reflection!L171,Reflection!T171)),IMPRODUCT(IMSUB(Permitivity!M171,Permitivity!V171),IMSUB(Reflection!AB171,Reflection!L171),IMSUB(Reflection!D171,Reflection!T171)))</f>
        <v>#REF!</v>
      </c>
      <c r="AG171" t="e">
        <f t="shared" si="67"/>
        <v>#REF!</v>
      </c>
      <c r="AH171" t="e">
        <f t="shared" si="48"/>
        <v>#REF!</v>
      </c>
      <c r="AI171" t="e">
        <f t="shared" si="68"/>
        <v>#REF!</v>
      </c>
      <c r="AJ171" t="e">
        <f t="shared" si="69"/>
        <v>#REF!</v>
      </c>
      <c r="AK171" t="e">
        <f t="shared" si="70"/>
        <v>#REF!</v>
      </c>
      <c r="AL171" t="e">
        <f t="shared" si="71"/>
        <v>#REF!</v>
      </c>
    </row>
    <row r="172" spans="2:38" x14ac:dyDescent="0.15">
      <c r="B172" t="e">
        <f>Experiment!#REF!</f>
        <v>#REF!</v>
      </c>
      <c r="C172" t="e">
        <f t="shared" si="49"/>
        <v>#REF!</v>
      </c>
      <c r="D172" t="e">
        <f t="shared" si="50"/>
        <v>#REF!</v>
      </c>
      <c r="E172" t="e">
        <f t="shared" si="51"/>
        <v>#REF!</v>
      </c>
      <c r="F172" t="e">
        <f t="shared" si="52"/>
        <v>#REF!</v>
      </c>
      <c r="G172" t="e">
        <f t="shared" si="53"/>
        <v>#REF!</v>
      </c>
      <c r="H172" t="e">
        <f t="shared" si="54"/>
        <v>#REF!</v>
      </c>
      <c r="L172" t="e">
        <f>Reflection!I172</f>
        <v>#REF!</v>
      </c>
      <c r="M172" t="e">
        <f t="shared" si="55"/>
        <v>#REF!</v>
      </c>
      <c r="N172" t="e">
        <f t="shared" si="56"/>
        <v>#REF!</v>
      </c>
      <c r="O172" t="e">
        <f t="shared" si="57"/>
        <v>#REF!</v>
      </c>
      <c r="P172" t="e">
        <f t="shared" si="58"/>
        <v>#REF!</v>
      </c>
      <c r="Q172" t="e">
        <f t="shared" si="59"/>
        <v>#REF!</v>
      </c>
      <c r="R172" t="e">
        <f t="shared" si="60"/>
        <v>#REF!</v>
      </c>
      <c r="U172">
        <f>Reflection!Q172</f>
        <v>897300000</v>
      </c>
      <c r="V172" t="str">
        <f t="shared" si="61"/>
        <v>78.1239044107852-5.64351605325596i</v>
      </c>
      <c r="W172" t="str">
        <f t="shared" si="62"/>
        <v>0.281719318107586+3.89987604727567i</v>
      </c>
      <c r="X172">
        <f t="shared" si="63"/>
        <v>78.123904410785201</v>
      </c>
      <c r="Y172">
        <f t="shared" si="64"/>
        <v>5.6435160532559596</v>
      </c>
      <c r="Z172">
        <f t="shared" si="65"/>
        <v>0.28171931810758599</v>
      </c>
      <c r="AA172">
        <f t="shared" si="66"/>
        <v>3.8998760472756699</v>
      </c>
      <c r="AE172" t="e">
        <f>Reflection!Y172</f>
        <v>#REF!</v>
      </c>
      <c r="AF172" t="e">
        <f>IMDIV(IMPRODUCT(IMSUB(C172,V172),IMSUB(Reflection!AB172,Reflection!D172),IMSUB(Reflection!L172,Reflection!T172)),IMPRODUCT(IMSUB(Permitivity!M172,Permitivity!V172),IMSUB(Reflection!AB172,Reflection!L172),IMSUB(Reflection!D172,Reflection!T172)))</f>
        <v>#REF!</v>
      </c>
      <c r="AG172" t="e">
        <f t="shared" si="67"/>
        <v>#REF!</v>
      </c>
      <c r="AH172" t="e">
        <f t="shared" si="48"/>
        <v>#REF!</v>
      </c>
      <c r="AI172" t="e">
        <f t="shared" si="68"/>
        <v>#REF!</v>
      </c>
      <c r="AJ172" t="e">
        <f t="shared" si="69"/>
        <v>#REF!</v>
      </c>
      <c r="AK172" t="e">
        <f t="shared" si="70"/>
        <v>#REF!</v>
      </c>
      <c r="AL172" t="e">
        <f t="shared" si="71"/>
        <v>#REF!</v>
      </c>
    </row>
    <row r="173" spans="2:38" x14ac:dyDescent="0.15">
      <c r="B173" t="e">
        <f>Experiment!#REF!</f>
        <v>#REF!</v>
      </c>
      <c r="C173" t="e">
        <f t="shared" si="49"/>
        <v>#REF!</v>
      </c>
      <c r="D173" t="e">
        <f t="shared" si="50"/>
        <v>#REF!</v>
      </c>
      <c r="E173" t="e">
        <f t="shared" si="51"/>
        <v>#REF!</v>
      </c>
      <c r="F173" t="e">
        <f t="shared" si="52"/>
        <v>#REF!</v>
      </c>
      <c r="G173" t="e">
        <f t="shared" si="53"/>
        <v>#REF!</v>
      </c>
      <c r="H173" t="e">
        <f t="shared" si="54"/>
        <v>#REF!</v>
      </c>
      <c r="L173" t="e">
        <f>Reflection!I173</f>
        <v>#REF!</v>
      </c>
      <c r="M173" t="e">
        <f t="shared" si="55"/>
        <v>#REF!</v>
      </c>
      <c r="N173" t="e">
        <f t="shared" si="56"/>
        <v>#REF!</v>
      </c>
      <c r="O173" t="e">
        <f t="shared" si="57"/>
        <v>#REF!</v>
      </c>
      <c r="P173" t="e">
        <f t="shared" si="58"/>
        <v>#REF!</v>
      </c>
      <c r="Q173" t="e">
        <f t="shared" si="59"/>
        <v>#REF!</v>
      </c>
      <c r="R173" t="e">
        <f t="shared" si="60"/>
        <v>#REF!</v>
      </c>
      <c r="U173">
        <f>Reflection!Q173</f>
        <v>934100000</v>
      </c>
      <c r="V173" t="str">
        <f t="shared" si="61"/>
        <v>78.1106498738243-5.69248781510335i</v>
      </c>
      <c r="W173" t="str">
        <f t="shared" si="62"/>
        <v>0.295818055348999+4.05912867945274i</v>
      </c>
      <c r="X173">
        <f t="shared" si="63"/>
        <v>78.1106498738243</v>
      </c>
      <c r="Y173">
        <f t="shared" si="64"/>
        <v>5.69248781510335</v>
      </c>
      <c r="Z173">
        <f t="shared" si="65"/>
        <v>0.29581805534899902</v>
      </c>
      <c r="AA173">
        <f t="shared" si="66"/>
        <v>4.0591286794527397</v>
      </c>
      <c r="AE173" t="e">
        <f>Reflection!Y173</f>
        <v>#REF!</v>
      </c>
      <c r="AF173" t="e">
        <f>IMDIV(IMPRODUCT(IMSUB(C173,V173),IMSUB(Reflection!AB173,Reflection!D173),IMSUB(Reflection!L173,Reflection!T173)),IMPRODUCT(IMSUB(Permitivity!M173,Permitivity!V173),IMSUB(Reflection!AB173,Reflection!L173),IMSUB(Reflection!D173,Reflection!T173)))</f>
        <v>#REF!</v>
      </c>
      <c r="AG173" t="e">
        <f t="shared" si="67"/>
        <v>#REF!</v>
      </c>
      <c r="AH173" t="e">
        <f t="shared" si="48"/>
        <v>#REF!</v>
      </c>
      <c r="AI173" t="e">
        <f t="shared" si="68"/>
        <v>#REF!</v>
      </c>
      <c r="AJ173" t="e">
        <f t="shared" si="69"/>
        <v>#REF!</v>
      </c>
      <c r="AK173" t="e">
        <f t="shared" si="70"/>
        <v>#REF!</v>
      </c>
      <c r="AL173" t="e">
        <f t="shared" si="71"/>
        <v>#REF!</v>
      </c>
    </row>
    <row r="174" spans="2:38" x14ac:dyDescent="0.15">
      <c r="B174" t="e">
        <f>Experiment!#REF!</f>
        <v>#REF!</v>
      </c>
      <c r="C174" t="e">
        <f t="shared" si="49"/>
        <v>#REF!</v>
      </c>
      <c r="D174" t="e">
        <f t="shared" si="50"/>
        <v>#REF!</v>
      </c>
      <c r="E174" t="e">
        <f t="shared" si="51"/>
        <v>#REF!</v>
      </c>
      <c r="F174" t="e">
        <f t="shared" si="52"/>
        <v>#REF!</v>
      </c>
      <c r="G174" t="e">
        <f t="shared" si="53"/>
        <v>#REF!</v>
      </c>
      <c r="H174" t="e">
        <f t="shared" si="54"/>
        <v>#REF!</v>
      </c>
      <c r="L174" t="e">
        <f>Reflection!I174</f>
        <v>#REF!</v>
      </c>
      <c r="M174" t="e">
        <f t="shared" si="55"/>
        <v>#REF!</v>
      </c>
      <c r="N174" t="e">
        <f t="shared" si="56"/>
        <v>#REF!</v>
      </c>
      <c r="O174" t="e">
        <f t="shared" si="57"/>
        <v>#REF!</v>
      </c>
      <c r="P174" t="e">
        <f t="shared" si="58"/>
        <v>#REF!</v>
      </c>
      <c r="Q174" t="e">
        <f t="shared" si="59"/>
        <v>#REF!</v>
      </c>
      <c r="R174" t="e">
        <f t="shared" si="60"/>
        <v>#REF!</v>
      </c>
      <c r="U174">
        <f>Reflection!Q174</f>
        <v>972500000</v>
      </c>
      <c r="V174" t="str">
        <f t="shared" si="61"/>
        <v>78.0962651023152-5.75068584135305i</v>
      </c>
      <c r="W174" t="str">
        <f t="shared" si="62"/>
        <v>0.311127535492649+4.2252175067082i</v>
      </c>
      <c r="X174">
        <f t="shared" si="63"/>
        <v>78.096265102315201</v>
      </c>
      <c r="Y174">
        <f t="shared" si="64"/>
        <v>5.7506858413530502</v>
      </c>
      <c r="Z174">
        <f t="shared" si="65"/>
        <v>0.31112753549264899</v>
      </c>
      <c r="AA174">
        <f t="shared" si="66"/>
        <v>4.2252175067081996</v>
      </c>
      <c r="AE174" t="e">
        <f>Reflection!Y174</f>
        <v>#REF!</v>
      </c>
      <c r="AF174" t="e">
        <f>IMDIV(IMPRODUCT(IMSUB(C174,V174),IMSUB(Reflection!AB174,Reflection!D174),IMSUB(Reflection!L174,Reflection!T174)),IMPRODUCT(IMSUB(Permitivity!M174,Permitivity!V174),IMSUB(Reflection!AB174,Reflection!L174),IMSUB(Reflection!D174,Reflection!T174)))</f>
        <v>#REF!</v>
      </c>
      <c r="AG174" t="e">
        <f t="shared" si="67"/>
        <v>#REF!</v>
      </c>
      <c r="AH174" t="e">
        <f t="shared" si="48"/>
        <v>#REF!</v>
      </c>
      <c r="AI174" t="e">
        <f t="shared" si="68"/>
        <v>#REF!</v>
      </c>
      <c r="AJ174" t="e">
        <f t="shared" si="69"/>
        <v>#REF!</v>
      </c>
      <c r="AK174" t="e">
        <f t="shared" si="70"/>
        <v>#REF!</v>
      </c>
      <c r="AL174" t="e">
        <f t="shared" si="71"/>
        <v>#REF!</v>
      </c>
    </row>
    <row r="175" spans="2:38" x14ac:dyDescent="0.15">
      <c r="B175" t="e">
        <f>Experiment!#REF!</f>
        <v>#REF!</v>
      </c>
      <c r="C175" t="e">
        <f t="shared" si="49"/>
        <v>#REF!</v>
      </c>
      <c r="D175" t="e">
        <f t="shared" si="50"/>
        <v>#REF!</v>
      </c>
      <c r="E175" t="e">
        <f t="shared" si="51"/>
        <v>#REF!</v>
      </c>
      <c r="F175" t="e">
        <f t="shared" si="52"/>
        <v>#REF!</v>
      </c>
      <c r="G175" t="e">
        <f t="shared" si="53"/>
        <v>#REF!</v>
      </c>
      <c r="H175" t="e">
        <f t="shared" si="54"/>
        <v>#REF!</v>
      </c>
      <c r="L175" t="e">
        <f>Reflection!I175</f>
        <v>#REF!</v>
      </c>
      <c r="M175" t="e">
        <f t="shared" si="55"/>
        <v>#REF!</v>
      </c>
      <c r="N175" t="e">
        <f t="shared" si="56"/>
        <v>#REF!</v>
      </c>
      <c r="O175" t="e">
        <f t="shared" si="57"/>
        <v>#REF!</v>
      </c>
      <c r="P175" t="e">
        <f t="shared" si="58"/>
        <v>#REF!</v>
      </c>
      <c r="Q175" t="e">
        <f t="shared" si="59"/>
        <v>#REF!</v>
      </c>
      <c r="R175" t="e">
        <f t="shared" si="60"/>
        <v>#REF!</v>
      </c>
      <c r="U175">
        <f>Reflection!Q175</f>
        <v>1012400000</v>
      </c>
      <c r="V175" t="str">
        <f t="shared" si="61"/>
        <v>78.0807198640634-5.81794856122256i</v>
      </c>
      <c r="W175" t="str">
        <f t="shared" si="62"/>
        <v>0.32768096178159+4.39769535815193i</v>
      </c>
      <c r="X175">
        <f t="shared" si="63"/>
        <v>78.080719864063397</v>
      </c>
      <c r="Y175">
        <f t="shared" si="64"/>
        <v>5.8179485612225603</v>
      </c>
      <c r="Z175">
        <f t="shared" si="65"/>
        <v>0.32768096178159001</v>
      </c>
      <c r="AA175">
        <f t="shared" si="66"/>
        <v>4.39769535815193</v>
      </c>
      <c r="AE175" t="e">
        <f>Reflection!Y175</f>
        <v>#REF!</v>
      </c>
      <c r="AF175" t="e">
        <f>IMDIV(IMPRODUCT(IMSUB(C175,V175),IMSUB(Reflection!AB175,Reflection!D175),IMSUB(Reflection!L175,Reflection!T175)),IMPRODUCT(IMSUB(Permitivity!M175,Permitivity!V175),IMSUB(Reflection!AB175,Reflection!L175),IMSUB(Reflection!D175,Reflection!T175)))</f>
        <v>#REF!</v>
      </c>
      <c r="AG175" t="e">
        <f t="shared" si="67"/>
        <v>#REF!</v>
      </c>
      <c r="AH175" t="e">
        <f t="shared" si="48"/>
        <v>#REF!</v>
      </c>
      <c r="AI175" t="e">
        <f t="shared" si="68"/>
        <v>#REF!</v>
      </c>
      <c r="AJ175" t="e">
        <f t="shared" si="69"/>
        <v>#REF!</v>
      </c>
      <c r="AK175" t="e">
        <f t="shared" si="70"/>
        <v>#REF!</v>
      </c>
      <c r="AL175" t="e">
        <f t="shared" si="71"/>
        <v>#REF!</v>
      </c>
    </row>
    <row r="176" spans="2:38" x14ac:dyDescent="0.15">
      <c r="B176" t="e">
        <f>Experiment!#REF!</f>
        <v>#REF!</v>
      </c>
      <c r="C176" t="e">
        <f t="shared" si="49"/>
        <v>#REF!</v>
      </c>
      <c r="D176" t="e">
        <f t="shared" si="50"/>
        <v>#REF!</v>
      </c>
      <c r="E176" t="e">
        <f t="shared" si="51"/>
        <v>#REF!</v>
      </c>
      <c r="F176" t="e">
        <f t="shared" si="52"/>
        <v>#REF!</v>
      </c>
      <c r="G176" t="e">
        <f t="shared" si="53"/>
        <v>#REF!</v>
      </c>
      <c r="H176" t="e">
        <f t="shared" si="54"/>
        <v>#REF!</v>
      </c>
      <c r="L176" t="e">
        <f>Reflection!I176</f>
        <v>#REF!</v>
      </c>
      <c r="M176" t="e">
        <f t="shared" si="55"/>
        <v>#REF!</v>
      </c>
      <c r="N176" t="e">
        <f t="shared" si="56"/>
        <v>#REF!</v>
      </c>
      <c r="O176" t="e">
        <f t="shared" si="57"/>
        <v>#REF!</v>
      </c>
      <c r="P176" t="e">
        <f t="shared" si="58"/>
        <v>#REF!</v>
      </c>
      <c r="Q176" t="e">
        <f t="shared" si="59"/>
        <v>#REF!</v>
      </c>
      <c r="R176" t="e">
        <f t="shared" si="60"/>
        <v>#REF!</v>
      </c>
      <c r="U176">
        <f>Reflection!Q176</f>
        <v>1054000000</v>
      </c>
      <c r="V176" t="str">
        <f t="shared" si="61"/>
        <v>78.0638636121373-5.89459301032534i</v>
      </c>
      <c r="W176" t="str">
        <f t="shared" si="62"/>
        <v>0.345639709685857+4.57741036719451i</v>
      </c>
      <c r="X176">
        <f t="shared" si="63"/>
        <v>78.063863612137297</v>
      </c>
      <c r="Y176">
        <f t="shared" si="64"/>
        <v>5.8945930103253401</v>
      </c>
      <c r="Z176">
        <f t="shared" si="65"/>
        <v>0.345639709685857</v>
      </c>
      <c r="AA176">
        <f t="shared" si="66"/>
        <v>4.5774103671945099</v>
      </c>
      <c r="AE176" t="e">
        <f>Reflection!Y176</f>
        <v>#REF!</v>
      </c>
      <c r="AF176" t="e">
        <f>IMDIV(IMPRODUCT(IMSUB(C176,V176),IMSUB(Reflection!AB176,Reflection!D176),IMSUB(Reflection!L176,Reflection!T176)),IMPRODUCT(IMSUB(Permitivity!M176,Permitivity!V176),IMSUB(Reflection!AB176,Reflection!L176),IMSUB(Reflection!D176,Reflection!T176)))</f>
        <v>#REF!</v>
      </c>
      <c r="AG176" t="e">
        <f t="shared" si="67"/>
        <v>#REF!</v>
      </c>
      <c r="AH176" t="e">
        <f t="shared" si="48"/>
        <v>#REF!</v>
      </c>
      <c r="AI176" t="e">
        <f t="shared" si="68"/>
        <v>#REF!</v>
      </c>
      <c r="AJ176" t="e">
        <f t="shared" si="69"/>
        <v>#REF!</v>
      </c>
      <c r="AK176" t="e">
        <f t="shared" si="70"/>
        <v>#REF!</v>
      </c>
      <c r="AL176" t="e">
        <f t="shared" si="71"/>
        <v>#REF!</v>
      </c>
    </row>
    <row r="177" spans="2:38" x14ac:dyDescent="0.15">
      <c r="B177" t="e">
        <f>Experiment!#REF!</f>
        <v>#REF!</v>
      </c>
      <c r="C177" t="e">
        <f t="shared" si="49"/>
        <v>#REF!</v>
      </c>
      <c r="D177" t="e">
        <f t="shared" si="50"/>
        <v>#REF!</v>
      </c>
      <c r="E177" t="e">
        <f t="shared" si="51"/>
        <v>#REF!</v>
      </c>
      <c r="F177" t="e">
        <f t="shared" si="52"/>
        <v>#REF!</v>
      </c>
      <c r="G177" t="e">
        <f t="shared" si="53"/>
        <v>#REF!</v>
      </c>
      <c r="H177" t="e">
        <f t="shared" si="54"/>
        <v>#REF!</v>
      </c>
      <c r="L177" t="e">
        <f>Reflection!I177</f>
        <v>#REF!</v>
      </c>
      <c r="M177" t="e">
        <f t="shared" si="55"/>
        <v>#REF!</v>
      </c>
      <c r="N177" t="e">
        <f t="shared" si="56"/>
        <v>#REF!</v>
      </c>
      <c r="O177" t="e">
        <f t="shared" si="57"/>
        <v>#REF!</v>
      </c>
      <c r="P177" t="e">
        <f t="shared" si="58"/>
        <v>#REF!</v>
      </c>
      <c r="Q177" t="e">
        <f t="shared" si="59"/>
        <v>#REF!</v>
      </c>
      <c r="R177" t="e">
        <f t="shared" si="60"/>
        <v>#REF!</v>
      </c>
      <c r="U177">
        <f>Reflection!Q177</f>
        <v>1097200000</v>
      </c>
      <c r="V177" t="str">
        <f t="shared" si="61"/>
        <v>78.0456591600267-5.98040798459692i</v>
      </c>
      <c r="W177" t="str">
        <f t="shared" si="62"/>
        <v>0.365044498441608+4.76391219077287i</v>
      </c>
      <c r="X177">
        <f t="shared" si="63"/>
        <v>78.045659160026702</v>
      </c>
      <c r="Y177">
        <f t="shared" si="64"/>
        <v>5.98040798459692</v>
      </c>
      <c r="Z177">
        <f t="shared" si="65"/>
        <v>0.36504449844160802</v>
      </c>
      <c r="AA177">
        <f t="shared" si="66"/>
        <v>4.7639121907728699</v>
      </c>
      <c r="AE177" t="e">
        <f>Reflection!Y177</f>
        <v>#REF!</v>
      </c>
      <c r="AF177" t="e">
        <f>IMDIV(IMPRODUCT(IMSUB(C177,V177),IMSUB(Reflection!AB177,Reflection!D177),IMSUB(Reflection!L177,Reflection!T177)),IMPRODUCT(IMSUB(Permitivity!M177,Permitivity!V177),IMSUB(Reflection!AB177,Reflection!L177),IMSUB(Reflection!D177,Reflection!T177)))</f>
        <v>#REF!</v>
      </c>
      <c r="AG177" t="e">
        <f t="shared" si="67"/>
        <v>#REF!</v>
      </c>
      <c r="AH177" t="e">
        <f t="shared" si="48"/>
        <v>#REF!</v>
      </c>
      <c r="AI177" t="e">
        <f t="shared" si="68"/>
        <v>#REF!</v>
      </c>
      <c r="AJ177" t="e">
        <f t="shared" si="69"/>
        <v>#REF!</v>
      </c>
      <c r="AK177" t="e">
        <f t="shared" si="70"/>
        <v>#REF!</v>
      </c>
      <c r="AL177" t="e">
        <f t="shared" si="71"/>
        <v>#REF!</v>
      </c>
    </row>
    <row r="178" spans="2:38" x14ac:dyDescent="0.15">
      <c r="B178" t="e">
        <f>Experiment!#REF!</f>
        <v>#REF!</v>
      </c>
      <c r="C178" t="e">
        <f t="shared" si="49"/>
        <v>#REF!</v>
      </c>
      <c r="D178" t="e">
        <f t="shared" si="50"/>
        <v>#REF!</v>
      </c>
      <c r="E178" t="e">
        <f t="shared" si="51"/>
        <v>#REF!</v>
      </c>
      <c r="F178" t="e">
        <f t="shared" si="52"/>
        <v>#REF!</v>
      </c>
      <c r="G178" t="e">
        <f t="shared" si="53"/>
        <v>#REF!</v>
      </c>
      <c r="H178" t="e">
        <f t="shared" si="54"/>
        <v>#REF!</v>
      </c>
      <c r="L178" t="e">
        <f>Reflection!I178</f>
        <v>#REF!</v>
      </c>
      <c r="M178" t="e">
        <f t="shared" si="55"/>
        <v>#REF!</v>
      </c>
      <c r="N178" t="e">
        <f t="shared" si="56"/>
        <v>#REF!</v>
      </c>
      <c r="O178" t="e">
        <f t="shared" si="57"/>
        <v>#REF!</v>
      </c>
      <c r="P178" t="e">
        <f t="shared" si="58"/>
        <v>#REF!</v>
      </c>
      <c r="Q178" t="e">
        <f t="shared" si="59"/>
        <v>#REF!</v>
      </c>
      <c r="R178" t="e">
        <f t="shared" si="60"/>
        <v>#REF!</v>
      </c>
      <c r="U178">
        <f>Reflection!Q178</f>
        <v>1142300000</v>
      </c>
      <c r="V178" t="str">
        <f t="shared" si="61"/>
        <v>78.0258944324914-6.07597253386562i</v>
      </c>
      <c r="W178" t="str">
        <f t="shared" si="62"/>
        <v>0.386122558128785+4.95847500801531i</v>
      </c>
      <c r="X178">
        <f t="shared" si="63"/>
        <v>78.025894432491398</v>
      </c>
      <c r="Y178">
        <f t="shared" si="64"/>
        <v>6.0759725338656203</v>
      </c>
      <c r="Z178">
        <f t="shared" si="65"/>
        <v>0.38612255812878499</v>
      </c>
      <c r="AA178">
        <f t="shared" si="66"/>
        <v>4.9584750080153102</v>
      </c>
      <c r="AE178" t="e">
        <f>Reflection!Y178</f>
        <v>#REF!</v>
      </c>
      <c r="AF178" t="e">
        <f>IMDIV(IMPRODUCT(IMSUB(C178,V178),IMSUB(Reflection!AB178,Reflection!D178),IMSUB(Reflection!L178,Reflection!T178)),IMPRODUCT(IMSUB(Permitivity!M178,Permitivity!V178),IMSUB(Reflection!AB178,Reflection!L178),IMSUB(Reflection!D178,Reflection!T178)))</f>
        <v>#REF!</v>
      </c>
      <c r="AG178" t="e">
        <f t="shared" si="67"/>
        <v>#REF!</v>
      </c>
      <c r="AH178" t="e">
        <f t="shared" si="48"/>
        <v>#REF!</v>
      </c>
      <c r="AI178" t="e">
        <f t="shared" si="68"/>
        <v>#REF!</v>
      </c>
      <c r="AJ178" t="e">
        <f t="shared" si="69"/>
        <v>#REF!</v>
      </c>
      <c r="AK178" t="e">
        <f t="shared" si="70"/>
        <v>#REF!</v>
      </c>
      <c r="AL178" t="e">
        <f t="shared" si="71"/>
        <v>#REF!</v>
      </c>
    </row>
    <row r="179" spans="2:38" x14ac:dyDescent="0.15">
      <c r="B179" t="e">
        <f>Experiment!#REF!</f>
        <v>#REF!</v>
      </c>
      <c r="C179" t="e">
        <f t="shared" si="49"/>
        <v>#REF!</v>
      </c>
      <c r="D179" t="e">
        <f t="shared" si="50"/>
        <v>#REF!</v>
      </c>
      <c r="E179" t="e">
        <f t="shared" si="51"/>
        <v>#REF!</v>
      </c>
      <c r="F179" t="e">
        <f t="shared" si="52"/>
        <v>#REF!</v>
      </c>
      <c r="G179" t="e">
        <f t="shared" si="53"/>
        <v>#REF!</v>
      </c>
      <c r="H179" t="e">
        <f t="shared" si="54"/>
        <v>#REF!</v>
      </c>
      <c r="L179" t="e">
        <f>Reflection!I179</f>
        <v>#REF!</v>
      </c>
      <c r="M179" t="e">
        <f t="shared" si="55"/>
        <v>#REF!</v>
      </c>
      <c r="N179" t="e">
        <f t="shared" si="56"/>
        <v>#REF!</v>
      </c>
      <c r="O179" t="e">
        <f t="shared" si="57"/>
        <v>#REF!</v>
      </c>
      <c r="P179" t="e">
        <f t="shared" si="58"/>
        <v>#REF!</v>
      </c>
      <c r="Q179" t="e">
        <f t="shared" si="59"/>
        <v>#REF!</v>
      </c>
      <c r="R179" t="e">
        <f t="shared" si="60"/>
        <v>#REF!</v>
      </c>
      <c r="U179">
        <f>Reflection!Q179</f>
        <v>1189200000</v>
      </c>
      <c r="V179" t="str">
        <f t="shared" si="61"/>
        <v>78.0045192420622-6.18106691405986i</v>
      </c>
      <c r="W179" t="str">
        <f t="shared" si="62"/>
        <v>0.408928652741517+5.16064352722801i</v>
      </c>
      <c r="X179">
        <f t="shared" si="63"/>
        <v>78.004519242062202</v>
      </c>
      <c r="Y179">
        <f t="shared" si="64"/>
        <v>6.1810669140598602</v>
      </c>
      <c r="Z179">
        <f t="shared" si="65"/>
        <v>0.40892865274151702</v>
      </c>
      <c r="AA179">
        <f t="shared" si="66"/>
        <v>5.16064352722801</v>
      </c>
      <c r="AE179" t="e">
        <f>Reflection!Y179</f>
        <v>#REF!</v>
      </c>
      <c r="AF179" t="e">
        <f>IMDIV(IMPRODUCT(IMSUB(C179,V179),IMSUB(Reflection!AB179,Reflection!D179),IMSUB(Reflection!L179,Reflection!T179)),IMPRODUCT(IMSUB(Permitivity!M179,Permitivity!V179),IMSUB(Reflection!AB179,Reflection!L179),IMSUB(Reflection!D179,Reflection!T179)))</f>
        <v>#REF!</v>
      </c>
      <c r="AG179" t="e">
        <f t="shared" si="67"/>
        <v>#REF!</v>
      </c>
      <c r="AH179" t="e">
        <f t="shared" si="48"/>
        <v>#REF!</v>
      </c>
      <c r="AI179" t="e">
        <f t="shared" si="68"/>
        <v>#REF!</v>
      </c>
      <c r="AJ179" t="e">
        <f t="shared" si="69"/>
        <v>#REF!</v>
      </c>
      <c r="AK179" t="e">
        <f t="shared" si="70"/>
        <v>#REF!</v>
      </c>
      <c r="AL179" t="e">
        <f t="shared" si="71"/>
        <v>#REF!</v>
      </c>
    </row>
    <row r="180" spans="2:38" x14ac:dyDescent="0.15">
      <c r="B180" t="e">
        <f>Experiment!#REF!</f>
        <v>#REF!</v>
      </c>
      <c r="C180" t="e">
        <f t="shared" si="49"/>
        <v>#REF!</v>
      </c>
      <c r="D180" t="e">
        <f t="shared" si="50"/>
        <v>#REF!</v>
      </c>
      <c r="E180" t="e">
        <f t="shared" si="51"/>
        <v>#REF!</v>
      </c>
      <c r="F180" t="e">
        <f t="shared" si="52"/>
        <v>#REF!</v>
      </c>
      <c r="G180" t="e">
        <f t="shared" si="53"/>
        <v>#REF!</v>
      </c>
      <c r="H180" t="e">
        <f t="shared" si="54"/>
        <v>#REF!</v>
      </c>
      <c r="L180" t="e">
        <f>Reflection!I180</f>
        <v>#REF!</v>
      </c>
      <c r="M180" t="e">
        <f t="shared" si="55"/>
        <v>#REF!</v>
      </c>
      <c r="N180" t="e">
        <f t="shared" si="56"/>
        <v>#REF!</v>
      </c>
      <c r="O180" t="e">
        <f t="shared" si="57"/>
        <v>#REF!</v>
      </c>
      <c r="P180" t="e">
        <f t="shared" si="58"/>
        <v>#REF!</v>
      </c>
      <c r="Q180" t="e">
        <f t="shared" si="59"/>
        <v>#REF!</v>
      </c>
      <c r="R180" t="e">
        <f t="shared" si="60"/>
        <v>#REF!</v>
      </c>
      <c r="U180">
        <f>Reflection!Q180</f>
        <v>1238000000</v>
      </c>
      <c r="V180" t="str">
        <f t="shared" si="61"/>
        <v>77.9813904543355-6.29587656293836i</v>
      </c>
      <c r="W180" t="str">
        <f t="shared" si="62"/>
        <v>0.433616745327544+5.37082269432932i</v>
      </c>
      <c r="X180">
        <f t="shared" si="63"/>
        <v>77.981390454335497</v>
      </c>
      <c r="Y180">
        <f t="shared" si="64"/>
        <v>6.2958765629383597</v>
      </c>
      <c r="Z180">
        <f t="shared" si="65"/>
        <v>0.43361674532754402</v>
      </c>
      <c r="AA180">
        <f t="shared" si="66"/>
        <v>5.3708226943293198</v>
      </c>
      <c r="AE180" t="e">
        <f>Reflection!Y180</f>
        <v>#REF!</v>
      </c>
      <c r="AF180" t="e">
        <f>IMDIV(IMPRODUCT(IMSUB(C180,V180),IMSUB(Reflection!AB180,Reflection!D180),IMSUB(Reflection!L180,Reflection!T180)),IMPRODUCT(IMSUB(Permitivity!M180,Permitivity!V180),IMSUB(Reflection!AB180,Reflection!L180),IMSUB(Reflection!D180,Reflection!T180)))</f>
        <v>#REF!</v>
      </c>
      <c r="AG180" t="e">
        <f t="shared" si="67"/>
        <v>#REF!</v>
      </c>
      <c r="AH180" t="e">
        <f t="shared" si="48"/>
        <v>#REF!</v>
      </c>
      <c r="AI180" t="e">
        <f t="shared" si="68"/>
        <v>#REF!</v>
      </c>
      <c r="AJ180" t="e">
        <f t="shared" si="69"/>
        <v>#REF!</v>
      </c>
      <c r="AK180" t="e">
        <f t="shared" si="70"/>
        <v>#REF!</v>
      </c>
      <c r="AL180" t="e">
        <f t="shared" si="71"/>
        <v>#REF!</v>
      </c>
    </row>
    <row r="181" spans="2:38" x14ac:dyDescent="0.15">
      <c r="B181" t="e">
        <f>Experiment!#REF!</f>
        <v>#REF!</v>
      </c>
      <c r="C181" t="e">
        <f t="shared" si="49"/>
        <v>#REF!</v>
      </c>
      <c r="D181" t="e">
        <f t="shared" si="50"/>
        <v>#REF!</v>
      </c>
      <c r="E181" t="e">
        <f t="shared" si="51"/>
        <v>#REF!</v>
      </c>
      <c r="F181" t="e">
        <f t="shared" si="52"/>
        <v>#REF!</v>
      </c>
      <c r="G181" t="e">
        <f t="shared" si="53"/>
        <v>#REF!</v>
      </c>
      <c r="H181" t="e">
        <f t="shared" si="54"/>
        <v>#REF!</v>
      </c>
      <c r="L181" t="e">
        <f>Reflection!I181</f>
        <v>#REF!</v>
      </c>
      <c r="M181" t="e">
        <f t="shared" si="55"/>
        <v>#REF!</v>
      </c>
      <c r="N181" t="e">
        <f t="shared" si="56"/>
        <v>#REF!</v>
      </c>
      <c r="O181" t="e">
        <f t="shared" si="57"/>
        <v>#REF!</v>
      </c>
      <c r="P181" t="e">
        <f t="shared" si="58"/>
        <v>#REF!</v>
      </c>
      <c r="Q181" t="e">
        <f t="shared" si="59"/>
        <v>#REF!</v>
      </c>
      <c r="R181" t="e">
        <f t="shared" si="60"/>
        <v>#REF!</v>
      </c>
      <c r="U181">
        <f>Reflection!Q181</f>
        <v>1288800000</v>
      </c>
      <c r="V181" t="str">
        <f t="shared" si="61"/>
        <v>77.9563539972774-6.42060405938588i</v>
      </c>
      <c r="W181" t="str">
        <f t="shared" si="62"/>
        <v>0.460352612859239+5.58941353799334i</v>
      </c>
      <c r="X181">
        <f t="shared" si="63"/>
        <v>77.956353997277404</v>
      </c>
      <c r="Y181">
        <f t="shared" si="64"/>
        <v>6.4206040593858802</v>
      </c>
      <c r="Z181">
        <f t="shared" si="65"/>
        <v>0.46035261285923901</v>
      </c>
      <c r="AA181">
        <f t="shared" si="66"/>
        <v>5.5894135379933401</v>
      </c>
      <c r="AE181" t="e">
        <f>Reflection!Y181</f>
        <v>#REF!</v>
      </c>
      <c r="AF181" t="e">
        <f>IMDIV(IMPRODUCT(IMSUB(C181,V181),IMSUB(Reflection!AB181,Reflection!D181),IMSUB(Reflection!L181,Reflection!T181)),IMPRODUCT(IMSUB(Permitivity!M181,Permitivity!V181),IMSUB(Reflection!AB181,Reflection!L181),IMSUB(Reflection!D181,Reflection!T181)))</f>
        <v>#REF!</v>
      </c>
      <c r="AG181" t="e">
        <f t="shared" si="67"/>
        <v>#REF!</v>
      </c>
      <c r="AH181" t="e">
        <f t="shared" si="48"/>
        <v>#REF!</v>
      </c>
      <c r="AI181" t="e">
        <f t="shared" si="68"/>
        <v>#REF!</v>
      </c>
      <c r="AJ181" t="e">
        <f t="shared" si="69"/>
        <v>#REF!</v>
      </c>
      <c r="AK181" t="e">
        <f t="shared" si="70"/>
        <v>#REF!</v>
      </c>
      <c r="AL181" t="e">
        <f t="shared" si="71"/>
        <v>#REF!</v>
      </c>
    </row>
    <row r="182" spans="2:38" x14ac:dyDescent="0.15">
      <c r="B182" t="e">
        <f>Experiment!#REF!</f>
        <v>#REF!</v>
      </c>
      <c r="C182" t="e">
        <f t="shared" si="49"/>
        <v>#REF!</v>
      </c>
      <c r="D182" t="e">
        <f t="shared" si="50"/>
        <v>#REF!</v>
      </c>
      <c r="E182" t="e">
        <f t="shared" si="51"/>
        <v>#REF!</v>
      </c>
      <c r="F182" t="e">
        <f t="shared" si="52"/>
        <v>#REF!</v>
      </c>
      <c r="G182" t="e">
        <f t="shared" si="53"/>
        <v>#REF!</v>
      </c>
      <c r="H182" t="e">
        <f t="shared" si="54"/>
        <v>#REF!</v>
      </c>
      <c r="L182" t="e">
        <f>Reflection!I182</f>
        <v>#REF!</v>
      </c>
      <c r="M182" t="e">
        <f t="shared" si="55"/>
        <v>#REF!</v>
      </c>
      <c r="N182" t="e">
        <f t="shared" si="56"/>
        <v>#REF!</v>
      </c>
      <c r="O182" t="e">
        <f t="shared" si="57"/>
        <v>#REF!</v>
      </c>
      <c r="P182" t="e">
        <f t="shared" si="58"/>
        <v>#REF!</v>
      </c>
      <c r="Q182" t="e">
        <f t="shared" si="59"/>
        <v>#REF!</v>
      </c>
      <c r="R182" t="e">
        <f t="shared" si="60"/>
        <v>#REF!</v>
      </c>
      <c r="U182">
        <f>Reflection!Q182</f>
        <v>1341700000</v>
      </c>
      <c r="V182" t="str">
        <f t="shared" si="61"/>
        <v>77.9292442266259-6.55546493521021i</v>
      </c>
      <c r="W182" t="str">
        <f t="shared" si="62"/>
        <v>0.489314532658388+5.81681270452102i</v>
      </c>
      <c r="X182">
        <f t="shared" si="63"/>
        <v>77.929244226625897</v>
      </c>
      <c r="Y182">
        <f t="shared" si="64"/>
        <v>6.5554649352102103</v>
      </c>
      <c r="Z182">
        <f t="shared" si="65"/>
        <v>0.48931453265838798</v>
      </c>
      <c r="AA182">
        <f t="shared" si="66"/>
        <v>5.8168127045210198</v>
      </c>
      <c r="AE182" t="e">
        <f>Reflection!Y182</f>
        <v>#REF!</v>
      </c>
      <c r="AF182" t="e">
        <f>IMDIV(IMPRODUCT(IMSUB(C182,V182),IMSUB(Reflection!AB182,Reflection!D182),IMSUB(Reflection!L182,Reflection!T182)),IMPRODUCT(IMSUB(Permitivity!M182,Permitivity!V182),IMSUB(Reflection!AB182,Reflection!L182),IMSUB(Reflection!D182,Reflection!T182)))</f>
        <v>#REF!</v>
      </c>
      <c r="AG182" t="e">
        <f t="shared" si="67"/>
        <v>#REF!</v>
      </c>
      <c r="AH182" t="e">
        <f t="shared" si="48"/>
        <v>#REF!</v>
      </c>
      <c r="AI182" t="e">
        <f t="shared" si="68"/>
        <v>#REF!</v>
      </c>
      <c r="AJ182" t="e">
        <f t="shared" si="69"/>
        <v>#REF!</v>
      </c>
      <c r="AK182" t="e">
        <f t="shared" si="70"/>
        <v>#REF!</v>
      </c>
      <c r="AL182" t="e">
        <f t="shared" si="71"/>
        <v>#REF!</v>
      </c>
    </row>
    <row r="183" spans="2:38" x14ac:dyDescent="0.15">
      <c r="B183" t="e">
        <f>Experiment!#REF!</f>
        <v>#REF!</v>
      </c>
      <c r="C183" t="e">
        <f t="shared" si="49"/>
        <v>#REF!</v>
      </c>
      <c r="D183" t="e">
        <f t="shared" si="50"/>
        <v>#REF!</v>
      </c>
      <c r="E183" t="e">
        <f t="shared" si="51"/>
        <v>#REF!</v>
      </c>
      <c r="F183" t="e">
        <f t="shared" si="52"/>
        <v>#REF!</v>
      </c>
      <c r="G183" t="e">
        <f t="shared" si="53"/>
        <v>#REF!</v>
      </c>
      <c r="H183" t="e">
        <f t="shared" si="54"/>
        <v>#REF!</v>
      </c>
      <c r="L183" t="e">
        <f>Reflection!I183</f>
        <v>#REF!</v>
      </c>
      <c r="M183" t="e">
        <f t="shared" si="55"/>
        <v>#REF!</v>
      </c>
      <c r="N183" t="e">
        <f t="shared" si="56"/>
        <v>#REF!</v>
      </c>
      <c r="O183" t="e">
        <f t="shared" si="57"/>
        <v>#REF!</v>
      </c>
      <c r="P183" t="e">
        <f t="shared" si="58"/>
        <v>#REF!</v>
      </c>
      <c r="Q183" t="e">
        <f t="shared" si="59"/>
        <v>#REF!</v>
      </c>
      <c r="R183" t="e">
        <f t="shared" si="60"/>
        <v>#REF!</v>
      </c>
      <c r="U183">
        <f>Reflection!Q183</f>
        <v>1396800000</v>
      </c>
      <c r="V183" t="str">
        <f t="shared" si="61"/>
        <v>77.8998832723939-6.70068407217422i</v>
      </c>
      <c r="W183" t="str">
        <f t="shared" si="62"/>
        <v>0.520693989369942+6.05341194356506i</v>
      </c>
      <c r="X183">
        <f t="shared" si="63"/>
        <v>77.899883272393893</v>
      </c>
      <c r="Y183">
        <f t="shared" si="64"/>
        <v>6.7006840721742202</v>
      </c>
      <c r="Z183">
        <f t="shared" si="65"/>
        <v>0.52069398936994205</v>
      </c>
      <c r="AA183">
        <f t="shared" si="66"/>
        <v>6.0534119435650604</v>
      </c>
      <c r="AE183" t="e">
        <f>Reflection!Y183</f>
        <v>#REF!</v>
      </c>
      <c r="AF183" t="e">
        <f>IMDIV(IMPRODUCT(IMSUB(C183,V183),IMSUB(Reflection!AB183,Reflection!D183),IMSUB(Reflection!L183,Reflection!T183)),IMPRODUCT(IMSUB(Permitivity!M183,Permitivity!V183),IMSUB(Reflection!AB183,Reflection!L183),IMSUB(Reflection!D183,Reflection!T183)))</f>
        <v>#REF!</v>
      </c>
      <c r="AG183" t="e">
        <f t="shared" si="67"/>
        <v>#REF!</v>
      </c>
      <c r="AH183" t="e">
        <f t="shared" si="48"/>
        <v>#REF!</v>
      </c>
      <c r="AI183" t="e">
        <f t="shared" si="68"/>
        <v>#REF!</v>
      </c>
      <c r="AJ183" t="e">
        <f t="shared" si="69"/>
        <v>#REF!</v>
      </c>
      <c r="AK183" t="e">
        <f t="shared" si="70"/>
        <v>#REF!</v>
      </c>
      <c r="AL183" t="e">
        <f t="shared" si="71"/>
        <v>#REF!</v>
      </c>
    </row>
    <row r="184" spans="2:38" x14ac:dyDescent="0.15">
      <c r="B184" t="e">
        <f>Experiment!#REF!</f>
        <v>#REF!</v>
      </c>
      <c r="C184" t="e">
        <f t="shared" si="49"/>
        <v>#REF!</v>
      </c>
      <c r="D184" t="e">
        <f t="shared" si="50"/>
        <v>#REF!</v>
      </c>
      <c r="E184" t="e">
        <f t="shared" si="51"/>
        <v>#REF!</v>
      </c>
      <c r="F184" t="e">
        <f t="shared" si="52"/>
        <v>#REF!</v>
      </c>
      <c r="G184" t="e">
        <f t="shared" si="53"/>
        <v>#REF!</v>
      </c>
      <c r="H184" t="e">
        <f t="shared" si="54"/>
        <v>#REF!</v>
      </c>
      <c r="L184" t="e">
        <f>Reflection!I184</f>
        <v>#REF!</v>
      </c>
      <c r="M184" t="e">
        <f t="shared" si="55"/>
        <v>#REF!</v>
      </c>
      <c r="N184" t="e">
        <f t="shared" si="56"/>
        <v>#REF!</v>
      </c>
      <c r="O184" t="e">
        <f t="shared" si="57"/>
        <v>#REF!</v>
      </c>
      <c r="P184" t="e">
        <f t="shared" si="58"/>
        <v>#REF!</v>
      </c>
      <c r="Q184" t="e">
        <f t="shared" si="59"/>
        <v>#REF!</v>
      </c>
      <c r="R184" t="e">
        <f t="shared" si="60"/>
        <v>#REF!</v>
      </c>
      <c r="U184">
        <f>Reflection!Q184</f>
        <v>1454100000</v>
      </c>
      <c r="V184" t="str">
        <f t="shared" si="61"/>
        <v>77.8681368526169-6.85621745553347i</v>
      </c>
      <c r="W184" t="str">
        <f t="shared" si="62"/>
        <v>0.554635998493038+6.29916890970071i</v>
      </c>
      <c r="X184">
        <f t="shared" si="63"/>
        <v>77.8681368526169</v>
      </c>
      <c r="Y184">
        <f t="shared" si="64"/>
        <v>6.8562174555334696</v>
      </c>
      <c r="Z184">
        <f t="shared" si="65"/>
        <v>0.55463599849303802</v>
      </c>
      <c r="AA184">
        <f t="shared" si="66"/>
        <v>6.2991689097007102</v>
      </c>
      <c r="AE184" t="e">
        <f>Reflection!Y184</f>
        <v>#REF!</v>
      </c>
      <c r="AF184" t="e">
        <f>IMDIV(IMPRODUCT(IMSUB(C184,V184),IMSUB(Reflection!AB184,Reflection!D184),IMSUB(Reflection!L184,Reflection!T184)),IMPRODUCT(IMSUB(Permitivity!M184,Permitivity!V184),IMSUB(Reflection!AB184,Reflection!L184),IMSUB(Reflection!D184,Reflection!T184)))</f>
        <v>#REF!</v>
      </c>
      <c r="AG184" t="e">
        <f t="shared" si="67"/>
        <v>#REF!</v>
      </c>
      <c r="AH184" t="e">
        <f t="shared" si="48"/>
        <v>#REF!</v>
      </c>
      <c r="AI184" t="e">
        <f t="shared" si="68"/>
        <v>#REF!</v>
      </c>
      <c r="AJ184" t="e">
        <f t="shared" si="69"/>
        <v>#REF!</v>
      </c>
      <c r="AK184" t="e">
        <f t="shared" si="70"/>
        <v>#REF!</v>
      </c>
      <c r="AL184" t="e">
        <f t="shared" si="71"/>
        <v>#REF!</v>
      </c>
    </row>
    <row r="185" spans="2:38" x14ac:dyDescent="0.15">
      <c r="B185" t="e">
        <f>Experiment!#REF!</f>
        <v>#REF!</v>
      </c>
      <c r="C185" t="e">
        <f t="shared" si="49"/>
        <v>#REF!</v>
      </c>
      <c r="D185" t="e">
        <f t="shared" si="50"/>
        <v>#REF!</v>
      </c>
      <c r="E185" t="e">
        <f t="shared" si="51"/>
        <v>#REF!</v>
      </c>
      <c r="F185" t="e">
        <f t="shared" si="52"/>
        <v>#REF!</v>
      </c>
      <c r="G185" t="e">
        <f t="shared" si="53"/>
        <v>#REF!</v>
      </c>
      <c r="H185" t="e">
        <f t="shared" si="54"/>
        <v>#REF!</v>
      </c>
      <c r="L185" t="e">
        <f>Reflection!I185</f>
        <v>#REF!</v>
      </c>
      <c r="M185" t="e">
        <f t="shared" si="55"/>
        <v>#REF!</v>
      </c>
      <c r="N185" t="e">
        <f t="shared" si="56"/>
        <v>#REF!</v>
      </c>
      <c r="O185" t="e">
        <f t="shared" si="57"/>
        <v>#REF!</v>
      </c>
      <c r="P185" t="e">
        <f t="shared" si="58"/>
        <v>#REF!</v>
      </c>
      <c r="Q185" t="e">
        <f t="shared" si="59"/>
        <v>#REF!</v>
      </c>
      <c r="R185" t="e">
        <f t="shared" si="60"/>
        <v>#REF!</v>
      </c>
      <c r="U185">
        <f>Reflection!Q185</f>
        <v>1513800000</v>
      </c>
      <c r="V185" t="str">
        <f t="shared" si="61"/>
        <v>77.8337486250784-7.02256106755395i</v>
      </c>
      <c r="W185" t="str">
        <f t="shared" si="62"/>
        <v>0.591416206677135+6.55489356667697i</v>
      </c>
      <c r="X185">
        <f t="shared" si="63"/>
        <v>77.8337486250784</v>
      </c>
      <c r="Y185">
        <f t="shared" si="64"/>
        <v>7.0225610675539496</v>
      </c>
      <c r="Z185">
        <f t="shared" si="65"/>
        <v>0.59141620667713501</v>
      </c>
      <c r="AA185">
        <f t="shared" si="66"/>
        <v>6.5548935666769701</v>
      </c>
      <c r="AE185" t="e">
        <f>Reflection!Y185</f>
        <v>#REF!</v>
      </c>
      <c r="AF185" t="e">
        <f>IMDIV(IMPRODUCT(IMSUB(C185,V185),IMSUB(Reflection!AB185,Reflection!D185),IMSUB(Reflection!L185,Reflection!T185)),IMPRODUCT(IMSUB(Permitivity!M185,Permitivity!V185),IMSUB(Reflection!AB185,Reflection!L185),IMSUB(Reflection!D185,Reflection!T185)))</f>
        <v>#REF!</v>
      </c>
      <c r="AG185" t="e">
        <f t="shared" si="67"/>
        <v>#REF!</v>
      </c>
      <c r="AH185" t="e">
        <f t="shared" si="48"/>
        <v>#REF!</v>
      </c>
      <c r="AI185" t="e">
        <f t="shared" si="68"/>
        <v>#REF!</v>
      </c>
      <c r="AJ185" t="e">
        <f t="shared" si="69"/>
        <v>#REF!</v>
      </c>
      <c r="AK185" t="e">
        <f t="shared" si="70"/>
        <v>#REF!</v>
      </c>
      <c r="AL185" t="e">
        <f t="shared" si="71"/>
        <v>#REF!</v>
      </c>
    </row>
    <row r="186" spans="2:38" x14ac:dyDescent="0.15">
      <c r="B186" t="e">
        <f>Experiment!#REF!</f>
        <v>#REF!</v>
      </c>
      <c r="C186" t="e">
        <f t="shared" si="49"/>
        <v>#REF!</v>
      </c>
      <c r="D186" t="e">
        <f t="shared" si="50"/>
        <v>#REF!</v>
      </c>
      <c r="E186" t="e">
        <f t="shared" si="51"/>
        <v>#REF!</v>
      </c>
      <c r="F186" t="e">
        <f t="shared" si="52"/>
        <v>#REF!</v>
      </c>
      <c r="G186" t="e">
        <f t="shared" si="53"/>
        <v>#REF!</v>
      </c>
      <c r="H186" t="e">
        <f t="shared" si="54"/>
        <v>#REF!</v>
      </c>
      <c r="L186" t="e">
        <f>Reflection!I186</f>
        <v>#REF!</v>
      </c>
      <c r="M186" t="e">
        <f t="shared" si="55"/>
        <v>#REF!</v>
      </c>
      <c r="N186" t="e">
        <f t="shared" si="56"/>
        <v>#REF!</v>
      </c>
      <c r="O186" t="e">
        <f t="shared" si="57"/>
        <v>#REF!</v>
      </c>
      <c r="P186" t="e">
        <f t="shared" si="58"/>
        <v>#REF!</v>
      </c>
      <c r="Q186" t="e">
        <f t="shared" si="59"/>
        <v>#REF!</v>
      </c>
      <c r="R186" t="e">
        <f t="shared" si="60"/>
        <v>#REF!</v>
      </c>
      <c r="U186">
        <f>Reflection!Q186</f>
        <v>1576000000</v>
      </c>
      <c r="V186" t="str">
        <f t="shared" si="61"/>
        <v>77.7965002394274-7.19995246332386i</v>
      </c>
      <c r="W186" t="str">
        <f t="shared" si="62"/>
        <v>0.631269836493802+6.82095947662152i</v>
      </c>
      <c r="X186">
        <f t="shared" si="63"/>
        <v>77.796500239427402</v>
      </c>
      <c r="Y186">
        <f t="shared" si="64"/>
        <v>7.1999524633238599</v>
      </c>
      <c r="Z186">
        <f t="shared" si="65"/>
        <v>0.63126983649380197</v>
      </c>
      <c r="AA186">
        <f t="shared" si="66"/>
        <v>6.8209594766215202</v>
      </c>
      <c r="AE186" t="e">
        <f>Reflection!Y186</f>
        <v>#REF!</v>
      </c>
      <c r="AF186" t="e">
        <f>IMDIV(IMPRODUCT(IMSUB(C186,V186),IMSUB(Reflection!AB186,Reflection!D186),IMSUB(Reflection!L186,Reflection!T186)),IMPRODUCT(IMSUB(Permitivity!M186,Permitivity!V186),IMSUB(Reflection!AB186,Reflection!L186),IMSUB(Reflection!D186,Reflection!T186)))</f>
        <v>#REF!</v>
      </c>
      <c r="AG186" t="e">
        <f t="shared" si="67"/>
        <v>#REF!</v>
      </c>
      <c r="AH186" t="e">
        <f t="shared" si="48"/>
        <v>#REF!</v>
      </c>
      <c r="AI186" t="e">
        <f t="shared" si="68"/>
        <v>#REF!</v>
      </c>
      <c r="AJ186" t="e">
        <f t="shared" si="69"/>
        <v>#REF!</v>
      </c>
      <c r="AK186" t="e">
        <f t="shared" si="70"/>
        <v>#REF!</v>
      </c>
      <c r="AL186" t="e">
        <f t="shared" si="71"/>
        <v>#REF!</v>
      </c>
    </row>
    <row r="187" spans="2:38" x14ac:dyDescent="0.15">
      <c r="B187" t="e">
        <f>Experiment!#REF!</f>
        <v>#REF!</v>
      </c>
      <c r="C187" t="e">
        <f t="shared" si="49"/>
        <v>#REF!</v>
      </c>
      <c r="D187" t="e">
        <f t="shared" si="50"/>
        <v>#REF!</v>
      </c>
      <c r="E187" t="e">
        <f t="shared" si="51"/>
        <v>#REF!</v>
      </c>
      <c r="F187" t="e">
        <f t="shared" si="52"/>
        <v>#REF!</v>
      </c>
      <c r="G187" t="e">
        <f t="shared" si="53"/>
        <v>#REF!</v>
      </c>
      <c r="H187" t="e">
        <f t="shared" si="54"/>
        <v>#REF!</v>
      </c>
      <c r="L187" t="e">
        <f>Reflection!I187</f>
        <v>#REF!</v>
      </c>
      <c r="M187" t="e">
        <f t="shared" si="55"/>
        <v>#REF!</v>
      </c>
      <c r="N187" t="e">
        <f t="shared" si="56"/>
        <v>#REF!</v>
      </c>
      <c r="O187" t="e">
        <f t="shared" si="57"/>
        <v>#REF!</v>
      </c>
      <c r="P187" t="e">
        <f t="shared" si="58"/>
        <v>#REF!</v>
      </c>
      <c r="Q187" t="e">
        <f t="shared" si="59"/>
        <v>#REF!</v>
      </c>
      <c r="R187" t="e">
        <f t="shared" si="60"/>
        <v>#REF!</v>
      </c>
      <c r="U187">
        <f>Reflection!Q187</f>
        <v>1640700000</v>
      </c>
      <c r="V187" t="str">
        <f t="shared" si="61"/>
        <v>77.7562218534318-7.38833406011484i</v>
      </c>
      <c r="W187" t="str">
        <f t="shared" si="62"/>
        <v>0.674380335034552+7.09730590385936i</v>
      </c>
      <c r="X187">
        <f t="shared" si="63"/>
        <v>77.756221853431796</v>
      </c>
      <c r="Y187">
        <f t="shared" si="64"/>
        <v>7.3883340601148397</v>
      </c>
      <c r="Z187">
        <f t="shared" si="65"/>
        <v>0.67438033503455197</v>
      </c>
      <c r="AA187">
        <f t="shared" si="66"/>
        <v>7.0973059038593602</v>
      </c>
      <c r="AE187" t="e">
        <f>Reflection!Y187</f>
        <v>#REF!</v>
      </c>
      <c r="AF187" t="e">
        <f>IMDIV(IMPRODUCT(IMSUB(C187,V187),IMSUB(Reflection!AB187,Reflection!D187),IMSUB(Reflection!L187,Reflection!T187)),IMPRODUCT(IMSUB(Permitivity!M187,Permitivity!V187),IMSUB(Reflection!AB187,Reflection!L187),IMSUB(Reflection!D187,Reflection!T187)))</f>
        <v>#REF!</v>
      </c>
      <c r="AG187" t="e">
        <f t="shared" si="67"/>
        <v>#REF!</v>
      </c>
      <c r="AH187" t="e">
        <f t="shared" si="48"/>
        <v>#REF!</v>
      </c>
      <c r="AI187" t="e">
        <f t="shared" si="68"/>
        <v>#REF!</v>
      </c>
      <c r="AJ187" t="e">
        <f t="shared" si="69"/>
        <v>#REF!</v>
      </c>
      <c r="AK187" t="e">
        <f t="shared" si="70"/>
        <v>#REF!</v>
      </c>
      <c r="AL187" t="e">
        <f t="shared" si="71"/>
        <v>#REF!</v>
      </c>
    </row>
    <row r="188" spans="2:38" x14ac:dyDescent="0.15">
      <c r="B188" t="e">
        <f>Experiment!#REF!</f>
        <v>#REF!</v>
      </c>
      <c r="C188" t="e">
        <f t="shared" si="49"/>
        <v>#REF!</v>
      </c>
      <c r="D188" t="e">
        <f t="shared" si="50"/>
        <v>#REF!</v>
      </c>
      <c r="E188" t="e">
        <f t="shared" si="51"/>
        <v>#REF!</v>
      </c>
      <c r="F188" t="e">
        <f t="shared" si="52"/>
        <v>#REF!</v>
      </c>
      <c r="G188" t="e">
        <f t="shared" si="53"/>
        <v>#REF!</v>
      </c>
      <c r="H188" t="e">
        <f t="shared" si="54"/>
        <v>#REF!</v>
      </c>
      <c r="L188" t="e">
        <f>Reflection!I188</f>
        <v>#REF!</v>
      </c>
      <c r="M188" t="e">
        <f t="shared" si="55"/>
        <v>#REF!</v>
      </c>
      <c r="N188" t="e">
        <f t="shared" si="56"/>
        <v>#REF!</v>
      </c>
      <c r="O188" t="e">
        <f t="shared" si="57"/>
        <v>#REF!</v>
      </c>
      <c r="P188" t="e">
        <f t="shared" si="58"/>
        <v>#REF!</v>
      </c>
      <c r="Q188" t="e">
        <f t="shared" si="59"/>
        <v>#REF!</v>
      </c>
      <c r="R188" t="e">
        <f t="shared" si="60"/>
        <v>#REF!</v>
      </c>
      <c r="U188">
        <f>Reflection!Q188</f>
        <v>1708000000</v>
      </c>
      <c r="V188" t="str">
        <f t="shared" si="61"/>
        <v>77.7126720252041-7.58792366661015i</v>
      </c>
      <c r="W188" t="str">
        <f t="shared" si="62"/>
        <v>0.72100788740632+7.38429271872529i</v>
      </c>
      <c r="X188">
        <f t="shared" si="63"/>
        <v>77.7126720252041</v>
      </c>
      <c r="Y188">
        <f t="shared" si="64"/>
        <v>7.5879236666101502</v>
      </c>
      <c r="Z188">
        <f t="shared" si="65"/>
        <v>0.72100788740632005</v>
      </c>
      <c r="AA188">
        <f t="shared" si="66"/>
        <v>7.3842927187252902</v>
      </c>
      <c r="AE188" t="e">
        <f>Reflection!Y188</f>
        <v>#REF!</v>
      </c>
      <c r="AF188" t="e">
        <f>IMDIV(IMPRODUCT(IMSUB(C188,V188),IMSUB(Reflection!AB188,Reflection!D188),IMSUB(Reflection!L188,Reflection!T188)),IMPRODUCT(IMSUB(Permitivity!M188,Permitivity!V188),IMSUB(Reflection!AB188,Reflection!L188),IMSUB(Reflection!D188,Reflection!T188)))</f>
        <v>#REF!</v>
      </c>
      <c r="AG188" t="e">
        <f t="shared" si="67"/>
        <v>#REF!</v>
      </c>
      <c r="AH188" t="e">
        <f t="shared" si="48"/>
        <v>#REF!</v>
      </c>
      <c r="AI188" t="e">
        <f t="shared" si="68"/>
        <v>#REF!</v>
      </c>
      <c r="AJ188" t="e">
        <f t="shared" si="69"/>
        <v>#REF!</v>
      </c>
      <c r="AK188" t="e">
        <f t="shared" si="70"/>
        <v>#REF!</v>
      </c>
      <c r="AL188" t="e">
        <f t="shared" si="71"/>
        <v>#REF!</v>
      </c>
    </row>
    <row r="189" spans="2:38" x14ac:dyDescent="0.15">
      <c r="B189" t="e">
        <f>Experiment!#REF!</f>
        <v>#REF!</v>
      </c>
      <c r="C189" t="e">
        <f t="shared" si="49"/>
        <v>#REF!</v>
      </c>
      <c r="D189" t="e">
        <f t="shared" si="50"/>
        <v>#REF!</v>
      </c>
      <c r="E189" t="e">
        <f t="shared" si="51"/>
        <v>#REF!</v>
      </c>
      <c r="F189" t="e">
        <f t="shared" si="52"/>
        <v>#REF!</v>
      </c>
      <c r="G189" t="e">
        <f t="shared" si="53"/>
        <v>#REF!</v>
      </c>
      <c r="H189" t="e">
        <f t="shared" si="54"/>
        <v>#REF!</v>
      </c>
      <c r="L189" t="e">
        <f>Reflection!I189</f>
        <v>#REF!</v>
      </c>
      <c r="M189" t="e">
        <f t="shared" si="55"/>
        <v>#REF!</v>
      </c>
      <c r="N189" t="e">
        <f t="shared" si="56"/>
        <v>#REF!</v>
      </c>
      <c r="O189" t="e">
        <f t="shared" si="57"/>
        <v>#REF!</v>
      </c>
      <c r="P189" t="e">
        <f t="shared" si="58"/>
        <v>#REF!</v>
      </c>
      <c r="Q189" t="e">
        <f t="shared" si="59"/>
        <v>#REF!</v>
      </c>
      <c r="R189" t="e">
        <f t="shared" si="60"/>
        <v>#REF!</v>
      </c>
      <c r="U189">
        <f>Reflection!Q189</f>
        <v>1778200000</v>
      </c>
      <c r="V189" t="str">
        <f t="shared" si="61"/>
        <v>77.6654564198393-7.79954468661191i</v>
      </c>
      <c r="W189" t="str">
        <f t="shared" si="62"/>
        <v>0.771576607972237+7.68312149347609i</v>
      </c>
      <c r="X189">
        <f t="shared" si="63"/>
        <v>77.665456419839302</v>
      </c>
      <c r="Y189">
        <f t="shared" si="64"/>
        <v>7.7995446866119096</v>
      </c>
      <c r="Z189">
        <f t="shared" si="65"/>
        <v>0.77157660797223704</v>
      </c>
      <c r="AA189">
        <f t="shared" si="66"/>
        <v>7.6831214934760901</v>
      </c>
      <c r="AE189" t="e">
        <f>Reflection!Y189</f>
        <v>#REF!</v>
      </c>
      <c r="AF189" t="e">
        <f>IMDIV(IMPRODUCT(IMSUB(C189,V189),IMSUB(Reflection!AB189,Reflection!D189),IMSUB(Reflection!L189,Reflection!T189)),IMPRODUCT(IMSUB(Permitivity!M189,Permitivity!V189),IMSUB(Reflection!AB189,Reflection!L189),IMSUB(Reflection!D189,Reflection!T189)))</f>
        <v>#REF!</v>
      </c>
      <c r="AG189" t="e">
        <f t="shared" si="67"/>
        <v>#REF!</v>
      </c>
      <c r="AH189" t="e">
        <f t="shared" si="48"/>
        <v>#REF!</v>
      </c>
      <c r="AI189" t="e">
        <f t="shared" si="68"/>
        <v>#REF!</v>
      </c>
      <c r="AJ189" t="e">
        <f t="shared" si="69"/>
        <v>#REF!</v>
      </c>
      <c r="AK189" t="e">
        <f t="shared" si="70"/>
        <v>#REF!</v>
      </c>
      <c r="AL189" t="e">
        <f t="shared" si="71"/>
        <v>#REF!</v>
      </c>
    </row>
    <row r="190" spans="2:38" x14ac:dyDescent="0.15">
      <c r="B190" t="e">
        <f>Experiment!#REF!</f>
        <v>#REF!</v>
      </c>
      <c r="C190" t="e">
        <f t="shared" si="49"/>
        <v>#REF!</v>
      </c>
      <c r="D190" t="e">
        <f t="shared" si="50"/>
        <v>#REF!</v>
      </c>
      <c r="E190" t="e">
        <f t="shared" si="51"/>
        <v>#REF!</v>
      </c>
      <c r="F190" t="e">
        <f t="shared" si="52"/>
        <v>#REF!</v>
      </c>
      <c r="G190" t="e">
        <f t="shared" si="53"/>
        <v>#REF!</v>
      </c>
      <c r="H190" t="e">
        <f t="shared" si="54"/>
        <v>#REF!</v>
      </c>
      <c r="L190" t="e">
        <f>Reflection!I190</f>
        <v>#REF!</v>
      </c>
      <c r="M190" t="e">
        <f t="shared" si="55"/>
        <v>#REF!</v>
      </c>
      <c r="N190" t="e">
        <f t="shared" si="56"/>
        <v>#REF!</v>
      </c>
      <c r="O190" t="e">
        <f t="shared" si="57"/>
        <v>#REF!</v>
      </c>
      <c r="P190" t="e">
        <f t="shared" si="58"/>
        <v>#REF!</v>
      </c>
      <c r="Q190" t="e">
        <f t="shared" si="59"/>
        <v>#REF!</v>
      </c>
      <c r="R190" t="e">
        <f t="shared" si="60"/>
        <v>#REF!</v>
      </c>
      <c r="U190">
        <f>Reflection!Q190</f>
        <v>1851200000</v>
      </c>
      <c r="V190" t="str">
        <f t="shared" si="61"/>
        <v>77.6144277239365-8.02281853356796i</v>
      </c>
      <c r="W190" t="str">
        <f t="shared" si="62"/>
        <v>0.826246260116162+7.99327946527029i</v>
      </c>
      <c r="X190">
        <f t="shared" si="63"/>
        <v>77.614427723936501</v>
      </c>
      <c r="Y190">
        <f t="shared" si="64"/>
        <v>8.0228185335679605</v>
      </c>
      <c r="Z190">
        <f t="shared" si="65"/>
        <v>0.82624626011616198</v>
      </c>
      <c r="AA190">
        <f t="shared" si="66"/>
        <v>7.9932794652702901</v>
      </c>
      <c r="AE190" t="e">
        <f>Reflection!Y190</f>
        <v>#REF!</v>
      </c>
      <c r="AF190" t="e">
        <f>IMDIV(IMPRODUCT(IMSUB(C190,V190),IMSUB(Reflection!AB190,Reflection!D190),IMSUB(Reflection!L190,Reflection!T190)),IMPRODUCT(IMSUB(Permitivity!M190,Permitivity!V190),IMSUB(Reflection!AB190,Reflection!L190),IMSUB(Reflection!D190,Reflection!T190)))</f>
        <v>#REF!</v>
      </c>
      <c r="AG190" t="e">
        <f t="shared" si="67"/>
        <v>#REF!</v>
      </c>
      <c r="AH190" t="e">
        <f t="shared" si="48"/>
        <v>#REF!</v>
      </c>
      <c r="AI190" t="e">
        <f t="shared" si="68"/>
        <v>#REF!</v>
      </c>
      <c r="AJ190" t="e">
        <f t="shared" si="69"/>
        <v>#REF!</v>
      </c>
      <c r="AK190" t="e">
        <f t="shared" si="70"/>
        <v>#REF!</v>
      </c>
      <c r="AL190" t="e">
        <f t="shared" si="71"/>
        <v>#REF!</v>
      </c>
    </row>
    <row r="191" spans="2:38" x14ac:dyDescent="0.15">
      <c r="B191" t="e">
        <f>Experiment!#REF!</f>
        <v>#REF!</v>
      </c>
      <c r="C191" t="e">
        <f t="shared" si="49"/>
        <v>#REF!</v>
      </c>
      <c r="D191" t="e">
        <f t="shared" si="50"/>
        <v>#REF!</v>
      </c>
      <c r="E191" t="e">
        <f t="shared" si="51"/>
        <v>#REF!</v>
      </c>
      <c r="F191" t="e">
        <f t="shared" si="52"/>
        <v>#REF!</v>
      </c>
      <c r="G191" t="e">
        <f t="shared" si="53"/>
        <v>#REF!</v>
      </c>
      <c r="H191" t="e">
        <f t="shared" si="54"/>
        <v>#REF!</v>
      </c>
      <c r="L191" t="e">
        <f>Reflection!I191</f>
        <v>#REF!</v>
      </c>
      <c r="M191" t="e">
        <f t="shared" si="55"/>
        <v>#REF!</v>
      </c>
      <c r="N191" t="e">
        <f t="shared" si="56"/>
        <v>#REF!</v>
      </c>
      <c r="O191" t="e">
        <f t="shared" si="57"/>
        <v>#REF!</v>
      </c>
      <c r="P191" t="e">
        <f t="shared" si="58"/>
        <v>#REF!</v>
      </c>
      <c r="Q191" t="e">
        <f t="shared" si="59"/>
        <v>#REF!</v>
      </c>
      <c r="R191" t="e">
        <f t="shared" si="60"/>
        <v>#REF!</v>
      </c>
      <c r="U191">
        <f>Reflection!Q191</f>
        <v>1927200000</v>
      </c>
      <c r="V191" t="str">
        <f t="shared" si="61"/>
        <v>77.5592205759565-8.25826072219985i</v>
      </c>
      <c r="W191" t="str">
        <f t="shared" si="62"/>
        <v>0.885410306280851+8.31552012646663i</v>
      </c>
      <c r="X191">
        <f t="shared" si="63"/>
        <v>77.559220575956502</v>
      </c>
      <c r="Y191">
        <f t="shared" si="64"/>
        <v>8.2582607221998501</v>
      </c>
      <c r="Z191">
        <f t="shared" si="65"/>
        <v>0.88541030628085104</v>
      </c>
      <c r="AA191">
        <f t="shared" si="66"/>
        <v>8.3155201264666303</v>
      </c>
      <c r="AE191" t="e">
        <f>Reflection!Y191</f>
        <v>#REF!</v>
      </c>
      <c r="AF191" t="e">
        <f>IMDIV(IMPRODUCT(IMSUB(C191,V191),IMSUB(Reflection!AB191,Reflection!D191),IMSUB(Reflection!L191,Reflection!T191)),IMPRODUCT(IMSUB(Permitivity!M191,Permitivity!V191),IMSUB(Reflection!AB191,Reflection!L191),IMSUB(Reflection!D191,Reflection!T191)))</f>
        <v>#REF!</v>
      </c>
      <c r="AG191" t="e">
        <f t="shared" si="67"/>
        <v>#REF!</v>
      </c>
      <c r="AH191" t="e">
        <f t="shared" si="48"/>
        <v>#REF!</v>
      </c>
      <c r="AI191" t="e">
        <f t="shared" si="68"/>
        <v>#REF!</v>
      </c>
      <c r="AJ191" t="e">
        <f t="shared" si="69"/>
        <v>#REF!</v>
      </c>
      <c r="AK191" t="e">
        <f t="shared" si="70"/>
        <v>#REF!</v>
      </c>
      <c r="AL191" t="e">
        <f t="shared" si="71"/>
        <v>#REF!</v>
      </c>
    </row>
    <row r="192" spans="2:38" x14ac:dyDescent="0.15">
      <c r="B192" t="e">
        <f>Experiment!#REF!</f>
        <v>#REF!</v>
      </c>
      <c r="C192" t="e">
        <f t="shared" si="49"/>
        <v>#REF!</v>
      </c>
      <c r="D192" t="e">
        <f t="shared" si="50"/>
        <v>#REF!</v>
      </c>
      <c r="E192" t="e">
        <f t="shared" si="51"/>
        <v>#REF!</v>
      </c>
      <c r="F192" t="e">
        <f t="shared" si="52"/>
        <v>#REF!</v>
      </c>
      <c r="G192" t="e">
        <f t="shared" si="53"/>
        <v>#REF!</v>
      </c>
      <c r="H192" t="e">
        <f t="shared" si="54"/>
        <v>#REF!</v>
      </c>
      <c r="L192" t="e">
        <f>Reflection!I192</f>
        <v>#REF!</v>
      </c>
      <c r="M192" t="e">
        <f t="shared" si="55"/>
        <v>#REF!</v>
      </c>
      <c r="N192" t="e">
        <f t="shared" si="56"/>
        <v>#REF!</v>
      </c>
      <c r="O192" t="e">
        <f t="shared" si="57"/>
        <v>#REF!</v>
      </c>
      <c r="P192" t="e">
        <f t="shared" si="58"/>
        <v>#REF!</v>
      </c>
      <c r="Q192" t="e">
        <f t="shared" si="59"/>
        <v>#REF!</v>
      </c>
      <c r="R192" t="e">
        <f t="shared" si="60"/>
        <v>#REF!</v>
      </c>
      <c r="U192">
        <f>Reflection!Q192</f>
        <v>2006300000</v>
      </c>
      <c r="V192" t="str">
        <f t="shared" si="61"/>
        <v>77.4995172713034-8.50607793173596i</v>
      </c>
      <c r="W192" t="str">
        <f t="shared" si="62"/>
        <v>0.949411365784678+8.65015852555034i</v>
      </c>
      <c r="X192">
        <f t="shared" si="63"/>
        <v>77.499517271303404</v>
      </c>
      <c r="Y192">
        <f t="shared" si="64"/>
        <v>8.5060779317359607</v>
      </c>
      <c r="Z192">
        <f t="shared" si="65"/>
        <v>0.949411365784678</v>
      </c>
      <c r="AA192">
        <f t="shared" si="66"/>
        <v>8.6501585255503404</v>
      </c>
      <c r="AE192" t="e">
        <f>Reflection!Y192</f>
        <v>#REF!</v>
      </c>
      <c r="AF192" t="e">
        <f>IMDIV(IMPRODUCT(IMSUB(C192,V192),IMSUB(Reflection!AB192,Reflection!D192),IMSUB(Reflection!L192,Reflection!T192)),IMPRODUCT(IMSUB(Permitivity!M192,Permitivity!V192),IMSUB(Reflection!AB192,Reflection!L192),IMSUB(Reflection!D192,Reflection!T192)))</f>
        <v>#REF!</v>
      </c>
      <c r="AG192" t="e">
        <f t="shared" si="67"/>
        <v>#REF!</v>
      </c>
      <c r="AH192" t="e">
        <f t="shared" si="48"/>
        <v>#REF!</v>
      </c>
      <c r="AI192" t="e">
        <f t="shared" si="68"/>
        <v>#REF!</v>
      </c>
      <c r="AJ192" t="e">
        <f t="shared" si="69"/>
        <v>#REF!</v>
      </c>
      <c r="AK192" t="e">
        <f t="shared" si="70"/>
        <v>#REF!</v>
      </c>
      <c r="AL192" t="e">
        <f t="shared" si="71"/>
        <v>#REF!</v>
      </c>
    </row>
    <row r="193" spans="2:38" x14ac:dyDescent="0.15">
      <c r="B193" t="e">
        <f>Experiment!#REF!</f>
        <v>#REF!</v>
      </c>
      <c r="C193" t="e">
        <f t="shared" si="49"/>
        <v>#REF!</v>
      </c>
      <c r="D193" t="e">
        <f t="shared" si="50"/>
        <v>#REF!</v>
      </c>
      <c r="E193" t="e">
        <f t="shared" si="51"/>
        <v>#REF!</v>
      </c>
      <c r="F193" t="e">
        <f t="shared" si="52"/>
        <v>#REF!</v>
      </c>
      <c r="G193" t="e">
        <f t="shared" si="53"/>
        <v>#REF!</v>
      </c>
      <c r="H193" t="e">
        <f t="shared" si="54"/>
        <v>#REF!</v>
      </c>
      <c r="L193" t="e">
        <f>Reflection!I193</f>
        <v>#REF!</v>
      </c>
      <c r="M193" t="e">
        <f t="shared" si="55"/>
        <v>#REF!</v>
      </c>
      <c r="N193" t="e">
        <f t="shared" si="56"/>
        <v>#REF!</v>
      </c>
      <c r="O193" t="e">
        <f t="shared" si="57"/>
        <v>#REF!</v>
      </c>
      <c r="P193" t="e">
        <f t="shared" si="58"/>
        <v>#REF!</v>
      </c>
      <c r="Q193" t="e">
        <f t="shared" si="59"/>
        <v>#REF!</v>
      </c>
      <c r="R193" t="e">
        <f t="shared" si="60"/>
        <v>#REF!</v>
      </c>
      <c r="U193">
        <f>Reflection!Q193</f>
        <v>2088600000</v>
      </c>
      <c r="V193" t="str">
        <f t="shared" si="61"/>
        <v>77.4349811954958-8.76646562830271i</v>
      </c>
      <c r="W193" t="str">
        <f t="shared" si="62"/>
        <v>1.01861250630229+8.99749609652961i</v>
      </c>
      <c r="X193">
        <f t="shared" si="63"/>
        <v>77.434981195495794</v>
      </c>
      <c r="Y193">
        <f t="shared" si="64"/>
        <v>8.7664656283027096</v>
      </c>
      <c r="Z193">
        <f t="shared" si="65"/>
        <v>1.0186125063022899</v>
      </c>
      <c r="AA193">
        <f t="shared" si="66"/>
        <v>8.9974960965296091</v>
      </c>
      <c r="AE193" t="e">
        <f>Reflection!Y193</f>
        <v>#REF!</v>
      </c>
      <c r="AF193" t="e">
        <f>IMDIV(IMPRODUCT(IMSUB(C193,V193),IMSUB(Reflection!AB193,Reflection!D193),IMSUB(Reflection!L193,Reflection!T193)),IMPRODUCT(IMSUB(Permitivity!M193,Permitivity!V193),IMSUB(Reflection!AB193,Reflection!L193),IMSUB(Reflection!D193,Reflection!T193)))</f>
        <v>#REF!</v>
      </c>
      <c r="AG193" t="e">
        <f t="shared" si="67"/>
        <v>#REF!</v>
      </c>
      <c r="AH193" t="e">
        <f t="shared" si="48"/>
        <v>#REF!</v>
      </c>
      <c r="AI193" t="e">
        <f t="shared" si="68"/>
        <v>#REF!</v>
      </c>
      <c r="AJ193" t="e">
        <f t="shared" si="69"/>
        <v>#REF!</v>
      </c>
      <c r="AK193" t="e">
        <f t="shared" si="70"/>
        <v>#REF!</v>
      </c>
      <c r="AL193" t="e">
        <f t="shared" si="71"/>
        <v>#REF!</v>
      </c>
    </row>
    <row r="194" spans="2:38" x14ac:dyDescent="0.15">
      <c r="B194" t="e">
        <f>Experiment!#REF!</f>
        <v>#REF!</v>
      </c>
      <c r="C194" t="e">
        <f t="shared" si="49"/>
        <v>#REF!</v>
      </c>
      <c r="D194" t="e">
        <f t="shared" si="50"/>
        <v>#REF!</v>
      </c>
      <c r="E194" t="e">
        <f t="shared" si="51"/>
        <v>#REF!</v>
      </c>
      <c r="F194" t="e">
        <f t="shared" si="52"/>
        <v>#REF!</v>
      </c>
      <c r="G194" t="e">
        <f t="shared" si="53"/>
        <v>#REF!</v>
      </c>
      <c r="H194" t="e">
        <f t="shared" si="54"/>
        <v>#REF!</v>
      </c>
      <c r="L194" t="e">
        <f>Reflection!I194</f>
        <v>#REF!</v>
      </c>
      <c r="M194" t="e">
        <f t="shared" si="55"/>
        <v>#REF!</v>
      </c>
      <c r="N194" t="e">
        <f t="shared" si="56"/>
        <v>#REF!</v>
      </c>
      <c r="O194" t="e">
        <f t="shared" si="57"/>
        <v>#REF!</v>
      </c>
      <c r="P194" t="e">
        <f t="shared" si="58"/>
        <v>#REF!</v>
      </c>
      <c r="Q194" t="e">
        <f t="shared" si="59"/>
        <v>#REF!</v>
      </c>
      <c r="R194" t="e">
        <f t="shared" si="60"/>
        <v>#REF!</v>
      </c>
      <c r="U194">
        <f>Reflection!Q194</f>
        <v>2174400000</v>
      </c>
      <c r="V194" t="str">
        <f t="shared" si="61"/>
        <v>77.365090257463-9.04024722733976i</v>
      </c>
      <c r="W194" t="str">
        <f t="shared" si="62"/>
        <v>1.09357593047539+9.35866004955643i</v>
      </c>
      <c r="X194">
        <f t="shared" si="63"/>
        <v>77.365090257462995</v>
      </c>
      <c r="Y194">
        <f t="shared" si="64"/>
        <v>9.0402472273397603</v>
      </c>
      <c r="Z194">
        <f t="shared" si="65"/>
        <v>1.09357593047539</v>
      </c>
      <c r="AA194">
        <f t="shared" si="66"/>
        <v>9.3586600495564305</v>
      </c>
      <c r="AE194" t="e">
        <f>Reflection!Y194</f>
        <v>#REF!</v>
      </c>
      <c r="AF194" t="e">
        <f>IMDIV(IMPRODUCT(IMSUB(C194,V194),IMSUB(Reflection!AB194,Reflection!D194),IMSUB(Reflection!L194,Reflection!T194)),IMPRODUCT(IMSUB(Permitivity!M194,Permitivity!V194),IMSUB(Reflection!AB194,Reflection!L194),IMSUB(Reflection!D194,Reflection!T194)))</f>
        <v>#REF!</v>
      </c>
      <c r="AG194" t="e">
        <f t="shared" si="67"/>
        <v>#REF!</v>
      </c>
      <c r="AH194" t="e">
        <f t="shared" si="48"/>
        <v>#REF!</v>
      </c>
      <c r="AI194" t="e">
        <f t="shared" si="68"/>
        <v>#REF!</v>
      </c>
      <c r="AJ194" t="e">
        <f t="shared" si="69"/>
        <v>#REF!</v>
      </c>
      <c r="AK194" t="e">
        <f t="shared" si="70"/>
        <v>#REF!</v>
      </c>
      <c r="AL194" t="e">
        <f t="shared" si="71"/>
        <v>#REF!</v>
      </c>
    </row>
    <row r="195" spans="2:38" x14ac:dyDescent="0.15">
      <c r="B195" t="e">
        <f>Experiment!#REF!</f>
        <v>#REF!</v>
      </c>
      <c r="C195" t="e">
        <f t="shared" si="49"/>
        <v>#REF!</v>
      </c>
      <c r="D195" t="e">
        <f t="shared" si="50"/>
        <v>#REF!</v>
      </c>
      <c r="E195" t="e">
        <f t="shared" si="51"/>
        <v>#REF!</v>
      </c>
      <c r="F195" t="e">
        <f t="shared" si="52"/>
        <v>#REF!</v>
      </c>
      <c r="G195" t="e">
        <f t="shared" si="53"/>
        <v>#REF!</v>
      </c>
      <c r="H195" t="e">
        <f t="shared" si="54"/>
        <v>#REF!</v>
      </c>
      <c r="L195" t="e">
        <f>Reflection!I195</f>
        <v>#REF!</v>
      </c>
      <c r="M195" t="e">
        <f t="shared" si="55"/>
        <v>#REF!</v>
      </c>
      <c r="N195" t="e">
        <f t="shared" si="56"/>
        <v>#REF!</v>
      </c>
      <c r="O195" t="e">
        <f t="shared" si="57"/>
        <v>#REF!</v>
      </c>
      <c r="P195" t="e">
        <f t="shared" si="58"/>
        <v>#REF!</v>
      </c>
      <c r="Q195" t="e">
        <f t="shared" si="59"/>
        <v>#REF!</v>
      </c>
      <c r="R195" t="e">
        <f t="shared" si="60"/>
        <v>#REF!</v>
      </c>
      <c r="U195">
        <f>Reflection!Q195</f>
        <v>2263700000</v>
      </c>
      <c r="V195" t="str">
        <f t="shared" si="61"/>
        <v>77.289535394483-9.32728182623831i</v>
      </c>
      <c r="W195" t="str">
        <f t="shared" si="62"/>
        <v>1.17463561937315+9.73349395573864i</v>
      </c>
      <c r="X195">
        <f t="shared" si="63"/>
        <v>77.289535394482996</v>
      </c>
      <c r="Y195">
        <f t="shared" si="64"/>
        <v>9.3272818262383108</v>
      </c>
      <c r="Z195">
        <f t="shared" si="65"/>
        <v>1.17463561937315</v>
      </c>
      <c r="AA195">
        <f t="shared" si="66"/>
        <v>9.7334939557386395</v>
      </c>
      <c r="AE195" t="e">
        <f>Reflection!Y195</f>
        <v>#REF!</v>
      </c>
      <c r="AF195" t="e">
        <f>IMDIV(IMPRODUCT(IMSUB(C195,V195),IMSUB(Reflection!AB195,Reflection!D195),IMSUB(Reflection!L195,Reflection!T195)),IMPRODUCT(IMSUB(Permitivity!M195,Permitivity!V195),IMSUB(Reflection!AB195,Reflection!L195),IMSUB(Reflection!D195,Reflection!T195)))</f>
        <v>#REF!</v>
      </c>
      <c r="AG195" t="e">
        <f t="shared" si="67"/>
        <v>#REF!</v>
      </c>
      <c r="AH195" t="e">
        <f t="shared" ref="AH195:AH202" si="72">IMPRODUCT(IMPRODUCT(AG195,$AG$1),2*PI()*AE195*0.0000000000088542)</f>
        <v>#REF!</v>
      </c>
      <c r="AI195" t="e">
        <f t="shared" si="68"/>
        <v>#REF!</v>
      </c>
      <c r="AJ195" t="e">
        <f t="shared" si="69"/>
        <v>#REF!</v>
      </c>
      <c r="AK195" t="e">
        <f t="shared" si="70"/>
        <v>#REF!</v>
      </c>
      <c r="AL195" t="e">
        <f t="shared" si="71"/>
        <v>#REF!</v>
      </c>
    </row>
    <row r="196" spans="2:38" x14ac:dyDescent="0.15">
      <c r="B196" t="e">
        <f>Experiment!#REF!</f>
        <v>#REF!</v>
      </c>
      <c r="C196" t="e">
        <f t="shared" ref="C196:C202" si="73">IMSUM($D$1,IMDIV(($E$1-$D$1),IMSUM(IMPOWER(IMPRODUCT($J$1,2*PI()*B196*$F$1),(1-$G$1)),1)),IMDIV($H$1,IMPRODUCT($J$1,2*PI()*B196*0.000000000008854)))</f>
        <v>#REF!</v>
      </c>
      <c r="D196" t="e">
        <f t="shared" ref="D196:D202" si="74">IMPRODUCT(C196,$J$1,2*PI()*B196*0.0000000000088542)</f>
        <v>#REF!</v>
      </c>
      <c r="E196" t="e">
        <f t="shared" ref="E196:E202" si="75">IMREAL(C196)</f>
        <v>#REF!</v>
      </c>
      <c r="F196" t="e">
        <f t="shared" ref="F196:F202" si="76">-IMAGINARY(C196)</f>
        <v>#REF!</v>
      </c>
      <c r="G196" t="e">
        <f t="shared" ref="G196:G202" si="77">IMREAL(D196)</f>
        <v>#REF!</v>
      </c>
      <c r="H196" t="e">
        <f t="shared" ref="H196:H202" si="78">IMAGINARY(D196)</f>
        <v>#REF!</v>
      </c>
      <c r="L196" t="e">
        <f>Reflection!I196</f>
        <v>#REF!</v>
      </c>
      <c r="M196" t="e">
        <f t="shared" ref="M196:M202" si="79">IMSUM(2.6,IMDIV(19.94,IMSUM(1,IMPOWER(IMPRODUCT($N$1,2*PI()*L196,0.0000000001649),1))),IMDIV(0.74,IMSUM(1,IMPRODUCT($N$1,2*PI()*L196*0.0000000000104))),IMDIV(1.19,IMSUM(1,IMPRODUCT($N$1,2*PI()*L196*0.00000000000169))))</f>
        <v>#REF!</v>
      </c>
      <c r="N196" t="e">
        <f t="shared" ref="N196:N202" si="80">IMPRODUCT(M196,$N$1,2*PI()*L196*0.0000000000088542)</f>
        <v>#REF!</v>
      </c>
      <c r="O196" t="e">
        <f t="shared" ref="O196:O202" si="81">IMREAL(M196)</f>
        <v>#REF!</v>
      </c>
      <c r="P196" t="e">
        <f t="shared" ref="P196:P202" si="82">-IMAGINARY(M196)</f>
        <v>#REF!</v>
      </c>
      <c r="Q196" t="e">
        <f t="shared" ref="Q196:Q202" si="83">IMREAL(N196)</f>
        <v>#REF!</v>
      </c>
      <c r="R196" t="e">
        <f t="shared" ref="R196:R202" si="84">IMAGINARY(N196)</f>
        <v>#REF!</v>
      </c>
      <c r="U196">
        <f>Reflection!Q196</f>
        <v>2356600000</v>
      </c>
      <c r="V196" t="str">
        <f t="shared" ref="V196:V202" si="85">IMSUM($W$1,IMDIV(($X$1-$W$1),IMSUM(IMPOWER(IMPRODUCT($AC$1,2*PI()*U196*$Y$1),(1-$Z$1)),1)),IMDIV($AA$1,IMPRODUCT($AC$1,2*PI()*U196*0.000000000008854)))</f>
        <v>77.2079095544196-9.62772572245522i</v>
      </c>
      <c r="W196" t="str">
        <f t="shared" ref="W196:W202" si="86">IMPRODUCT(V196,$N$1,2*PI()*U196*0.0000000000088542)</f>
        <v>1.26223081610262+10.122245429069i</v>
      </c>
      <c r="X196">
        <f t="shared" ref="X196:X202" si="87">IMREAL(V196)</f>
        <v>77.207909554419601</v>
      </c>
      <c r="Y196">
        <f t="shared" ref="Y196:Y202" si="88">-IMAGINARY(V196)</f>
        <v>9.6277257224552208</v>
      </c>
      <c r="Z196">
        <f t="shared" ref="Z196:Z202" si="89">IMREAL(W196)</f>
        <v>1.2622308161026199</v>
      </c>
      <c r="AA196">
        <f t="shared" ref="AA196:AA202" si="90">IMAGINARY(W196)</f>
        <v>10.122245429069</v>
      </c>
      <c r="AE196" t="e">
        <f>Reflection!Y196</f>
        <v>#REF!</v>
      </c>
      <c r="AF196" t="e">
        <f>IMDIV(IMPRODUCT(IMSUB(C196,V196),IMSUB(Reflection!AB196,Reflection!D196),IMSUB(Reflection!L196,Reflection!T196)),IMPRODUCT(IMSUB(Permitivity!M196,Permitivity!V196),IMSUB(Reflection!AB196,Reflection!L196),IMSUB(Reflection!D196,Reflection!T196)))</f>
        <v>#REF!</v>
      </c>
      <c r="AG196" t="e">
        <f t="shared" ref="AG196:AG202" si="91">IMDIV(IMSUB(C196,IMPRODUCT(AF196,M196)),IMSUB(1,AF196))</f>
        <v>#REF!</v>
      </c>
      <c r="AH196" t="e">
        <f t="shared" si="72"/>
        <v>#REF!</v>
      </c>
      <c r="AI196" t="e">
        <f t="shared" ref="AI196:AI202" si="92">IMREAL(AG196)</f>
        <v>#REF!</v>
      </c>
      <c r="AJ196" t="e">
        <f t="shared" ref="AJ196:AJ202" si="93">-IMAGINARY(AG196)</f>
        <v>#REF!</v>
      </c>
      <c r="AK196" t="e">
        <f t="shared" ref="AK196:AK202" si="94">IMREAL(AH196)</f>
        <v>#REF!</v>
      </c>
      <c r="AL196" t="e">
        <f t="shared" ref="AL196:AL202" si="95">IMAGINARY(AH196)</f>
        <v>#REF!</v>
      </c>
    </row>
    <row r="197" spans="2:38" x14ac:dyDescent="0.15">
      <c r="B197" t="e">
        <f>Experiment!#REF!</f>
        <v>#REF!</v>
      </c>
      <c r="C197" t="e">
        <f t="shared" si="73"/>
        <v>#REF!</v>
      </c>
      <c r="D197" t="e">
        <f t="shared" si="74"/>
        <v>#REF!</v>
      </c>
      <c r="E197" t="e">
        <f t="shared" si="75"/>
        <v>#REF!</v>
      </c>
      <c r="F197" t="e">
        <f t="shared" si="76"/>
        <v>#REF!</v>
      </c>
      <c r="G197" t="e">
        <f t="shared" si="77"/>
        <v>#REF!</v>
      </c>
      <c r="H197" t="e">
        <f t="shared" si="78"/>
        <v>#REF!</v>
      </c>
      <c r="L197" t="e">
        <f>Reflection!I197</f>
        <v>#REF!</v>
      </c>
      <c r="M197" t="e">
        <f t="shared" si="79"/>
        <v>#REF!</v>
      </c>
      <c r="N197" t="e">
        <f t="shared" si="80"/>
        <v>#REF!</v>
      </c>
      <c r="O197" t="e">
        <f t="shared" si="81"/>
        <v>#REF!</v>
      </c>
      <c r="P197" t="e">
        <f t="shared" si="82"/>
        <v>#REF!</v>
      </c>
      <c r="Q197" t="e">
        <f t="shared" si="83"/>
        <v>#REF!</v>
      </c>
      <c r="R197" t="e">
        <f t="shared" si="84"/>
        <v>#REF!</v>
      </c>
      <c r="U197">
        <f>Reflection!Q197</f>
        <v>2453300000</v>
      </c>
      <c r="V197" t="str">
        <f t="shared" si="85"/>
        <v>77.1196913012759-9.94204181890103i</v>
      </c>
      <c r="W197" t="str">
        <f t="shared" si="86"/>
        <v>1.35692373910098+10.5255582087672i</v>
      </c>
      <c r="X197">
        <f t="shared" si="87"/>
        <v>77.119691301275907</v>
      </c>
      <c r="Y197">
        <f t="shared" si="88"/>
        <v>9.9420418189010302</v>
      </c>
      <c r="Z197">
        <f t="shared" si="89"/>
        <v>1.3569237391009801</v>
      </c>
      <c r="AA197">
        <f t="shared" si="90"/>
        <v>10.525558208767199</v>
      </c>
      <c r="AE197" t="e">
        <f>Reflection!Y197</f>
        <v>#REF!</v>
      </c>
      <c r="AF197" t="e">
        <f>IMDIV(IMPRODUCT(IMSUB(C197,V197),IMSUB(Reflection!AB197,Reflection!D197),IMSUB(Reflection!L197,Reflection!T197)),IMPRODUCT(IMSUB(Permitivity!M197,Permitivity!V197),IMSUB(Reflection!AB197,Reflection!L197),IMSUB(Reflection!D197,Reflection!T197)))</f>
        <v>#REF!</v>
      </c>
      <c r="AG197" t="e">
        <f t="shared" si="91"/>
        <v>#REF!</v>
      </c>
      <c r="AH197" t="e">
        <f t="shared" si="72"/>
        <v>#REF!</v>
      </c>
      <c r="AI197" t="e">
        <f t="shared" si="92"/>
        <v>#REF!</v>
      </c>
      <c r="AJ197" t="e">
        <f t="shared" si="93"/>
        <v>#REF!</v>
      </c>
      <c r="AK197" t="e">
        <f t="shared" si="94"/>
        <v>#REF!</v>
      </c>
      <c r="AL197" t="e">
        <f t="shared" si="95"/>
        <v>#REF!</v>
      </c>
    </row>
    <row r="198" spans="2:38" x14ac:dyDescent="0.15">
      <c r="B198" t="e">
        <f>Experiment!#REF!</f>
        <v>#REF!</v>
      </c>
      <c r="C198" t="e">
        <f t="shared" si="73"/>
        <v>#REF!</v>
      </c>
      <c r="D198" t="e">
        <f t="shared" si="74"/>
        <v>#REF!</v>
      </c>
      <c r="E198" t="e">
        <f t="shared" si="75"/>
        <v>#REF!</v>
      </c>
      <c r="F198" t="e">
        <f t="shared" si="76"/>
        <v>#REF!</v>
      </c>
      <c r="G198" t="e">
        <f t="shared" si="77"/>
        <v>#REF!</v>
      </c>
      <c r="H198" t="e">
        <f t="shared" si="78"/>
        <v>#REF!</v>
      </c>
      <c r="L198" t="e">
        <f>Reflection!I198</f>
        <v>#REF!</v>
      </c>
      <c r="M198" t="e">
        <f t="shared" si="79"/>
        <v>#REF!</v>
      </c>
      <c r="N198" t="e">
        <f t="shared" si="80"/>
        <v>#REF!</v>
      </c>
      <c r="O198" t="e">
        <f t="shared" si="81"/>
        <v>#REF!</v>
      </c>
      <c r="P198" t="e">
        <f t="shared" si="82"/>
        <v>#REF!</v>
      </c>
      <c r="Q198" t="e">
        <f t="shared" si="83"/>
        <v>#REF!</v>
      </c>
      <c r="R198" t="e">
        <f t="shared" si="84"/>
        <v>#REF!</v>
      </c>
      <c r="U198">
        <f>Reflection!Q198</f>
        <v>2554000000</v>
      </c>
      <c r="V198" t="str">
        <f t="shared" si="85"/>
        <v>77.0243233527403-10.2706769372942i</v>
      </c>
      <c r="W198" t="str">
        <f t="shared" si="86"/>
        <v>1.4593153736308+10.944047787543i</v>
      </c>
      <c r="X198">
        <f t="shared" si="87"/>
        <v>77.024323352740296</v>
      </c>
      <c r="Y198">
        <f t="shared" si="88"/>
        <v>10.2706769372942</v>
      </c>
      <c r="Z198">
        <f t="shared" si="89"/>
        <v>1.4593153736308</v>
      </c>
      <c r="AA198">
        <f t="shared" si="90"/>
        <v>10.944047787542999</v>
      </c>
      <c r="AE198" t="e">
        <f>Reflection!Y198</f>
        <v>#REF!</v>
      </c>
      <c r="AF198" t="e">
        <f>IMDIV(IMPRODUCT(IMSUB(C198,V198),IMSUB(Reflection!AB198,Reflection!D198),IMSUB(Reflection!L198,Reflection!T198)),IMPRODUCT(IMSUB(Permitivity!M198,Permitivity!V198),IMSUB(Reflection!AB198,Reflection!L198),IMSUB(Reflection!D198,Reflection!T198)))</f>
        <v>#REF!</v>
      </c>
      <c r="AG198" t="e">
        <f t="shared" si="91"/>
        <v>#REF!</v>
      </c>
      <c r="AH198" t="e">
        <f t="shared" si="72"/>
        <v>#REF!</v>
      </c>
      <c r="AI198" t="e">
        <f t="shared" si="92"/>
        <v>#REF!</v>
      </c>
      <c r="AJ198" t="e">
        <f t="shared" si="93"/>
        <v>#REF!</v>
      </c>
      <c r="AK198" t="e">
        <f t="shared" si="94"/>
        <v>#REF!</v>
      </c>
      <c r="AL198" t="e">
        <f t="shared" si="95"/>
        <v>#REF!</v>
      </c>
    </row>
    <row r="199" spans="2:38" x14ac:dyDescent="0.15">
      <c r="B199" t="e">
        <f>Experiment!#REF!</f>
        <v>#REF!</v>
      </c>
      <c r="C199" t="e">
        <f t="shared" si="73"/>
        <v>#REF!</v>
      </c>
      <c r="D199" t="e">
        <f t="shared" si="74"/>
        <v>#REF!</v>
      </c>
      <c r="E199" t="e">
        <f t="shared" si="75"/>
        <v>#REF!</v>
      </c>
      <c r="F199" t="e">
        <f t="shared" si="76"/>
        <v>#REF!</v>
      </c>
      <c r="G199" t="e">
        <f t="shared" si="77"/>
        <v>#REF!</v>
      </c>
      <c r="H199" t="e">
        <f t="shared" si="78"/>
        <v>#REF!</v>
      </c>
      <c r="L199" t="e">
        <f>Reflection!I199</f>
        <v>#REF!</v>
      </c>
      <c r="M199" t="e">
        <f t="shared" si="79"/>
        <v>#REF!</v>
      </c>
      <c r="N199" t="e">
        <f t="shared" si="80"/>
        <v>#REF!</v>
      </c>
      <c r="O199" t="e">
        <f t="shared" si="81"/>
        <v>#REF!</v>
      </c>
      <c r="P199" t="e">
        <f t="shared" si="82"/>
        <v>#REF!</v>
      </c>
      <c r="Q199" t="e">
        <f t="shared" si="83"/>
        <v>#REF!</v>
      </c>
      <c r="R199" t="e">
        <f t="shared" si="84"/>
        <v>#REF!</v>
      </c>
      <c r="U199">
        <f>Reflection!Q199</f>
        <v>2658900000</v>
      </c>
      <c r="V199" t="str">
        <f t="shared" si="85"/>
        <v>76.9212112918067-10.6140570523004i</v>
      </c>
      <c r="W199" t="str">
        <f t="shared" si="86"/>
        <v>1.57004687116104+11.3782982811878i</v>
      </c>
      <c r="X199">
        <f t="shared" si="87"/>
        <v>76.921211291806699</v>
      </c>
      <c r="Y199">
        <f t="shared" si="88"/>
        <v>10.614057052300399</v>
      </c>
      <c r="Z199">
        <f t="shared" si="89"/>
        <v>1.57004687116104</v>
      </c>
      <c r="AA199">
        <f t="shared" si="90"/>
        <v>11.378298281187799</v>
      </c>
      <c r="AE199" t="e">
        <f>Reflection!Y199</f>
        <v>#REF!</v>
      </c>
      <c r="AF199" t="e">
        <f>IMDIV(IMPRODUCT(IMSUB(C199,V199),IMSUB(Reflection!AB199,Reflection!D199),IMSUB(Reflection!L199,Reflection!T199)),IMPRODUCT(IMSUB(Permitivity!M199,Permitivity!V199),IMSUB(Reflection!AB199,Reflection!L199),IMSUB(Reflection!D199,Reflection!T199)))</f>
        <v>#REF!</v>
      </c>
      <c r="AG199" t="e">
        <f t="shared" si="91"/>
        <v>#REF!</v>
      </c>
      <c r="AH199" t="e">
        <f t="shared" si="72"/>
        <v>#REF!</v>
      </c>
      <c r="AI199" t="e">
        <f t="shared" si="92"/>
        <v>#REF!</v>
      </c>
      <c r="AJ199" t="e">
        <f t="shared" si="93"/>
        <v>#REF!</v>
      </c>
      <c r="AK199" t="e">
        <f t="shared" si="94"/>
        <v>#REF!</v>
      </c>
      <c r="AL199" t="e">
        <f t="shared" si="95"/>
        <v>#REF!</v>
      </c>
    </row>
    <row r="200" spans="2:38" x14ac:dyDescent="0.15">
      <c r="B200" t="e">
        <f>Experiment!#REF!</f>
        <v>#REF!</v>
      </c>
      <c r="C200" t="e">
        <f t="shared" si="73"/>
        <v>#REF!</v>
      </c>
      <c r="D200" t="e">
        <f t="shared" si="74"/>
        <v>#REF!</v>
      </c>
      <c r="E200" t="e">
        <f t="shared" si="75"/>
        <v>#REF!</v>
      </c>
      <c r="F200" t="e">
        <f t="shared" si="76"/>
        <v>#REF!</v>
      </c>
      <c r="G200" t="e">
        <f t="shared" si="77"/>
        <v>#REF!</v>
      </c>
      <c r="H200" t="e">
        <f t="shared" si="78"/>
        <v>#REF!</v>
      </c>
      <c r="L200" t="e">
        <f>Reflection!I200</f>
        <v>#REF!</v>
      </c>
      <c r="M200" t="e">
        <f t="shared" si="79"/>
        <v>#REF!</v>
      </c>
      <c r="N200" t="e">
        <f t="shared" si="80"/>
        <v>#REF!</v>
      </c>
      <c r="O200" t="e">
        <f t="shared" si="81"/>
        <v>#REF!</v>
      </c>
      <c r="P200" t="e">
        <f t="shared" si="82"/>
        <v>#REF!</v>
      </c>
      <c r="Q200" t="e">
        <f t="shared" si="83"/>
        <v>#REF!</v>
      </c>
      <c r="R200" t="e">
        <f t="shared" si="84"/>
        <v>#REF!</v>
      </c>
      <c r="U200">
        <f>Reflection!Q200</f>
        <v>2768100000</v>
      </c>
      <c r="V200" t="str">
        <f t="shared" si="85"/>
        <v>76.8098262717707-10.9722543271762i</v>
      </c>
      <c r="W200" t="str">
        <f t="shared" si="86"/>
        <v>1.68968923409453+11.828447705831i</v>
      </c>
      <c r="X200">
        <f t="shared" si="87"/>
        <v>76.809826271770703</v>
      </c>
      <c r="Y200">
        <f t="shared" si="88"/>
        <v>10.9722543271762</v>
      </c>
      <c r="Z200">
        <f t="shared" si="89"/>
        <v>1.68968923409453</v>
      </c>
      <c r="AA200">
        <f t="shared" si="90"/>
        <v>11.828447705831</v>
      </c>
      <c r="AE200" t="e">
        <f>Reflection!Y200</f>
        <v>#REF!</v>
      </c>
      <c r="AF200" t="e">
        <f>IMDIV(IMPRODUCT(IMSUB(C200,V200),IMSUB(Reflection!AB200,Reflection!D200),IMSUB(Reflection!L200,Reflection!T200)),IMPRODUCT(IMSUB(Permitivity!M200,Permitivity!V200),IMSUB(Reflection!AB200,Reflection!L200),IMSUB(Reflection!D200,Reflection!T200)))</f>
        <v>#REF!</v>
      </c>
      <c r="AG200" t="e">
        <f t="shared" si="91"/>
        <v>#REF!</v>
      </c>
      <c r="AH200" t="e">
        <f t="shared" si="72"/>
        <v>#REF!</v>
      </c>
      <c r="AI200" t="e">
        <f t="shared" si="92"/>
        <v>#REF!</v>
      </c>
      <c r="AJ200" t="e">
        <f t="shared" si="93"/>
        <v>#REF!</v>
      </c>
      <c r="AK200" t="e">
        <f t="shared" si="94"/>
        <v>#REF!</v>
      </c>
      <c r="AL200" t="e">
        <f t="shared" si="95"/>
        <v>#REF!</v>
      </c>
    </row>
    <row r="201" spans="2:38" x14ac:dyDescent="0.15">
      <c r="B201" t="e">
        <f>Experiment!#REF!</f>
        <v>#REF!</v>
      </c>
      <c r="C201" t="e">
        <f t="shared" si="73"/>
        <v>#REF!</v>
      </c>
      <c r="D201" t="e">
        <f t="shared" si="74"/>
        <v>#REF!</v>
      </c>
      <c r="E201" t="e">
        <f t="shared" si="75"/>
        <v>#REF!</v>
      </c>
      <c r="F201" t="e">
        <f t="shared" si="76"/>
        <v>#REF!</v>
      </c>
      <c r="G201" t="e">
        <f t="shared" si="77"/>
        <v>#REF!</v>
      </c>
      <c r="H201" t="e">
        <f t="shared" si="78"/>
        <v>#REF!</v>
      </c>
      <c r="L201" t="e">
        <f>Reflection!I201</f>
        <v>#REF!</v>
      </c>
      <c r="M201" t="e">
        <f t="shared" si="79"/>
        <v>#REF!</v>
      </c>
      <c r="N201" t="e">
        <f t="shared" si="80"/>
        <v>#REF!</v>
      </c>
      <c r="O201" t="e">
        <f t="shared" si="81"/>
        <v>#REF!</v>
      </c>
      <c r="P201" t="e">
        <f t="shared" si="82"/>
        <v>#REF!</v>
      </c>
      <c r="Q201" t="e">
        <f t="shared" si="83"/>
        <v>#REF!</v>
      </c>
      <c r="R201" t="e">
        <f t="shared" si="84"/>
        <v>#REF!</v>
      </c>
      <c r="U201">
        <f>Reflection!Q201</f>
        <v>2881700000</v>
      </c>
      <c r="V201" t="str">
        <f t="shared" si="85"/>
        <v>76.6896156243898-11.3453097611055i</v>
      </c>
      <c r="W201" t="str">
        <f t="shared" si="86"/>
        <v>1.81883926207464+12.2946033936637i</v>
      </c>
      <c r="X201">
        <f t="shared" si="87"/>
        <v>76.689615624389802</v>
      </c>
      <c r="Y201">
        <f t="shared" si="88"/>
        <v>11.345309761105501</v>
      </c>
      <c r="Z201">
        <f t="shared" si="89"/>
        <v>1.8188392620746401</v>
      </c>
      <c r="AA201">
        <f t="shared" si="90"/>
        <v>12.294603393663699</v>
      </c>
      <c r="AE201" t="e">
        <f>Reflection!Y201</f>
        <v>#REF!</v>
      </c>
      <c r="AF201" t="e">
        <f>IMDIV(IMPRODUCT(IMSUB(C201,V201),IMSUB(Reflection!AB201,Reflection!D201),IMSUB(Reflection!L201,Reflection!T201)),IMPRODUCT(IMSUB(Permitivity!M201,Permitivity!V201),IMSUB(Reflection!AB201,Reflection!L201),IMSUB(Reflection!D201,Reflection!T201)))</f>
        <v>#REF!</v>
      </c>
      <c r="AG201" t="e">
        <f t="shared" si="91"/>
        <v>#REF!</v>
      </c>
      <c r="AH201" t="e">
        <f t="shared" si="72"/>
        <v>#REF!</v>
      </c>
      <c r="AI201" t="e">
        <f t="shared" si="92"/>
        <v>#REF!</v>
      </c>
      <c r="AJ201" t="e">
        <f t="shared" si="93"/>
        <v>#REF!</v>
      </c>
      <c r="AK201" t="e">
        <f t="shared" si="94"/>
        <v>#REF!</v>
      </c>
      <c r="AL201" t="e">
        <f t="shared" si="95"/>
        <v>#REF!</v>
      </c>
    </row>
    <row r="202" spans="2:38" x14ac:dyDescent="0.15">
      <c r="B202" t="e">
        <f>Experiment!#REF!</f>
        <v>#REF!</v>
      </c>
      <c r="C202" t="e">
        <f t="shared" si="73"/>
        <v>#REF!</v>
      </c>
      <c r="D202" t="e">
        <f t="shared" si="74"/>
        <v>#REF!</v>
      </c>
      <c r="E202" t="e">
        <f t="shared" si="75"/>
        <v>#REF!</v>
      </c>
      <c r="F202" t="e">
        <f t="shared" si="76"/>
        <v>#REF!</v>
      </c>
      <c r="G202" t="e">
        <f t="shared" si="77"/>
        <v>#REF!</v>
      </c>
      <c r="H202" t="e">
        <f t="shared" si="78"/>
        <v>#REF!</v>
      </c>
      <c r="L202" t="e">
        <f>Reflection!I202</f>
        <v>#REF!</v>
      </c>
      <c r="M202" t="e">
        <f t="shared" si="79"/>
        <v>#REF!</v>
      </c>
      <c r="N202" t="e">
        <f t="shared" si="80"/>
        <v>#REF!</v>
      </c>
      <c r="O202" t="e">
        <f t="shared" si="81"/>
        <v>#REF!</v>
      </c>
      <c r="P202" t="e">
        <f t="shared" si="82"/>
        <v>#REF!</v>
      </c>
      <c r="Q202" t="e">
        <f t="shared" si="83"/>
        <v>#REF!</v>
      </c>
      <c r="R202" t="e">
        <f t="shared" si="84"/>
        <v>#REF!</v>
      </c>
      <c r="U202">
        <f>Reflection!Q202</f>
        <v>3000000000</v>
      </c>
      <c r="V202" t="str">
        <f t="shared" si="85"/>
        <v>76.5597796833092-11.7338882294635i</v>
      </c>
      <c r="W202" t="str">
        <f t="shared" si="86"/>
        <v>1.95835940391737+12.7776540540225i</v>
      </c>
      <c r="X202">
        <f t="shared" si="87"/>
        <v>76.559779683309202</v>
      </c>
      <c r="Y202">
        <f t="shared" si="88"/>
        <v>11.733888229463499</v>
      </c>
      <c r="Z202">
        <f t="shared" si="89"/>
        <v>1.95835940391737</v>
      </c>
      <c r="AA202">
        <f t="shared" si="90"/>
        <v>12.7776540540225</v>
      </c>
      <c r="AE202" t="e">
        <f>Reflection!Y202</f>
        <v>#REF!</v>
      </c>
      <c r="AF202" t="e">
        <f>IMDIV(IMPRODUCT(IMSUB(C202,V202),IMSUB(Reflection!AB202,Reflection!D202),IMSUB(Reflection!L202,Reflection!T202)),IMPRODUCT(IMSUB(Permitivity!M202,Permitivity!V202),IMSUB(Reflection!AB202,Reflection!L202),IMSUB(Reflection!D202,Reflection!T202)))</f>
        <v>#REF!</v>
      </c>
      <c r="AG202" t="e">
        <f t="shared" si="91"/>
        <v>#REF!</v>
      </c>
      <c r="AH202" t="e">
        <f t="shared" si="72"/>
        <v>#REF!</v>
      </c>
      <c r="AI202" t="e">
        <f t="shared" si="92"/>
        <v>#REF!</v>
      </c>
      <c r="AJ202" t="e">
        <f t="shared" si="93"/>
        <v>#REF!</v>
      </c>
      <c r="AK202" t="e">
        <f t="shared" si="94"/>
        <v>#REF!</v>
      </c>
      <c r="AL202" t="e">
        <f t="shared" si="95"/>
        <v>#REF!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02"/>
  <sheetViews>
    <sheetView topLeftCell="AD151" workbookViewId="0">
      <selection activeCell="T3" sqref="T3:T202"/>
    </sheetView>
  </sheetViews>
  <sheetFormatPr defaultRowHeight="13.5" x14ac:dyDescent="0.15"/>
  <cols>
    <col min="2" max="2" width="16.75" customWidth="1"/>
    <col min="3" max="3" width="19.25" customWidth="1"/>
    <col min="4" max="4" width="19.5" customWidth="1"/>
    <col min="5" max="5" width="15.25" customWidth="1"/>
    <col min="6" max="6" width="15.5" customWidth="1"/>
    <col min="15" max="15" width="12" bestFit="1" customWidth="1"/>
    <col min="19" max="19" width="14" customWidth="1"/>
    <col min="24" max="24" width="12" bestFit="1" customWidth="1"/>
    <col min="30" max="30" width="17.75" customWidth="1"/>
    <col min="31" max="31" width="8.5" customWidth="1"/>
    <col min="32" max="32" width="9.125" customWidth="1"/>
    <col min="37" max="37" width="14.25" customWidth="1"/>
    <col min="38" max="38" width="17.75" customWidth="1"/>
    <col min="39" max="39" width="24.25" customWidth="1"/>
    <col min="42" max="42" width="12" bestFit="1" customWidth="1"/>
  </cols>
  <sheetData>
    <row r="1" spans="1:43" x14ac:dyDescent="0.15">
      <c r="A1" t="s">
        <v>17</v>
      </c>
      <c r="B1" t="s">
        <v>14</v>
      </c>
      <c r="C1" t="s">
        <v>13</v>
      </c>
      <c r="J1" t="e">
        <f>Reflection!I1</f>
        <v>#REF!</v>
      </c>
      <c r="K1" t="s">
        <v>14</v>
      </c>
      <c r="L1" t="s">
        <v>13</v>
      </c>
      <c r="S1" t="s">
        <v>19</v>
      </c>
      <c r="T1" t="s">
        <v>14</v>
      </c>
      <c r="U1" t="s">
        <v>13</v>
      </c>
      <c r="AA1">
        <v>0.16</v>
      </c>
      <c r="AB1" t="s">
        <v>26</v>
      </c>
      <c r="AC1">
        <v>25</v>
      </c>
      <c r="AD1">
        <f>5.77-0.0274*AC1</f>
        <v>5.0849999999999991</v>
      </c>
      <c r="AE1">
        <f>(10^(1.94404-AC1*0.001991))*(1-0.0003742*AC1*AA1+0.034*(AA1^2)-0.178*AA1+AC1*0.0001515-0.000004929*(AC1^2))</f>
        <v>76.164521580330273</v>
      </c>
      <c r="AF1">
        <f>(0.000000000000003745*(1+(0.00007)*(AC1-27.5)^2)*EXP(2295.7/(AC1+273.15)))*(1.012-AC1*AA1*0.005282+0.032*(AA1^2)-0.01*AA1-AC1*0.001724+0.00003766*(AC1^2))</f>
        <v>8.0285582548094996E-12</v>
      </c>
      <c r="AG1">
        <f>-0.0006348*AC1*AA1-0.051*(AA1^2)+0.09*AA1</f>
        <v>1.0555199999999999E-2</v>
      </c>
      <c r="AH1">
        <f>0.174*AC1*AA1-1.582*(AA1^2)+5.923*AA1</f>
        <v>1.6031808000000001</v>
      </c>
      <c r="AI1" t="s">
        <v>14</v>
      </c>
      <c r="AJ1" t="s">
        <v>13</v>
      </c>
      <c r="AK1" t="s">
        <v>27</v>
      </c>
      <c r="AL1" t="s">
        <v>14</v>
      </c>
      <c r="AM1" t="s">
        <v>13</v>
      </c>
    </row>
    <row r="2" spans="1:43" x14ac:dyDescent="0.15">
      <c r="A2" t="s">
        <v>0</v>
      </c>
      <c r="B2" t="s">
        <v>16</v>
      </c>
      <c r="C2" t="s">
        <v>15</v>
      </c>
      <c r="D2" t="s">
        <v>12</v>
      </c>
      <c r="E2" t="s">
        <v>11</v>
      </c>
      <c r="F2" t="s">
        <v>10</v>
      </c>
      <c r="G2" t="s">
        <v>9</v>
      </c>
      <c r="J2" t="s">
        <v>0</v>
      </c>
      <c r="K2" t="s">
        <v>16</v>
      </c>
      <c r="L2" t="s">
        <v>15</v>
      </c>
      <c r="M2" t="s">
        <v>12</v>
      </c>
      <c r="N2" t="s">
        <v>11</v>
      </c>
      <c r="O2" t="s">
        <v>10</v>
      </c>
      <c r="P2" t="s">
        <v>9</v>
      </c>
      <c r="S2" t="s">
        <v>0</v>
      </c>
      <c r="T2" t="s">
        <v>16</v>
      </c>
      <c r="U2" t="s">
        <v>15</v>
      </c>
      <c r="V2" t="s">
        <v>12</v>
      </c>
      <c r="W2" t="s">
        <v>11</v>
      </c>
      <c r="X2" t="s">
        <v>10</v>
      </c>
      <c r="Y2" t="s">
        <v>9</v>
      </c>
      <c r="AB2" t="s">
        <v>0</v>
      </c>
      <c r="AC2" t="s">
        <v>16</v>
      </c>
      <c r="AD2" t="s">
        <v>15</v>
      </c>
      <c r="AE2" t="s">
        <v>12</v>
      </c>
      <c r="AF2" t="s">
        <v>11</v>
      </c>
      <c r="AG2" t="s">
        <v>10</v>
      </c>
      <c r="AH2" t="s">
        <v>9</v>
      </c>
      <c r="AK2" t="s">
        <v>0</v>
      </c>
      <c r="AL2" t="s">
        <v>16</v>
      </c>
      <c r="AM2" t="s">
        <v>15</v>
      </c>
      <c r="AN2" t="s">
        <v>12</v>
      </c>
      <c r="AO2" t="s">
        <v>11</v>
      </c>
      <c r="AP2" t="s">
        <v>10</v>
      </c>
      <c r="AQ2" t="s">
        <v>9</v>
      </c>
    </row>
    <row r="3" spans="1:43" x14ac:dyDescent="0.15">
      <c r="A3" t="e">
        <f>Reflection!A3</f>
        <v>#REF!</v>
      </c>
      <c r="B3" t="e">
        <f t="shared" ref="B3:B66" si="0">IMSUM(4.1,IMDIV((78.4-4.1),IMSUM(IMPRODUCT($C$1,2*PI()*A3*0.0000000000083),1)))</f>
        <v>#REF!</v>
      </c>
      <c r="C3" t="e">
        <f t="shared" ref="C3:C66" si="1">IMPRODUCT(IMPRODUCT(B3,$C$1),2*PI()*A3*0.000000000008854)</f>
        <v>#REF!</v>
      </c>
      <c r="D3" t="e">
        <f>IMREAL(B3)</f>
        <v>#REF!</v>
      </c>
      <c r="E3" t="e">
        <f>-IMAGINARY(B3)</f>
        <v>#REF!</v>
      </c>
      <c r="F3" t="e">
        <f>IMREAL(C3)</f>
        <v>#REF!</v>
      </c>
      <c r="G3" t="e">
        <f t="shared" ref="G3:G66" si="2">IMAGINARY(C3)</f>
        <v>#REF!</v>
      </c>
      <c r="J3" t="e">
        <f>Reflection!A3</f>
        <v>#REF!</v>
      </c>
      <c r="K3" t="e">
        <f>IMSUM(2.6,IMDIV(19.94,IMSUM(1,IMPOWER(IMPRODUCT($L$1,2*PI()*J3,0.0000000001649),1))),IMDIV(0.74,IMSUM(1,IMPRODUCT($L$1,2*PI()*J3*0.0000000000104))),IMDIV(1.19,IMSUM(1,IMPRODUCT($L$1,2*PI()*J3*0.00000000000169))))</f>
        <v>#REF!</v>
      </c>
      <c r="L3" t="e">
        <f t="shared" ref="L3:L34" si="3">IMPRODUCT(IMPRODUCT(K3,$L$1),2*PI()*J3*0.0000000000088542)</f>
        <v>#REF!</v>
      </c>
      <c r="M3" t="e">
        <f>IMREAL(K3)</f>
        <v>#REF!</v>
      </c>
      <c r="N3" t="e">
        <f>-IMAGINARY(K3)</f>
        <v>#REF!</v>
      </c>
      <c r="O3" t="e">
        <f>IMREAL(L3)</f>
        <v>#REF!</v>
      </c>
      <c r="P3" t="e">
        <f>IMAGINARY(L3)</f>
        <v>#REF!</v>
      </c>
      <c r="S3" t="e">
        <f>Reflection!A3</f>
        <v>#REF!</v>
      </c>
      <c r="T3" t="e">
        <f>IMSUM(2.7,IMDIV(25.93,IMSUM(1,IMPOWER(IMPRODUCT($U$1,2*PI()*S3,0.00000000009441),0.956))),IMDIV(1.44,IMSUM(1,IMPRODUCT($U$1,2*PI()*S3*0.00000000000891))),IMDIV(1.28,IMSUM(1,IMPRODUCT($U$1,2*PI()*S3*0.00000000000139))))</f>
        <v>#REF!</v>
      </c>
      <c r="U3" t="e">
        <f>IMPRODUCT(IMPRODUCT(T3,$U$1),2*PI()*S3*0.0000000000088542)</f>
        <v>#REF!</v>
      </c>
      <c r="V3" t="e">
        <f>IMREAL(T3)</f>
        <v>#REF!</v>
      </c>
      <c r="W3" t="e">
        <f>-IMAGINARY(T3)</f>
        <v>#REF!</v>
      </c>
      <c r="X3" t="e">
        <f>IMREAL(U3)</f>
        <v>#REF!</v>
      </c>
      <c r="Y3" t="e">
        <f>IMAGINARY(U3)</f>
        <v>#REF!</v>
      </c>
      <c r="AB3" t="e">
        <f>Reflection!A3</f>
        <v>#REF!</v>
      </c>
      <c r="AC3" t="e">
        <f>IMSUM($AD$1,IMSUM(IMDIV(($AE$1-$AD$1),IMSUM(IMPOWER(IMPRODUCT($AJ$1,2*PI()*AB3*$AF$1),(1-$AG$1)),1)),IMDIV($AH$1,IMPRODUCT($AJ$1,2*PI()*AB3*0.000000000008854))))</f>
        <v>#REF!</v>
      </c>
      <c r="AD3" t="e">
        <f>IMPRODUCT(IMPRODUCT(AC3,$AJ$1),2*PI()*AB3*0.000000000008854)</f>
        <v>#REF!</v>
      </c>
      <c r="AE3" t="e">
        <f>IMREAL(AC3)</f>
        <v>#REF!</v>
      </c>
      <c r="AF3" t="e">
        <f>-IMAGINARY(AC3)</f>
        <v>#REF!</v>
      </c>
      <c r="AG3" t="e">
        <f>IMREAL(AD3)</f>
        <v>#REF!</v>
      </c>
      <c r="AH3" t="e">
        <f t="shared" ref="AH3:AH67" si="4">IMAGINARY(AD3)</f>
        <v>#REF!</v>
      </c>
      <c r="AK3" t="e">
        <f>Reflection!A3</f>
        <v>#REF!</v>
      </c>
      <c r="AL3" t="e">
        <f>IMSUM(4.1,IMDIV((78.4-4.1),IMSUM(IMPRODUCT($AM$1,2*PI()*AK3*0.0000000000083),1)))</f>
        <v>#REF!</v>
      </c>
      <c r="AM3" t="e">
        <f t="shared" ref="AM3:AM34" si="5">IMPRODUCT(IMPRODUCT(AL3,$AM$1),2*PI()*AK3*0.000000000008854)</f>
        <v>#REF!</v>
      </c>
      <c r="AN3" t="e">
        <f>IMREAL(AL3)</f>
        <v>#REF!</v>
      </c>
      <c r="AO3" t="e">
        <f>-IMAGINARY(AL3)</f>
        <v>#REF!</v>
      </c>
      <c r="AP3" t="e">
        <f>IMREAL(AM3)</f>
        <v>#REF!</v>
      </c>
      <c r="AQ3" t="e">
        <f t="shared" ref="AQ3:AQ67" si="6">IMAGINARY(AM3)</f>
        <v>#REF!</v>
      </c>
    </row>
    <row r="4" spans="1:43" x14ac:dyDescent="0.15">
      <c r="A4" t="e">
        <f>Reflection!A4</f>
        <v>#REF!</v>
      </c>
      <c r="B4" t="e">
        <f t="shared" si="0"/>
        <v>#REF!</v>
      </c>
      <c r="C4" t="e">
        <f t="shared" si="1"/>
        <v>#REF!</v>
      </c>
      <c r="D4" t="e">
        <f t="shared" ref="D4:D67" si="7">IMREAL(B4)</f>
        <v>#REF!</v>
      </c>
      <c r="E4" t="e">
        <f t="shared" ref="E4:E67" si="8">-IMAGINARY(B4)</f>
        <v>#REF!</v>
      </c>
      <c r="F4" t="e">
        <f t="shared" ref="F4:F67" si="9">IMREAL(C4)</f>
        <v>#REF!</v>
      </c>
      <c r="G4" t="e">
        <f t="shared" si="2"/>
        <v>#REF!</v>
      </c>
      <c r="J4" t="e">
        <f>Reflection!A4</f>
        <v>#REF!</v>
      </c>
      <c r="K4" t="e">
        <f t="shared" ref="K4:K67" si="10">IMSUM(2.6,IMDIV(19.94,IMSUM(1,IMPOWER(IMPRODUCT($L$1,2*PI()*J4,0.0000000001649),1))),IMDIV(0.74,IMSUM(1,IMPRODUCT($L$1,2*PI()*J4*0.0000000000104))),IMDIV(1.19,IMSUM(1,IMPRODUCT($L$1,2*PI()*J4*0.00000000000169))))</f>
        <v>#REF!</v>
      </c>
      <c r="L4" t="e">
        <f t="shared" si="3"/>
        <v>#REF!</v>
      </c>
      <c r="M4" t="e">
        <f t="shared" ref="M4:M67" si="11">IMREAL(K4)</f>
        <v>#REF!</v>
      </c>
      <c r="N4" t="e">
        <f t="shared" ref="N4:N67" si="12">-IMAGINARY(K4)</f>
        <v>#REF!</v>
      </c>
      <c r="O4" t="e">
        <f t="shared" ref="O4:O67" si="13">IMREAL(L4)</f>
        <v>#REF!</v>
      </c>
      <c r="P4" t="e">
        <f t="shared" ref="P4:P67" si="14">IMAGINARY(L4)</f>
        <v>#REF!</v>
      </c>
      <c r="S4" t="e">
        <f>Reflection!A4</f>
        <v>#REF!</v>
      </c>
      <c r="T4" t="e">
        <f t="shared" ref="T4:T67" si="15">IMSUM(2.7,IMDIV(25.93,IMSUM(1,IMPOWER(IMPRODUCT($U$1,2*PI()*S4,0.00000000009441),0.956))),IMDIV(1.44,IMSUM(1,IMPRODUCT($U$1,2*PI()*S4*0.00000000000891))),IMDIV(1.28,IMSUM(1,IMPRODUCT($U$1,2*PI()*S4*0.00000000000139))))</f>
        <v>#REF!</v>
      </c>
      <c r="U4" t="e">
        <f t="shared" ref="U4:U67" si="16">IMPRODUCT(IMPRODUCT(T4,$U$1),2*PI()*S4*0.0000000000088542)</f>
        <v>#REF!</v>
      </c>
      <c r="V4" t="e">
        <f t="shared" ref="V4:V67" si="17">IMREAL(T4)</f>
        <v>#REF!</v>
      </c>
      <c r="W4" t="e">
        <f t="shared" ref="W4:W67" si="18">-IMAGINARY(T4)</f>
        <v>#REF!</v>
      </c>
      <c r="X4" t="e">
        <f t="shared" ref="X4:X67" si="19">IMREAL(U4)</f>
        <v>#REF!</v>
      </c>
      <c r="Y4" t="e">
        <f t="shared" ref="Y4:Y67" si="20">IMAGINARY(U4)</f>
        <v>#REF!</v>
      </c>
      <c r="AB4" t="e">
        <f>Reflection!A4</f>
        <v>#REF!</v>
      </c>
      <c r="AC4" t="e">
        <f t="shared" ref="AC4:AC67" si="21">IMSUM($AD$1,IMSUM(IMDIV(($AE$1-$AD$1),IMSUM(IMPOWER(IMPRODUCT($AJ$1,2*PI()*AB4*$AF$1),(1-$AG$1)),1)),IMDIV($AH$1,IMPRODUCT($AJ$1,2*PI()*AB4*0.000000000008854))))</f>
        <v>#REF!</v>
      </c>
      <c r="AD4" t="e">
        <f t="shared" ref="AD4:AD67" si="22">IMPRODUCT(IMPRODUCT(AC4,$AJ$1),2*PI()*AB4*0.000000000008854)</f>
        <v>#REF!</v>
      </c>
      <c r="AE4" t="e">
        <f t="shared" ref="AE4:AE67" si="23">IMREAL(AC4)</f>
        <v>#REF!</v>
      </c>
      <c r="AF4" t="e">
        <f t="shared" ref="AF4:AF67" si="24">-IMAGINARY(AC4)</f>
        <v>#REF!</v>
      </c>
      <c r="AG4" t="e">
        <f t="shared" ref="AG4:AG67" si="25">IMREAL(AD4)</f>
        <v>#REF!</v>
      </c>
      <c r="AH4" t="e">
        <f t="shared" si="4"/>
        <v>#REF!</v>
      </c>
      <c r="AK4" t="e">
        <f>Reflection!A4</f>
        <v>#REF!</v>
      </c>
      <c r="AL4" t="e">
        <f t="shared" ref="AL4:AL67" si="26">IMSUM(4.1,IMDIV((78.4-4.1),IMSUM(IMPRODUCT($AM$1,2*PI()*AK4*0.0000000000083),1)))</f>
        <v>#REF!</v>
      </c>
      <c r="AM4" t="e">
        <f t="shared" si="5"/>
        <v>#REF!</v>
      </c>
      <c r="AN4" t="e">
        <f t="shared" ref="AN4:AN67" si="27">IMREAL(AL4)</f>
        <v>#REF!</v>
      </c>
      <c r="AO4" t="e">
        <f t="shared" ref="AO4:AO67" si="28">-IMAGINARY(AL4)</f>
        <v>#REF!</v>
      </c>
      <c r="AP4" t="e">
        <f t="shared" ref="AP4:AP67" si="29">IMREAL(AM4)</f>
        <v>#REF!</v>
      </c>
      <c r="AQ4" t="e">
        <f t="shared" si="6"/>
        <v>#REF!</v>
      </c>
    </row>
    <row r="5" spans="1:43" x14ac:dyDescent="0.15">
      <c r="A5" t="e">
        <f>Reflection!A5</f>
        <v>#REF!</v>
      </c>
      <c r="B5" t="e">
        <f t="shared" si="0"/>
        <v>#REF!</v>
      </c>
      <c r="C5" t="e">
        <f t="shared" si="1"/>
        <v>#REF!</v>
      </c>
      <c r="D5" t="e">
        <f t="shared" si="7"/>
        <v>#REF!</v>
      </c>
      <c r="E5" t="e">
        <f t="shared" si="8"/>
        <v>#REF!</v>
      </c>
      <c r="F5" t="e">
        <f t="shared" si="9"/>
        <v>#REF!</v>
      </c>
      <c r="G5" t="e">
        <f t="shared" si="2"/>
        <v>#REF!</v>
      </c>
      <c r="J5" t="e">
        <f>Reflection!A5</f>
        <v>#REF!</v>
      </c>
      <c r="K5" t="e">
        <f t="shared" si="10"/>
        <v>#REF!</v>
      </c>
      <c r="L5" t="e">
        <f t="shared" si="3"/>
        <v>#REF!</v>
      </c>
      <c r="M5" t="e">
        <f t="shared" si="11"/>
        <v>#REF!</v>
      </c>
      <c r="N5" t="e">
        <f t="shared" si="12"/>
        <v>#REF!</v>
      </c>
      <c r="O5" t="e">
        <f t="shared" si="13"/>
        <v>#REF!</v>
      </c>
      <c r="P5" t="e">
        <f t="shared" si="14"/>
        <v>#REF!</v>
      </c>
      <c r="S5" t="e">
        <f>Reflection!A5</f>
        <v>#REF!</v>
      </c>
      <c r="T5" t="e">
        <f t="shared" si="15"/>
        <v>#REF!</v>
      </c>
      <c r="U5" t="e">
        <f t="shared" si="16"/>
        <v>#REF!</v>
      </c>
      <c r="V5" t="e">
        <f t="shared" si="17"/>
        <v>#REF!</v>
      </c>
      <c r="W5" t="e">
        <f t="shared" si="18"/>
        <v>#REF!</v>
      </c>
      <c r="X5" t="e">
        <f t="shared" si="19"/>
        <v>#REF!</v>
      </c>
      <c r="Y5" t="e">
        <f t="shared" si="20"/>
        <v>#REF!</v>
      </c>
      <c r="AB5" t="e">
        <f>Reflection!A5</f>
        <v>#REF!</v>
      </c>
      <c r="AC5" t="e">
        <f t="shared" si="21"/>
        <v>#REF!</v>
      </c>
      <c r="AD5" t="e">
        <f t="shared" si="22"/>
        <v>#REF!</v>
      </c>
      <c r="AE5" t="e">
        <f t="shared" si="23"/>
        <v>#REF!</v>
      </c>
      <c r="AF5" t="e">
        <f t="shared" si="24"/>
        <v>#REF!</v>
      </c>
      <c r="AG5" t="e">
        <f t="shared" si="25"/>
        <v>#REF!</v>
      </c>
      <c r="AH5" t="e">
        <f t="shared" si="4"/>
        <v>#REF!</v>
      </c>
      <c r="AK5" t="e">
        <f>Reflection!A5</f>
        <v>#REF!</v>
      </c>
      <c r="AL5" t="e">
        <f t="shared" si="26"/>
        <v>#REF!</v>
      </c>
      <c r="AM5" t="e">
        <f t="shared" si="5"/>
        <v>#REF!</v>
      </c>
      <c r="AN5" t="e">
        <f t="shared" si="27"/>
        <v>#REF!</v>
      </c>
      <c r="AO5" t="e">
        <f t="shared" si="28"/>
        <v>#REF!</v>
      </c>
      <c r="AP5" t="e">
        <f t="shared" si="29"/>
        <v>#REF!</v>
      </c>
      <c r="AQ5" t="e">
        <f t="shared" si="6"/>
        <v>#REF!</v>
      </c>
    </row>
    <row r="6" spans="1:43" x14ac:dyDescent="0.15">
      <c r="A6" t="e">
        <f>Reflection!A6</f>
        <v>#REF!</v>
      </c>
      <c r="B6" t="e">
        <f t="shared" si="0"/>
        <v>#REF!</v>
      </c>
      <c r="C6" t="e">
        <f t="shared" si="1"/>
        <v>#REF!</v>
      </c>
      <c r="D6" t="e">
        <f t="shared" si="7"/>
        <v>#REF!</v>
      </c>
      <c r="E6" t="e">
        <f t="shared" si="8"/>
        <v>#REF!</v>
      </c>
      <c r="F6" t="e">
        <f t="shared" si="9"/>
        <v>#REF!</v>
      </c>
      <c r="G6" t="e">
        <f t="shared" si="2"/>
        <v>#REF!</v>
      </c>
      <c r="J6" t="e">
        <f>Reflection!A6</f>
        <v>#REF!</v>
      </c>
      <c r="K6" t="e">
        <f t="shared" si="10"/>
        <v>#REF!</v>
      </c>
      <c r="L6" t="e">
        <f t="shared" si="3"/>
        <v>#REF!</v>
      </c>
      <c r="M6" t="e">
        <f t="shared" si="11"/>
        <v>#REF!</v>
      </c>
      <c r="N6" t="e">
        <f t="shared" si="12"/>
        <v>#REF!</v>
      </c>
      <c r="O6" t="e">
        <f t="shared" si="13"/>
        <v>#REF!</v>
      </c>
      <c r="P6" t="e">
        <f t="shared" si="14"/>
        <v>#REF!</v>
      </c>
      <c r="S6" t="e">
        <f>Reflection!A6</f>
        <v>#REF!</v>
      </c>
      <c r="T6" t="e">
        <f t="shared" si="15"/>
        <v>#REF!</v>
      </c>
      <c r="U6" t="e">
        <f t="shared" si="16"/>
        <v>#REF!</v>
      </c>
      <c r="V6" t="e">
        <f t="shared" si="17"/>
        <v>#REF!</v>
      </c>
      <c r="W6" t="e">
        <f t="shared" si="18"/>
        <v>#REF!</v>
      </c>
      <c r="X6" t="e">
        <f t="shared" si="19"/>
        <v>#REF!</v>
      </c>
      <c r="Y6" t="e">
        <f t="shared" si="20"/>
        <v>#REF!</v>
      </c>
      <c r="AB6" t="e">
        <f>Reflection!A6</f>
        <v>#REF!</v>
      </c>
      <c r="AC6" t="e">
        <f t="shared" si="21"/>
        <v>#REF!</v>
      </c>
      <c r="AD6" t="e">
        <f t="shared" si="22"/>
        <v>#REF!</v>
      </c>
      <c r="AE6" t="e">
        <f t="shared" si="23"/>
        <v>#REF!</v>
      </c>
      <c r="AF6" t="e">
        <f t="shared" si="24"/>
        <v>#REF!</v>
      </c>
      <c r="AG6" t="e">
        <f t="shared" si="25"/>
        <v>#REF!</v>
      </c>
      <c r="AH6" t="e">
        <f t="shared" si="4"/>
        <v>#REF!</v>
      </c>
      <c r="AK6" t="e">
        <f>Reflection!A6</f>
        <v>#REF!</v>
      </c>
      <c r="AL6" t="e">
        <f t="shared" si="26"/>
        <v>#REF!</v>
      </c>
      <c r="AM6" t="e">
        <f t="shared" si="5"/>
        <v>#REF!</v>
      </c>
      <c r="AN6" t="e">
        <f t="shared" si="27"/>
        <v>#REF!</v>
      </c>
      <c r="AO6" t="e">
        <f t="shared" si="28"/>
        <v>#REF!</v>
      </c>
      <c r="AP6" t="e">
        <f t="shared" si="29"/>
        <v>#REF!</v>
      </c>
      <c r="AQ6" t="e">
        <f t="shared" si="6"/>
        <v>#REF!</v>
      </c>
    </row>
    <row r="7" spans="1:43" x14ac:dyDescent="0.15">
      <c r="A7" t="e">
        <f>Reflection!A7</f>
        <v>#REF!</v>
      </c>
      <c r="B7" t="e">
        <f t="shared" si="0"/>
        <v>#REF!</v>
      </c>
      <c r="C7" t="e">
        <f t="shared" si="1"/>
        <v>#REF!</v>
      </c>
      <c r="D7" t="e">
        <f t="shared" si="7"/>
        <v>#REF!</v>
      </c>
      <c r="E7" t="e">
        <f t="shared" si="8"/>
        <v>#REF!</v>
      </c>
      <c r="F7" t="e">
        <f t="shared" si="9"/>
        <v>#REF!</v>
      </c>
      <c r="G7" t="e">
        <f t="shared" si="2"/>
        <v>#REF!</v>
      </c>
      <c r="J7" t="e">
        <f>Reflection!A7</f>
        <v>#REF!</v>
      </c>
      <c r="K7" t="e">
        <f t="shared" si="10"/>
        <v>#REF!</v>
      </c>
      <c r="L7" t="e">
        <f t="shared" si="3"/>
        <v>#REF!</v>
      </c>
      <c r="M7" t="e">
        <f t="shared" si="11"/>
        <v>#REF!</v>
      </c>
      <c r="N7" t="e">
        <f t="shared" si="12"/>
        <v>#REF!</v>
      </c>
      <c r="O7" t="e">
        <f t="shared" si="13"/>
        <v>#REF!</v>
      </c>
      <c r="P7" t="e">
        <f t="shared" si="14"/>
        <v>#REF!</v>
      </c>
      <c r="S7" t="e">
        <f>Reflection!A7</f>
        <v>#REF!</v>
      </c>
      <c r="T7" t="e">
        <f t="shared" si="15"/>
        <v>#REF!</v>
      </c>
      <c r="U7" t="e">
        <f t="shared" si="16"/>
        <v>#REF!</v>
      </c>
      <c r="V7" t="e">
        <f t="shared" si="17"/>
        <v>#REF!</v>
      </c>
      <c r="W7" t="e">
        <f t="shared" si="18"/>
        <v>#REF!</v>
      </c>
      <c r="X7" t="e">
        <f t="shared" si="19"/>
        <v>#REF!</v>
      </c>
      <c r="Y7" t="e">
        <f t="shared" si="20"/>
        <v>#REF!</v>
      </c>
      <c r="AB7" t="e">
        <f>Reflection!A7</f>
        <v>#REF!</v>
      </c>
      <c r="AC7" t="e">
        <f t="shared" si="21"/>
        <v>#REF!</v>
      </c>
      <c r="AD7" t="e">
        <f t="shared" si="22"/>
        <v>#REF!</v>
      </c>
      <c r="AE7" t="e">
        <f t="shared" si="23"/>
        <v>#REF!</v>
      </c>
      <c r="AF7" t="e">
        <f t="shared" si="24"/>
        <v>#REF!</v>
      </c>
      <c r="AG7" t="e">
        <f t="shared" si="25"/>
        <v>#REF!</v>
      </c>
      <c r="AH7" t="e">
        <f t="shared" si="4"/>
        <v>#REF!</v>
      </c>
      <c r="AK7" t="e">
        <f>Reflection!A7</f>
        <v>#REF!</v>
      </c>
      <c r="AL7" t="e">
        <f t="shared" si="26"/>
        <v>#REF!</v>
      </c>
      <c r="AM7" t="e">
        <f t="shared" si="5"/>
        <v>#REF!</v>
      </c>
      <c r="AN7" t="e">
        <f t="shared" si="27"/>
        <v>#REF!</v>
      </c>
      <c r="AO7" t="e">
        <f t="shared" si="28"/>
        <v>#REF!</v>
      </c>
      <c r="AP7" t="e">
        <f t="shared" si="29"/>
        <v>#REF!</v>
      </c>
      <c r="AQ7" t="e">
        <f t="shared" si="6"/>
        <v>#REF!</v>
      </c>
    </row>
    <row r="8" spans="1:43" x14ac:dyDescent="0.15">
      <c r="A8" t="e">
        <f>Reflection!A8</f>
        <v>#REF!</v>
      </c>
      <c r="B8" t="e">
        <f t="shared" si="0"/>
        <v>#REF!</v>
      </c>
      <c r="C8" t="e">
        <f t="shared" si="1"/>
        <v>#REF!</v>
      </c>
      <c r="D8" t="e">
        <f t="shared" si="7"/>
        <v>#REF!</v>
      </c>
      <c r="E8" t="e">
        <f t="shared" si="8"/>
        <v>#REF!</v>
      </c>
      <c r="F8" t="e">
        <f t="shared" si="9"/>
        <v>#REF!</v>
      </c>
      <c r="G8" t="e">
        <f t="shared" si="2"/>
        <v>#REF!</v>
      </c>
      <c r="J8" t="e">
        <f>Reflection!A8</f>
        <v>#REF!</v>
      </c>
      <c r="K8" t="e">
        <f t="shared" si="10"/>
        <v>#REF!</v>
      </c>
      <c r="L8" t="e">
        <f t="shared" si="3"/>
        <v>#REF!</v>
      </c>
      <c r="M8" t="e">
        <f t="shared" si="11"/>
        <v>#REF!</v>
      </c>
      <c r="N8" t="e">
        <f t="shared" si="12"/>
        <v>#REF!</v>
      </c>
      <c r="O8" t="e">
        <f t="shared" si="13"/>
        <v>#REF!</v>
      </c>
      <c r="P8" t="e">
        <f t="shared" si="14"/>
        <v>#REF!</v>
      </c>
      <c r="S8" t="e">
        <f>Reflection!A8</f>
        <v>#REF!</v>
      </c>
      <c r="T8" t="e">
        <f t="shared" si="15"/>
        <v>#REF!</v>
      </c>
      <c r="U8" t="e">
        <f t="shared" si="16"/>
        <v>#REF!</v>
      </c>
      <c r="V8" t="e">
        <f t="shared" si="17"/>
        <v>#REF!</v>
      </c>
      <c r="W8" t="e">
        <f t="shared" si="18"/>
        <v>#REF!</v>
      </c>
      <c r="X8" t="e">
        <f t="shared" si="19"/>
        <v>#REF!</v>
      </c>
      <c r="Y8" t="e">
        <f t="shared" si="20"/>
        <v>#REF!</v>
      </c>
      <c r="AB8" t="e">
        <f>Reflection!A8</f>
        <v>#REF!</v>
      </c>
      <c r="AC8" t="e">
        <f t="shared" si="21"/>
        <v>#REF!</v>
      </c>
      <c r="AD8" t="e">
        <f t="shared" si="22"/>
        <v>#REF!</v>
      </c>
      <c r="AE8" t="e">
        <f t="shared" si="23"/>
        <v>#REF!</v>
      </c>
      <c r="AF8" t="e">
        <f t="shared" si="24"/>
        <v>#REF!</v>
      </c>
      <c r="AG8" t="e">
        <f t="shared" si="25"/>
        <v>#REF!</v>
      </c>
      <c r="AH8" t="e">
        <f t="shared" si="4"/>
        <v>#REF!</v>
      </c>
      <c r="AK8" t="e">
        <f>Reflection!A8</f>
        <v>#REF!</v>
      </c>
      <c r="AL8" t="e">
        <f t="shared" si="26"/>
        <v>#REF!</v>
      </c>
      <c r="AM8" t="e">
        <f t="shared" si="5"/>
        <v>#REF!</v>
      </c>
      <c r="AN8" t="e">
        <f t="shared" si="27"/>
        <v>#REF!</v>
      </c>
      <c r="AO8" t="e">
        <f t="shared" si="28"/>
        <v>#REF!</v>
      </c>
      <c r="AP8" t="e">
        <f t="shared" si="29"/>
        <v>#REF!</v>
      </c>
      <c r="AQ8" t="e">
        <f t="shared" si="6"/>
        <v>#REF!</v>
      </c>
    </row>
    <row r="9" spans="1:43" x14ac:dyDescent="0.15">
      <c r="A9" t="e">
        <f>Reflection!A9</f>
        <v>#REF!</v>
      </c>
      <c r="B9" t="e">
        <f t="shared" si="0"/>
        <v>#REF!</v>
      </c>
      <c r="C9" t="e">
        <f t="shared" si="1"/>
        <v>#REF!</v>
      </c>
      <c r="D9" t="e">
        <f t="shared" si="7"/>
        <v>#REF!</v>
      </c>
      <c r="E9" t="e">
        <f t="shared" si="8"/>
        <v>#REF!</v>
      </c>
      <c r="F9" t="e">
        <f t="shared" si="9"/>
        <v>#REF!</v>
      </c>
      <c r="G9" t="e">
        <f t="shared" si="2"/>
        <v>#REF!</v>
      </c>
      <c r="J9" t="e">
        <f>Reflection!A9</f>
        <v>#REF!</v>
      </c>
      <c r="K9" t="e">
        <f t="shared" si="10"/>
        <v>#REF!</v>
      </c>
      <c r="L9" t="e">
        <f t="shared" si="3"/>
        <v>#REF!</v>
      </c>
      <c r="M9" t="e">
        <f t="shared" si="11"/>
        <v>#REF!</v>
      </c>
      <c r="N9" t="e">
        <f t="shared" si="12"/>
        <v>#REF!</v>
      </c>
      <c r="O9" t="e">
        <f t="shared" si="13"/>
        <v>#REF!</v>
      </c>
      <c r="P9" t="e">
        <f t="shared" si="14"/>
        <v>#REF!</v>
      </c>
      <c r="S9" t="e">
        <f>Reflection!A9</f>
        <v>#REF!</v>
      </c>
      <c r="T9" t="e">
        <f t="shared" si="15"/>
        <v>#REF!</v>
      </c>
      <c r="U9" t="e">
        <f t="shared" si="16"/>
        <v>#REF!</v>
      </c>
      <c r="V9" t="e">
        <f t="shared" si="17"/>
        <v>#REF!</v>
      </c>
      <c r="W9" t="e">
        <f t="shared" si="18"/>
        <v>#REF!</v>
      </c>
      <c r="X9" t="e">
        <f t="shared" si="19"/>
        <v>#REF!</v>
      </c>
      <c r="Y9" t="e">
        <f t="shared" si="20"/>
        <v>#REF!</v>
      </c>
      <c r="AB9" t="e">
        <f>Reflection!A9</f>
        <v>#REF!</v>
      </c>
      <c r="AC9" t="e">
        <f t="shared" si="21"/>
        <v>#REF!</v>
      </c>
      <c r="AD9" t="e">
        <f t="shared" si="22"/>
        <v>#REF!</v>
      </c>
      <c r="AE9" t="e">
        <f t="shared" si="23"/>
        <v>#REF!</v>
      </c>
      <c r="AF9" t="e">
        <f t="shared" si="24"/>
        <v>#REF!</v>
      </c>
      <c r="AG9" t="e">
        <f t="shared" si="25"/>
        <v>#REF!</v>
      </c>
      <c r="AH9" t="e">
        <f t="shared" si="4"/>
        <v>#REF!</v>
      </c>
      <c r="AK9" t="e">
        <f>Reflection!A9</f>
        <v>#REF!</v>
      </c>
      <c r="AL9" t="e">
        <f t="shared" si="26"/>
        <v>#REF!</v>
      </c>
      <c r="AM9" t="e">
        <f t="shared" si="5"/>
        <v>#REF!</v>
      </c>
      <c r="AN9" t="e">
        <f t="shared" si="27"/>
        <v>#REF!</v>
      </c>
      <c r="AO9" t="e">
        <f t="shared" si="28"/>
        <v>#REF!</v>
      </c>
      <c r="AP9" t="e">
        <f t="shared" si="29"/>
        <v>#REF!</v>
      </c>
      <c r="AQ9" t="e">
        <f t="shared" si="6"/>
        <v>#REF!</v>
      </c>
    </row>
    <row r="10" spans="1:43" x14ac:dyDescent="0.15">
      <c r="A10" t="e">
        <f>Reflection!A10</f>
        <v>#REF!</v>
      </c>
      <c r="B10" t="e">
        <f t="shared" si="0"/>
        <v>#REF!</v>
      </c>
      <c r="C10" t="e">
        <f t="shared" si="1"/>
        <v>#REF!</v>
      </c>
      <c r="D10" t="e">
        <f t="shared" si="7"/>
        <v>#REF!</v>
      </c>
      <c r="E10" t="e">
        <f t="shared" si="8"/>
        <v>#REF!</v>
      </c>
      <c r="F10" t="e">
        <f t="shared" si="9"/>
        <v>#REF!</v>
      </c>
      <c r="G10" t="e">
        <f t="shared" si="2"/>
        <v>#REF!</v>
      </c>
      <c r="J10" t="e">
        <f>Reflection!A10</f>
        <v>#REF!</v>
      </c>
      <c r="K10" t="e">
        <f t="shared" si="10"/>
        <v>#REF!</v>
      </c>
      <c r="L10" t="e">
        <f t="shared" si="3"/>
        <v>#REF!</v>
      </c>
      <c r="M10" t="e">
        <f t="shared" si="11"/>
        <v>#REF!</v>
      </c>
      <c r="N10" t="e">
        <f t="shared" si="12"/>
        <v>#REF!</v>
      </c>
      <c r="O10" t="e">
        <f t="shared" si="13"/>
        <v>#REF!</v>
      </c>
      <c r="P10" t="e">
        <f t="shared" si="14"/>
        <v>#REF!</v>
      </c>
      <c r="S10" t="e">
        <f>Reflection!A10</f>
        <v>#REF!</v>
      </c>
      <c r="T10" t="e">
        <f t="shared" si="15"/>
        <v>#REF!</v>
      </c>
      <c r="U10" t="e">
        <f t="shared" si="16"/>
        <v>#REF!</v>
      </c>
      <c r="V10" t="e">
        <f t="shared" si="17"/>
        <v>#REF!</v>
      </c>
      <c r="W10" t="e">
        <f t="shared" si="18"/>
        <v>#REF!</v>
      </c>
      <c r="X10" t="e">
        <f t="shared" si="19"/>
        <v>#REF!</v>
      </c>
      <c r="Y10" t="e">
        <f t="shared" si="20"/>
        <v>#REF!</v>
      </c>
      <c r="AB10" t="e">
        <f>Reflection!A10</f>
        <v>#REF!</v>
      </c>
      <c r="AC10" t="e">
        <f t="shared" si="21"/>
        <v>#REF!</v>
      </c>
      <c r="AD10" t="e">
        <f t="shared" si="22"/>
        <v>#REF!</v>
      </c>
      <c r="AE10" t="e">
        <f t="shared" si="23"/>
        <v>#REF!</v>
      </c>
      <c r="AF10" t="e">
        <f t="shared" si="24"/>
        <v>#REF!</v>
      </c>
      <c r="AG10" t="e">
        <f t="shared" si="25"/>
        <v>#REF!</v>
      </c>
      <c r="AH10" t="e">
        <f t="shared" si="4"/>
        <v>#REF!</v>
      </c>
      <c r="AK10" t="e">
        <f>Reflection!A10</f>
        <v>#REF!</v>
      </c>
      <c r="AL10" t="e">
        <f t="shared" si="26"/>
        <v>#REF!</v>
      </c>
      <c r="AM10" t="e">
        <f t="shared" si="5"/>
        <v>#REF!</v>
      </c>
      <c r="AN10" t="e">
        <f t="shared" si="27"/>
        <v>#REF!</v>
      </c>
      <c r="AO10" t="e">
        <f t="shared" si="28"/>
        <v>#REF!</v>
      </c>
      <c r="AP10" t="e">
        <f t="shared" si="29"/>
        <v>#REF!</v>
      </c>
      <c r="AQ10" t="e">
        <f t="shared" si="6"/>
        <v>#REF!</v>
      </c>
    </row>
    <row r="11" spans="1:43" x14ac:dyDescent="0.15">
      <c r="A11" t="e">
        <f>Reflection!A11</f>
        <v>#REF!</v>
      </c>
      <c r="B11" t="e">
        <f t="shared" si="0"/>
        <v>#REF!</v>
      </c>
      <c r="C11" t="e">
        <f t="shared" si="1"/>
        <v>#REF!</v>
      </c>
      <c r="D11" t="e">
        <f t="shared" si="7"/>
        <v>#REF!</v>
      </c>
      <c r="E11" t="e">
        <f t="shared" si="8"/>
        <v>#REF!</v>
      </c>
      <c r="F11" t="e">
        <f t="shared" si="9"/>
        <v>#REF!</v>
      </c>
      <c r="G11" t="e">
        <f t="shared" si="2"/>
        <v>#REF!</v>
      </c>
      <c r="J11" t="e">
        <f>Reflection!A11</f>
        <v>#REF!</v>
      </c>
      <c r="K11" t="e">
        <f t="shared" si="10"/>
        <v>#REF!</v>
      </c>
      <c r="L11" t="e">
        <f t="shared" si="3"/>
        <v>#REF!</v>
      </c>
      <c r="M11" t="e">
        <f t="shared" si="11"/>
        <v>#REF!</v>
      </c>
      <c r="N11" t="e">
        <f t="shared" si="12"/>
        <v>#REF!</v>
      </c>
      <c r="O11" t="e">
        <f t="shared" si="13"/>
        <v>#REF!</v>
      </c>
      <c r="P11" t="e">
        <f t="shared" si="14"/>
        <v>#REF!</v>
      </c>
      <c r="S11" t="e">
        <f>Reflection!A11</f>
        <v>#REF!</v>
      </c>
      <c r="T11" t="e">
        <f t="shared" si="15"/>
        <v>#REF!</v>
      </c>
      <c r="U11" t="e">
        <f t="shared" si="16"/>
        <v>#REF!</v>
      </c>
      <c r="V11" t="e">
        <f t="shared" si="17"/>
        <v>#REF!</v>
      </c>
      <c r="W11" t="e">
        <f t="shared" si="18"/>
        <v>#REF!</v>
      </c>
      <c r="X11" t="e">
        <f t="shared" si="19"/>
        <v>#REF!</v>
      </c>
      <c r="Y11" t="e">
        <f t="shared" si="20"/>
        <v>#REF!</v>
      </c>
      <c r="AB11" t="e">
        <f>Reflection!A11</f>
        <v>#REF!</v>
      </c>
      <c r="AC11" t="e">
        <f t="shared" si="21"/>
        <v>#REF!</v>
      </c>
      <c r="AD11" t="e">
        <f t="shared" si="22"/>
        <v>#REF!</v>
      </c>
      <c r="AE11" t="e">
        <f t="shared" si="23"/>
        <v>#REF!</v>
      </c>
      <c r="AF11" t="e">
        <f t="shared" si="24"/>
        <v>#REF!</v>
      </c>
      <c r="AG11" t="e">
        <f t="shared" si="25"/>
        <v>#REF!</v>
      </c>
      <c r="AH11" t="e">
        <f t="shared" si="4"/>
        <v>#REF!</v>
      </c>
      <c r="AK11" t="e">
        <f>Reflection!A11</f>
        <v>#REF!</v>
      </c>
      <c r="AL11" t="e">
        <f t="shared" si="26"/>
        <v>#REF!</v>
      </c>
      <c r="AM11" t="e">
        <f t="shared" si="5"/>
        <v>#REF!</v>
      </c>
      <c r="AN11" t="e">
        <f t="shared" si="27"/>
        <v>#REF!</v>
      </c>
      <c r="AO11" t="e">
        <f t="shared" si="28"/>
        <v>#REF!</v>
      </c>
      <c r="AP11" t="e">
        <f t="shared" si="29"/>
        <v>#REF!</v>
      </c>
      <c r="AQ11" t="e">
        <f t="shared" si="6"/>
        <v>#REF!</v>
      </c>
    </row>
    <row r="12" spans="1:43" x14ac:dyDescent="0.15">
      <c r="A12" t="e">
        <f>Reflection!A12</f>
        <v>#REF!</v>
      </c>
      <c r="B12" t="e">
        <f t="shared" si="0"/>
        <v>#REF!</v>
      </c>
      <c r="C12" t="e">
        <f t="shared" si="1"/>
        <v>#REF!</v>
      </c>
      <c r="D12" t="e">
        <f t="shared" si="7"/>
        <v>#REF!</v>
      </c>
      <c r="E12" t="e">
        <f t="shared" si="8"/>
        <v>#REF!</v>
      </c>
      <c r="F12" t="e">
        <f t="shared" si="9"/>
        <v>#REF!</v>
      </c>
      <c r="G12" t="e">
        <f t="shared" si="2"/>
        <v>#REF!</v>
      </c>
      <c r="J12" t="e">
        <f>Reflection!A12</f>
        <v>#REF!</v>
      </c>
      <c r="K12" t="e">
        <f t="shared" si="10"/>
        <v>#REF!</v>
      </c>
      <c r="L12" t="e">
        <f t="shared" si="3"/>
        <v>#REF!</v>
      </c>
      <c r="M12" t="e">
        <f t="shared" si="11"/>
        <v>#REF!</v>
      </c>
      <c r="N12" t="e">
        <f t="shared" si="12"/>
        <v>#REF!</v>
      </c>
      <c r="O12" t="e">
        <f t="shared" si="13"/>
        <v>#REF!</v>
      </c>
      <c r="P12" t="e">
        <f t="shared" si="14"/>
        <v>#REF!</v>
      </c>
      <c r="S12" t="e">
        <f>Reflection!A12</f>
        <v>#REF!</v>
      </c>
      <c r="T12" t="e">
        <f t="shared" si="15"/>
        <v>#REF!</v>
      </c>
      <c r="U12" t="e">
        <f t="shared" si="16"/>
        <v>#REF!</v>
      </c>
      <c r="V12" t="e">
        <f t="shared" si="17"/>
        <v>#REF!</v>
      </c>
      <c r="W12" t="e">
        <f t="shared" si="18"/>
        <v>#REF!</v>
      </c>
      <c r="X12" t="e">
        <f t="shared" si="19"/>
        <v>#REF!</v>
      </c>
      <c r="Y12" t="e">
        <f t="shared" si="20"/>
        <v>#REF!</v>
      </c>
      <c r="AB12" t="e">
        <f>Reflection!A12</f>
        <v>#REF!</v>
      </c>
      <c r="AC12" t="e">
        <f t="shared" si="21"/>
        <v>#REF!</v>
      </c>
      <c r="AD12" t="e">
        <f t="shared" si="22"/>
        <v>#REF!</v>
      </c>
      <c r="AE12" t="e">
        <f t="shared" si="23"/>
        <v>#REF!</v>
      </c>
      <c r="AF12" t="e">
        <f t="shared" si="24"/>
        <v>#REF!</v>
      </c>
      <c r="AG12" t="e">
        <f t="shared" si="25"/>
        <v>#REF!</v>
      </c>
      <c r="AH12" t="e">
        <f t="shared" si="4"/>
        <v>#REF!</v>
      </c>
      <c r="AK12" t="e">
        <f>Reflection!A12</f>
        <v>#REF!</v>
      </c>
      <c r="AL12" t="e">
        <f t="shared" si="26"/>
        <v>#REF!</v>
      </c>
      <c r="AM12" t="e">
        <f t="shared" si="5"/>
        <v>#REF!</v>
      </c>
      <c r="AN12" t="e">
        <f t="shared" si="27"/>
        <v>#REF!</v>
      </c>
      <c r="AO12" t="e">
        <f t="shared" si="28"/>
        <v>#REF!</v>
      </c>
      <c r="AP12" t="e">
        <f t="shared" si="29"/>
        <v>#REF!</v>
      </c>
      <c r="AQ12" t="e">
        <f t="shared" si="6"/>
        <v>#REF!</v>
      </c>
    </row>
    <row r="13" spans="1:43" x14ac:dyDescent="0.15">
      <c r="A13" t="e">
        <f>Reflection!A13</f>
        <v>#REF!</v>
      </c>
      <c r="B13" t="e">
        <f t="shared" si="0"/>
        <v>#REF!</v>
      </c>
      <c r="C13" t="e">
        <f t="shared" si="1"/>
        <v>#REF!</v>
      </c>
      <c r="D13" t="e">
        <f t="shared" si="7"/>
        <v>#REF!</v>
      </c>
      <c r="E13" t="e">
        <f t="shared" si="8"/>
        <v>#REF!</v>
      </c>
      <c r="F13" t="e">
        <f t="shared" si="9"/>
        <v>#REF!</v>
      </c>
      <c r="G13" t="e">
        <f t="shared" si="2"/>
        <v>#REF!</v>
      </c>
      <c r="J13" t="e">
        <f>Reflection!A13</f>
        <v>#REF!</v>
      </c>
      <c r="K13" t="e">
        <f t="shared" si="10"/>
        <v>#REF!</v>
      </c>
      <c r="L13" t="e">
        <f t="shared" si="3"/>
        <v>#REF!</v>
      </c>
      <c r="M13" t="e">
        <f t="shared" si="11"/>
        <v>#REF!</v>
      </c>
      <c r="N13" t="e">
        <f t="shared" si="12"/>
        <v>#REF!</v>
      </c>
      <c r="O13" t="e">
        <f t="shared" si="13"/>
        <v>#REF!</v>
      </c>
      <c r="P13" t="e">
        <f t="shared" si="14"/>
        <v>#REF!</v>
      </c>
      <c r="S13" t="e">
        <f>Reflection!A13</f>
        <v>#REF!</v>
      </c>
      <c r="T13" t="e">
        <f t="shared" si="15"/>
        <v>#REF!</v>
      </c>
      <c r="U13" t="e">
        <f t="shared" si="16"/>
        <v>#REF!</v>
      </c>
      <c r="V13" t="e">
        <f t="shared" si="17"/>
        <v>#REF!</v>
      </c>
      <c r="W13" t="e">
        <f t="shared" si="18"/>
        <v>#REF!</v>
      </c>
      <c r="X13" t="e">
        <f t="shared" si="19"/>
        <v>#REF!</v>
      </c>
      <c r="Y13" t="e">
        <f t="shared" si="20"/>
        <v>#REF!</v>
      </c>
      <c r="AB13" t="e">
        <f>Reflection!A13</f>
        <v>#REF!</v>
      </c>
      <c r="AC13" t="e">
        <f t="shared" si="21"/>
        <v>#REF!</v>
      </c>
      <c r="AD13" t="e">
        <f t="shared" si="22"/>
        <v>#REF!</v>
      </c>
      <c r="AE13" t="e">
        <f t="shared" si="23"/>
        <v>#REF!</v>
      </c>
      <c r="AF13" t="e">
        <f t="shared" si="24"/>
        <v>#REF!</v>
      </c>
      <c r="AG13" t="e">
        <f t="shared" si="25"/>
        <v>#REF!</v>
      </c>
      <c r="AH13" t="e">
        <f t="shared" si="4"/>
        <v>#REF!</v>
      </c>
      <c r="AK13" t="e">
        <f>Reflection!A13</f>
        <v>#REF!</v>
      </c>
      <c r="AL13" t="e">
        <f t="shared" si="26"/>
        <v>#REF!</v>
      </c>
      <c r="AM13" t="e">
        <f t="shared" si="5"/>
        <v>#REF!</v>
      </c>
      <c r="AN13" t="e">
        <f t="shared" si="27"/>
        <v>#REF!</v>
      </c>
      <c r="AO13" t="e">
        <f t="shared" si="28"/>
        <v>#REF!</v>
      </c>
      <c r="AP13" t="e">
        <f t="shared" si="29"/>
        <v>#REF!</v>
      </c>
      <c r="AQ13" t="e">
        <f t="shared" si="6"/>
        <v>#REF!</v>
      </c>
    </row>
    <row r="14" spans="1:43" x14ac:dyDescent="0.15">
      <c r="A14" t="e">
        <f>Reflection!A14</f>
        <v>#REF!</v>
      </c>
      <c r="B14" t="e">
        <f t="shared" si="0"/>
        <v>#REF!</v>
      </c>
      <c r="C14" t="e">
        <f t="shared" si="1"/>
        <v>#REF!</v>
      </c>
      <c r="D14" t="e">
        <f t="shared" si="7"/>
        <v>#REF!</v>
      </c>
      <c r="E14" t="e">
        <f t="shared" si="8"/>
        <v>#REF!</v>
      </c>
      <c r="F14" t="e">
        <f t="shared" si="9"/>
        <v>#REF!</v>
      </c>
      <c r="G14" t="e">
        <f t="shared" si="2"/>
        <v>#REF!</v>
      </c>
      <c r="J14" t="e">
        <f>Reflection!A14</f>
        <v>#REF!</v>
      </c>
      <c r="K14" t="e">
        <f t="shared" si="10"/>
        <v>#REF!</v>
      </c>
      <c r="L14" t="e">
        <f t="shared" si="3"/>
        <v>#REF!</v>
      </c>
      <c r="M14" t="e">
        <f t="shared" si="11"/>
        <v>#REF!</v>
      </c>
      <c r="N14" t="e">
        <f t="shared" si="12"/>
        <v>#REF!</v>
      </c>
      <c r="O14" t="e">
        <f t="shared" si="13"/>
        <v>#REF!</v>
      </c>
      <c r="P14" t="e">
        <f t="shared" si="14"/>
        <v>#REF!</v>
      </c>
      <c r="S14" t="e">
        <f>Reflection!A14</f>
        <v>#REF!</v>
      </c>
      <c r="T14" t="e">
        <f t="shared" si="15"/>
        <v>#REF!</v>
      </c>
      <c r="U14" t="e">
        <f t="shared" si="16"/>
        <v>#REF!</v>
      </c>
      <c r="V14" t="e">
        <f t="shared" si="17"/>
        <v>#REF!</v>
      </c>
      <c r="W14" t="e">
        <f t="shared" si="18"/>
        <v>#REF!</v>
      </c>
      <c r="X14" t="e">
        <f t="shared" si="19"/>
        <v>#REF!</v>
      </c>
      <c r="Y14" t="e">
        <f t="shared" si="20"/>
        <v>#REF!</v>
      </c>
      <c r="AB14" t="e">
        <f>Reflection!A14</f>
        <v>#REF!</v>
      </c>
      <c r="AC14" t="e">
        <f t="shared" si="21"/>
        <v>#REF!</v>
      </c>
      <c r="AD14" t="e">
        <f t="shared" si="22"/>
        <v>#REF!</v>
      </c>
      <c r="AE14" t="e">
        <f t="shared" si="23"/>
        <v>#REF!</v>
      </c>
      <c r="AF14" t="e">
        <f t="shared" si="24"/>
        <v>#REF!</v>
      </c>
      <c r="AG14" t="e">
        <f t="shared" si="25"/>
        <v>#REF!</v>
      </c>
      <c r="AH14" t="e">
        <f t="shared" si="4"/>
        <v>#REF!</v>
      </c>
      <c r="AK14" t="e">
        <f>Reflection!A14</f>
        <v>#REF!</v>
      </c>
      <c r="AL14" t="e">
        <f t="shared" si="26"/>
        <v>#REF!</v>
      </c>
      <c r="AM14" t="e">
        <f t="shared" si="5"/>
        <v>#REF!</v>
      </c>
      <c r="AN14" t="e">
        <f t="shared" si="27"/>
        <v>#REF!</v>
      </c>
      <c r="AO14" t="e">
        <f t="shared" si="28"/>
        <v>#REF!</v>
      </c>
      <c r="AP14" t="e">
        <f t="shared" si="29"/>
        <v>#REF!</v>
      </c>
      <c r="AQ14" t="e">
        <f t="shared" si="6"/>
        <v>#REF!</v>
      </c>
    </row>
    <row r="15" spans="1:43" x14ac:dyDescent="0.15">
      <c r="A15" t="e">
        <f>Reflection!A15</f>
        <v>#REF!</v>
      </c>
      <c r="B15" t="e">
        <f t="shared" si="0"/>
        <v>#REF!</v>
      </c>
      <c r="C15" t="e">
        <f t="shared" si="1"/>
        <v>#REF!</v>
      </c>
      <c r="D15" t="e">
        <f t="shared" si="7"/>
        <v>#REF!</v>
      </c>
      <c r="E15" t="e">
        <f t="shared" si="8"/>
        <v>#REF!</v>
      </c>
      <c r="F15" t="e">
        <f t="shared" si="9"/>
        <v>#REF!</v>
      </c>
      <c r="G15" t="e">
        <f t="shared" si="2"/>
        <v>#REF!</v>
      </c>
      <c r="J15" t="e">
        <f>Reflection!A15</f>
        <v>#REF!</v>
      </c>
      <c r="K15" t="e">
        <f t="shared" si="10"/>
        <v>#REF!</v>
      </c>
      <c r="L15" t="e">
        <f t="shared" si="3"/>
        <v>#REF!</v>
      </c>
      <c r="M15" t="e">
        <f t="shared" si="11"/>
        <v>#REF!</v>
      </c>
      <c r="N15" t="e">
        <f t="shared" si="12"/>
        <v>#REF!</v>
      </c>
      <c r="O15" t="e">
        <f t="shared" si="13"/>
        <v>#REF!</v>
      </c>
      <c r="P15" t="e">
        <f t="shared" si="14"/>
        <v>#REF!</v>
      </c>
      <c r="S15" t="e">
        <f>Reflection!A15</f>
        <v>#REF!</v>
      </c>
      <c r="T15" t="e">
        <f t="shared" si="15"/>
        <v>#REF!</v>
      </c>
      <c r="U15" t="e">
        <f t="shared" si="16"/>
        <v>#REF!</v>
      </c>
      <c r="V15" t="e">
        <f t="shared" si="17"/>
        <v>#REF!</v>
      </c>
      <c r="W15" t="e">
        <f t="shared" si="18"/>
        <v>#REF!</v>
      </c>
      <c r="X15" t="e">
        <f t="shared" si="19"/>
        <v>#REF!</v>
      </c>
      <c r="Y15" t="e">
        <f t="shared" si="20"/>
        <v>#REF!</v>
      </c>
      <c r="AB15" t="e">
        <f>Reflection!A15</f>
        <v>#REF!</v>
      </c>
      <c r="AC15" t="e">
        <f t="shared" si="21"/>
        <v>#REF!</v>
      </c>
      <c r="AD15" t="e">
        <f t="shared" si="22"/>
        <v>#REF!</v>
      </c>
      <c r="AE15" t="e">
        <f t="shared" si="23"/>
        <v>#REF!</v>
      </c>
      <c r="AF15" t="e">
        <f t="shared" si="24"/>
        <v>#REF!</v>
      </c>
      <c r="AG15" t="e">
        <f t="shared" si="25"/>
        <v>#REF!</v>
      </c>
      <c r="AH15" t="e">
        <f t="shared" si="4"/>
        <v>#REF!</v>
      </c>
      <c r="AK15" t="e">
        <f>Reflection!A15</f>
        <v>#REF!</v>
      </c>
      <c r="AL15" t="e">
        <f t="shared" si="26"/>
        <v>#REF!</v>
      </c>
      <c r="AM15" t="e">
        <f t="shared" si="5"/>
        <v>#REF!</v>
      </c>
      <c r="AN15" t="e">
        <f t="shared" si="27"/>
        <v>#REF!</v>
      </c>
      <c r="AO15" t="e">
        <f t="shared" si="28"/>
        <v>#REF!</v>
      </c>
      <c r="AP15" t="e">
        <f t="shared" si="29"/>
        <v>#REF!</v>
      </c>
      <c r="AQ15" t="e">
        <f t="shared" si="6"/>
        <v>#REF!</v>
      </c>
    </row>
    <row r="16" spans="1:43" x14ac:dyDescent="0.15">
      <c r="A16" t="e">
        <f>Reflection!A16</f>
        <v>#REF!</v>
      </c>
      <c r="B16" t="e">
        <f t="shared" si="0"/>
        <v>#REF!</v>
      </c>
      <c r="C16" t="e">
        <f t="shared" si="1"/>
        <v>#REF!</v>
      </c>
      <c r="D16" t="e">
        <f t="shared" si="7"/>
        <v>#REF!</v>
      </c>
      <c r="E16" t="e">
        <f t="shared" si="8"/>
        <v>#REF!</v>
      </c>
      <c r="F16" t="e">
        <f t="shared" si="9"/>
        <v>#REF!</v>
      </c>
      <c r="G16" t="e">
        <f t="shared" si="2"/>
        <v>#REF!</v>
      </c>
      <c r="J16" t="e">
        <f>Reflection!A16</f>
        <v>#REF!</v>
      </c>
      <c r="K16" t="e">
        <f t="shared" si="10"/>
        <v>#REF!</v>
      </c>
      <c r="L16" t="e">
        <f t="shared" si="3"/>
        <v>#REF!</v>
      </c>
      <c r="M16" t="e">
        <f t="shared" si="11"/>
        <v>#REF!</v>
      </c>
      <c r="N16" t="e">
        <f t="shared" si="12"/>
        <v>#REF!</v>
      </c>
      <c r="O16" t="e">
        <f t="shared" si="13"/>
        <v>#REF!</v>
      </c>
      <c r="P16" t="e">
        <f t="shared" si="14"/>
        <v>#REF!</v>
      </c>
      <c r="S16" t="e">
        <f>Reflection!A16</f>
        <v>#REF!</v>
      </c>
      <c r="T16" t="e">
        <f t="shared" si="15"/>
        <v>#REF!</v>
      </c>
      <c r="U16" t="e">
        <f t="shared" si="16"/>
        <v>#REF!</v>
      </c>
      <c r="V16" t="e">
        <f t="shared" si="17"/>
        <v>#REF!</v>
      </c>
      <c r="W16" t="e">
        <f t="shared" si="18"/>
        <v>#REF!</v>
      </c>
      <c r="X16" t="e">
        <f t="shared" si="19"/>
        <v>#REF!</v>
      </c>
      <c r="Y16" t="e">
        <f t="shared" si="20"/>
        <v>#REF!</v>
      </c>
      <c r="AB16" t="e">
        <f>Reflection!A16</f>
        <v>#REF!</v>
      </c>
      <c r="AC16" t="e">
        <f t="shared" si="21"/>
        <v>#REF!</v>
      </c>
      <c r="AD16" t="e">
        <f t="shared" si="22"/>
        <v>#REF!</v>
      </c>
      <c r="AE16" t="e">
        <f t="shared" si="23"/>
        <v>#REF!</v>
      </c>
      <c r="AF16" t="e">
        <f t="shared" si="24"/>
        <v>#REF!</v>
      </c>
      <c r="AG16" t="e">
        <f t="shared" si="25"/>
        <v>#REF!</v>
      </c>
      <c r="AH16" t="e">
        <f t="shared" si="4"/>
        <v>#REF!</v>
      </c>
      <c r="AK16" t="e">
        <f>Reflection!A16</f>
        <v>#REF!</v>
      </c>
      <c r="AL16" t="e">
        <f t="shared" si="26"/>
        <v>#REF!</v>
      </c>
      <c r="AM16" t="e">
        <f t="shared" si="5"/>
        <v>#REF!</v>
      </c>
      <c r="AN16" t="e">
        <f t="shared" si="27"/>
        <v>#REF!</v>
      </c>
      <c r="AO16" t="e">
        <f t="shared" si="28"/>
        <v>#REF!</v>
      </c>
      <c r="AP16" t="e">
        <f t="shared" si="29"/>
        <v>#REF!</v>
      </c>
      <c r="AQ16" t="e">
        <f t="shared" si="6"/>
        <v>#REF!</v>
      </c>
    </row>
    <row r="17" spans="1:43" x14ac:dyDescent="0.15">
      <c r="A17" t="e">
        <f>Reflection!A17</f>
        <v>#REF!</v>
      </c>
      <c r="B17" t="e">
        <f t="shared" si="0"/>
        <v>#REF!</v>
      </c>
      <c r="C17" t="e">
        <f t="shared" si="1"/>
        <v>#REF!</v>
      </c>
      <c r="D17" t="e">
        <f t="shared" si="7"/>
        <v>#REF!</v>
      </c>
      <c r="E17" t="e">
        <f t="shared" si="8"/>
        <v>#REF!</v>
      </c>
      <c r="F17" t="e">
        <f t="shared" si="9"/>
        <v>#REF!</v>
      </c>
      <c r="G17" t="e">
        <f t="shared" si="2"/>
        <v>#REF!</v>
      </c>
      <c r="J17" t="e">
        <f>Reflection!A17</f>
        <v>#REF!</v>
      </c>
      <c r="K17" t="e">
        <f t="shared" si="10"/>
        <v>#REF!</v>
      </c>
      <c r="L17" t="e">
        <f t="shared" si="3"/>
        <v>#REF!</v>
      </c>
      <c r="M17" t="e">
        <f t="shared" si="11"/>
        <v>#REF!</v>
      </c>
      <c r="N17" t="e">
        <f t="shared" si="12"/>
        <v>#REF!</v>
      </c>
      <c r="O17" t="e">
        <f t="shared" si="13"/>
        <v>#REF!</v>
      </c>
      <c r="P17" t="e">
        <f t="shared" si="14"/>
        <v>#REF!</v>
      </c>
      <c r="S17" t="e">
        <f>Reflection!A17</f>
        <v>#REF!</v>
      </c>
      <c r="T17" t="e">
        <f t="shared" si="15"/>
        <v>#REF!</v>
      </c>
      <c r="U17" t="e">
        <f t="shared" si="16"/>
        <v>#REF!</v>
      </c>
      <c r="V17" t="e">
        <f t="shared" si="17"/>
        <v>#REF!</v>
      </c>
      <c r="W17" t="e">
        <f t="shared" si="18"/>
        <v>#REF!</v>
      </c>
      <c r="X17" t="e">
        <f t="shared" si="19"/>
        <v>#REF!</v>
      </c>
      <c r="Y17" t="e">
        <f t="shared" si="20"/>
        <v>#REF!</v>
      </c>
      <c r="AB17" t="e">
        <f>Reflection!A17</f>
        <v>#REF!</v>
      </c>
      <c r="AC17" t="e">
        <f t="shared" si="21"/>
        <v>#REF!</v>
      </c>
      <c r="AD17" t="e">
        <f t="shared" si="22"/>
        <v>#REF!</v>
      </c>
      <c r="AE17" t="e">
        <f t="shared" si="23"/>
        <v>#REF!</v>
      </c>
      <c r="AF17" t="e">
        <f t="shared" si="24"/>
        <v>#REF!</v>
      </c>
      <c r="AG17" t="e">
        <f t="shared" si="25"/>
        <v>#REF!</v>
      </c>
      <c r="AH17" t="e">
        <f t="shared" si="4"/>
        <v>#REF!</v>
      </c>
      <c r="AK17" t="e">
        <f>Reflection!A17</f>
        <v>#REF!</v>
      </c>
      <c r="AL17" t="e">
        <f t="shared" si="26"/>
        <v>#REF!</v>
      </c>
      <c r="AM17" t="e">
        <f t="shared" si="5"/>
        <v>#REF!</v>
      </c>
      <c r="AN17" t="e">
        <f t="shared" si="27"/>
        <v>#REF!</v>
      </c>
      <c r="AO17" t="e">
        <f t="shared" si="28"/>
        <v>#REF!</v>
      </c>
      <c r="AP17" t="e">
        <f t="shared" si="29"/>
        <v>#REF!</v>
      </c>
      <c r="AQ17" t="e">
        <f t="shared" si="6"/>
        <v>#REF!</v>
      </c>
    </row>
    <row r="18" spans="1:43" x14ac:dyDescent="0.15">
      <c r="A18" t="e">
        <f>Reflection!A18</f>
        <v>#REF!</v>
      </c>
      <c r="B18" t="e">
        <f t="shared" si="0"/>
        <v>#REF!</v>
      </c>
      <c r="C18" t="e">
        <f t="shared" si="1"/>
        <v>#REF!</v>
      </c>
      <c r="D18" t="e">
        <f t="shared" si="7"/>
        <v>#REF!</v>
      </c>
      <c r="E18" t="e">
        <f t="shared" si="8"/>
        <v>#REF!</v>
      </c>
      <c r="F18" t="e">
        <f t="shared" si="9"/>
        <v>#REF!</v>
      </c>
      <c r="G18" t="e">
        <f t="shared" si="2"/>
        <v>#REF!</v>
      </c>
      <c r="J18" t="e">
        <f>Reflection!A18</f>
        <v>#REF!</v>
      </c>
      <c r="K18" t="e">
        <f t="shared" si="10"/>
        <v>#REF!</v>
      </c>
      <c r="L18" t="e">
        <f t="shared" si="3"/>
        <v>#REF!</v>
      </c>
      <c r="M18" t="e">
        <f t="shared" si="11"/>
        <v>#REF!</v>
      </c>
      <c r="N18" t="e">
        <f t="shared" si="12"/>
        <v>#REF!</v>
      </c>
      <c r="O18" t="e">
        <f t="shared" si="13"/>
        <v>#REF!</v>
      </c>
      <c r="P18" t="e">
        <f t="shared" si="14"/>
        <v>#REF!</v>
      </c>
      <c r="S18" t="e">
        <f>Reflection!A18</f>
        <v>#REF!</v>
      </c>
      <c r="T18" t="e">
        <f t="shared" si="15"/>
        <v>#REF!</v>
      </c>
      <c r="U18" t="e">
        <f t="shared" si="16"/>
        <v>#REF!</v>
      </c>
      <c r="V18" t="e">
        <f t="shared" si="17"/>
        <v>#REF!</v>
      </c>
      <c r="W18" t="e">
        <f t="shared" si="18"/>
        <v>#REF!</v>
      </c>
      <c r="X18" t="e">
        <f t="shared" si="19"/>
        <v>#REF!</v>
      </c>
      <c r="Y18" t="e">
        <f t="shared" si="20"/>
        <v>#REF!</v>
      </c>
      <c r="AB18" t="e">
        <f>Reflection!A18</f>
        <v>#REF!</v>
      </c>
      <c r="AC18" t="e">
        <f t="shared" si="21"/>
        <v>#REF!</v>
      </c>
      <c r="AD18" t="e">
        <f t="shared" si="22"/>
        <v>#REF!</v>
      </c>
      <c r="AE18" t="e">
        <f t="shared" si="23"/>
        <v>#REF!</v>
      </c>
      <c r="AF18" t="e">
        <f t="shared" si="24"/>
        <v>#REF!</v>
      </c>
      <c r="AG18" t="e">
        <f t="shared" si="25"/>
        <v>#REF!</v>
      </c>
      <c r="AH18" t="e">
        <f t="shared" si="4"/>
        <v>#REF!</v>
      </c>
      <c r="AK18" t="e">
        <f>Reflection!A18</f>
        <v>#REF!</v>
      </c>
      <c r="AL18" t="e">
        <f t="shared" si="26"/>
        <v>#REF!</v>
      </c>
      <c r="AM18" t="e">
        <f t="shared" si="5"/>
        <v>#REF!</v>
      </c>
      <c r="AN18" t="e">
        <f t="shared" si="27"/>
        <v>#REF!</v>
      </c>
      <c r="AO18" t="e">
        <f t="shared" si="28"/>
        <v>#REF!</v>
      </c>
      <c r="AP18" t="e">
        <f t="shared" si="29"/>
        <v>#REF!</v>
      </c>
      <c r="AQ18" t="e">
        <f t="shared" si="6"/>
        <v>#REF!</v>
      </c>
    </row>
    <row r="19" spans="1:43" x14ac:dyDescent="0.15">
      <c r="A19" t="e">
        <f>Reflection!A19</f>
        <v>#REF!</v>
      </c>
      <c r="B19" t="e">
        <f t="shared" si="0"/>
        <v>#REF!</v>
      </c>
      <c r="C19" t="e">
        <f t="shared" si="1"/>
        <v>#REF!</v>
      </c>
      <c r="D19" t="e">
        <f t="shared" si="7"/>
        <v>#REF!</v>
      </c>
      <c r="E19" t="e">
        <f t="shared" si="8"/>
        <v>#REF!</v>
      </c>
      <c r="F19" t="e">
        <f t="shared" si="9"/>
        <v>#REF!</v>
      </c>
      <c r="G19" t="e">
        <f t="shared" si="2"/>
        <v>#REF!</v>
      </c>
      <c r="J19" t="e">
        <f>Reflection!A19</f>
        <v>#REF!</v>
      </c>
      <c r="K19" t="e">
        <f t="shared" si="10"/>
        <v>#REF!</v>
      </c>
      <c r="L19" t="e">
        <f t="shared" si="3"/>
        <v>#REF!</v>
      </c>
      <c r="M19" t="e">
        <f t="shared" si="11"/>
        <v>#REF!</v>
      </c>
      <c r="N19" t="e">
        <f t="shared" si="12"/>
        <v>#REF!</v>
      </c>
      <c r="O19" t="e">
        <f t="shared" si="13"/>
        <v>#REF!</v>
      </c>
      <c r="P19" t="e">
        <f t="shared" si="14"/>
        <v>#REF!</v>
      </c>
      <c r="S19" t="e">
        <f>Reflection!A19</f>
        <v>#REF!</v>
      </c>
      <c r="T19" t="e">
        <f t="shared" si="15"/>
        <v>#REF!</v>
      </c>
      <c r="U19" t="e">
        <f t="shared" si="16"/>
        <v>#REF!</v>
      </c>
      <c r="V19" t="e">
        <f t="shared" si="17"/>
        <v>#REF!</v>
      </c>
      <c r="W19" t="e">
        <f t="shared" si="18"/>
        <v>#REF!</v>
      </c>
      <c r="X19" t="e">
        <f t="shared" si="19"/>
        <v>#REF!</v>
      </c>
      <c r="Y19" t="e">
        <f t="shared" si="20"/>
        <v>#REF!</v>
      </c>
      <c r="AB19" t="e">
        <f>Reflection!A19</f>
        <v>#REF!</v>
      </c>
      <c r="AC19" t="e">
        <f t="shared" si="21"/>
        <v>#REF!</v>
      </c>
      <c r="AD19" t="e">
        <f t="shared" si="22"/>
        <v>#REF!</v>
      </c>
      <c r="AE19" t="e">
        <f t="shared" si="23"/>
        <v>#REF!</v>
      </c>
      <c r="AF19" t="e">
        <f t="shared" si="24"/>
        <v>#REF!</v>
      </c>
      <c r="AG19" t="e">
        <f t="shared" si="25"/>
        <v>#REF!</v>
      </c>
      <c r="AH19" t="e">
        <f t="shared" si="4"/>
        <v>#REF!</v>
      </c>
      <c r="AK19" t="e">
        <f>Reflection!A19</f>
        <v>#REF!</v>
      </c>
      <c r="AL19" t="e">
        <f t="shared" si="26"/>
        <v>#REF!</v>
      </c>
      <c r="AM19" t="e">
        <f t="shared" si="5"/>
        <v>#REF!</v>
      </c>
      <c r="AN19" t="e">
        <f t="shared" si="27"/>
        <v>#REF!</v>
      </c>
      <c r="AO19" t="e">
        <f t="shared" si="28"/>
        <v>#REF!</v>
      </c>
      <c r="AP19" t="e">
        <f t="shared" si="29"/>
        <v>#REF!</v>
      </c>
      <c r="AQ19" t="e">
        <f t="shared" si="6"/>
        <v>#REF!</v>
      </c>
    </row>
    <row r="20" spans="1:43" x14ac:dyDescent="0.15">
      <c r="A20" t="e">
        <f>Reflection!A20</f>
        <v>#REF!</v>
      </c>
      <c r="B20" t="e">
        <f t="shared" si="0"/>
        <v>#REF!</v>
      </c>
      <c r="C20" t="e">
        <f t="shared" si="1"/>
        <v>#REF!</v>
      </c>
      <c r="D20" t="e">
        <f t="shared" si="7"/>
        <v>#REF!</v>
      </c>
      <c r="E20" t="e">
        <f t="shared" si="8"/>
        <v>#REF!</v>
      </c>
      <c r="F20" t="e">
        <f t="shared" si="9"/>
        <v>#REF!</v>
      </c>
      <c r="G20" t="e">
        <f t="shared" si="2"/>
        <v>#REF!</v>
      </c>
      <c r="J20" t="e">
        <f>Reflection!A20</f>
        <v>#REF!</v>
      </c>
      <c r="K20" t="e">
        <f t="shared" si="10"/>
        <v>#REF!</v>
      </c>
      <c r="L20" t="e">
        <f t="shared" si="3"/>
        <v>#REF!</v>
      </c>
      <c r="M20" t="e">
        <f t="shared" si="11"/>
        <v>#REF!</v>
      </c>
      <c r="N20" t="e">
        <f t="shared" si="12"/>
        <v>#REF!</v>
      </c>
      <c r="O20" t="e">
        <f t="shared" si="13"/>
        <v>#REF!</v>
      </c>
      <c r="P20" t="e">
        <f t="shared" si="14"/>
        <v>#REF!</v>
      </c>
      <c r="S20" t="e">
        <f>Reflection!A20</f>
        <v>#REF!</v>
      </c>
      <c r="T20" t="e">
        <f t="shared" si="15"/>
        <v>#REF!</v>
      </c>
      <c r="U20" t="e">
        <f t="shared" si="16"/>
        <v>#REF!</v>
      </c>
      <c r="V20" t="e">
        <f t="shared" si="17"/>
        <v>#REF!</v>
      </c>
      <c r="W20" t="e">
        <f t="shared" si="18"/>
        <v>#REF!</v>
      </c>
      <c r="X20" t="e">
        <f t="shared" si="19"/>
        <v>#REF!</v>
      </c>
      <c r="Y20" t="e">
        <f t="shared" si="20"/>
        <v>#REF!</v>
      </c>
      <c r="AB20" t="e">
        <f>Reflection!A20</f>
        <v>#REF!</v>
      </c>
      <c r="AC20" t="e">
        <f t="shared" si="21"/>
        <v>#REF!</v>
      </c>
      <c r="AD20" t="e">
        <f t="shared" si="22"/>
        <v>#REF!</v>
      </c>
      <c r="AE20" t="e">
        <f t="shared" si="23"/>
        <v>#REF!</v>
      </c>
      <c r="AF20" t="e">
        <f t="shared" si="24"/>
        <v>#REF!</v>
      </c>
      <c r="AG20" t="e">
        <f t="shared" si="25"/>
        <v>#REF!</v>
      </c>
      <c r="AH20" t="e">
        <f t="shared" si="4"/>
        <v>#REF!</v>
      </c>
      <c r="AK20" t="e">
        <f>Reflection!A20</f>
        <v>#REF!</v>
      </c>
      <c r="AL20" t="e">
        <f t="shared" si="26"/>
        <v>#REF!</v>
      </c>
      <c r="AM20" t="e">
        <f t="shared" si="5"/>
        <v>#REF!</v>
      </c>
      <c r="AN20" t="e">
        <f t="shared" si="27"/>
        <v>#REF!</v>
      </c>
      <c r="AO20" t="e">
        <f t="shared" si="28"/>
        <v>#REF!</v>
      </c>
      <c r="AP20" t="e">
        <f t="shared" si="29"/>
        <v>#REF!</v>
      </c>
      <c r="AQ20" t="e">
        <f t="shared" si="6"/>
        <v>#REF!</v>
      </c>
    </row>
    <row r="21" spans="1:43" x14ac:dyDescent="0.15">
      <c r="A21" t="e">
        <f>Reflection!A21</f>
        <v>#REF!</v>
      </c>
      <c r="B21" t="e">
        <f t="shared" si="0"/>
        <v>#REF!</v>
      </c>
      <c r="C21" t="e">
        <f t="shared" si="1"/>
        <v>#REF!</v>
      </c>
      <c r="D21" t="e">
        <f t="shared" si="7"/>
        <v>#REF!</v>
      </c>
      <c r="E21" t="e">
        <f t="shared" si="8"/>
        <v>#REF!</v>
      </c>
      <c r="F21" t="e">
        <f t="shared" si="9"/>
        <v>#REF!</v>
      </c>
      <c r="G21" t="e">
        <f t="shared" si="2"/>
        <v>#REF!</v>
      </c>
      <c r="J21" t="e">
        <f>Reflection!A21</f>
        <v>#REF!</v>
      </c>
      <c r="K21" t="e">
        <f t="shared" si="10"/>
        <v>#REF!</v>
      </c>
      <c r="L21" t="e">
        <f t="shared" si="3"/>
        <v>#REF!</v>
      </c>
      <c r="M21" t="e">
        <f t="shared" si="11"/>
        <v>#REF!</v>
      </c>
      <c r="N21" t="e">
        <f t="shared" si="12"/>
        <v>#REF!</v>
      </c>
      <c r="O21" t="e">
        <f t="shared" si="13"/>
        <v>#REF!</v>
      </c>
      <c r="P21" t="e">
        <f t="shared" si="14"/>
        <v>#REF!</v>
      </c>
      <c r="S21" t="e">
        <f>Reflection!A21</f>
        <v>#REF!</v>
      </c>
      <c r="T21" t="e">
        <f t="shared" si="15"/>
        <v>#REF!</v>
      </c>
      <c r="U21" t="e">
        <f t="shared" si="16"/>
        <v>#REF!</v>
      </c>
      <c r="V21" t="e">
        <f t="shared" si="17"/>
        <v>#REF!</v>
      </c>
      <c r="W21" t="e">
        <f t="shared" si="18"/>
        <v>#REF!</v>
      </c>
      <c r="X21" t="e">
        <f t="shared" si="19"/>
        <v>#REF!</v>
      </c>
      <c r="Y21" t="e">
        <f t="shared" si="20"/>
        <v>#REF!</v>
      </c>
      <c r="AB21" t="e">
        <f>Reflection!A21</f>
        <v>#REF!</v>
      </c>
      <c r="AC21" t="e">
        <f t="shared" si="21"/>
        <v>#REF!</v>
      </c>
      <c r="AD21" t="e">
        <f t="shared" si="22"/>
        <v>#REF!</v>
      </c>
      <c r="AE21" t="e">
        <f t="shared" si="23"/>
        <v>#REF!</v>
      </c>
      <c r="AF21" t="e">
        <f t="shared" si="24"/>
        <v>#REF!</v>
      </c>
      <c r="AG21" t="e">
        <f t="shared" si="25"/>
        <v>#REF!</v>
      </c>
      <c r="AH21" t="e">
        <f t="shared" si="4"/>
        <v>#REF!</v>
      </c>
      <c r="AK21" t="e">
        <f>Reflection!A21</f>
        <v>#REF!</v>
      </c>
      <c r="AL21" t="e">
        <f t="shared" si="26"/>
        <v>#REF!</v>
      </c>
      <c r="AM21" t="e">
        <f t="shared" si="5"/>
        <v>#REF!</v>
      </c>
      <c r="AN21" t="e">
        <f t="shared" si="27"/>
        <v>#REF!</v>
      </c>
      <c r="AO21" t="e">
        <f t="shared" si="28"/>
        <v>#REF!</v>
      </c>
      <c r="AP21" t="e">
        <f t="shared" si="29"/>
        <v>#REF!</v>
      </c>
      <c r="AQ21" t="e">
        <f t="shared" si="6"/>
        <v>#REF!</v>
      </c>
    </row>
    <row r="22" spans="1:43" x14ac:dyDescent="0.15">
      <c r="A22" t="e">
        <f>Reflection!A22</f>
        <v>#REF!</v>
      </c>
      <c r="B22" t="e">
        <f t="shared" si="0"/>
        <v>#REF!</v>
      </c>
      <c r="C22" t="e">
        <f t="shared" si="1"/>
        <v>#REF!</v>
      </c>
      <c r="D22" t="e">
        <f t="shared" si="7"/>
        <v>#REF!</v>
      </c>
      <c r="E22" t="e">
        <f t="shared" si="8"/>
        <v>#REF!</v>
      </c>
      <c r="F22" t="e">
        <f t="shared" si="9"/>
        <v>#REF!</v>
      </c>
      <c r="G22" t="e">
        <f t="shared" si="2"/>
        <v>#REF!</v>
      </c>
      <c r="J22" t="e">
        <f>Reflection!A22</f>
        <v>#REF!</v>
      </c>
      <c r="K22" t="e">
        <f t="shared" si="10"/>
        <v>#REF!</v>
      </c>
      <c r="L22" t="e">
        <f t="shared" si="3"/>
        <v>#REF!</v>
      </c>
      <c r="M22" t="e">
        <f t="shared" si="11"/>
        <v>#REF!</v>
      </c>
      <c r="N22" t="e">
        <f t="shared" si="12"/>
        <v>#REF!</v>
      </c>
      <c r="O22" t="e">
        <f t="shared" si="13"/>
        <v>#REF!</v>
      </c>
      <c r="P22" t="e">
        <f t="shared" si="14"/>
        <v>#REF!</v>
      </c>
      <c r="S22" t="e">
        <f>Reflection!A22</f>
        <v>#REF!</v>
      </c>
      <c r="T22" t="e">
        <f t="shared" si="15"/>
        <v>#REF!</v>
      </c>
      <c r="U22" t="e">
        <f t="shared" si="16"/>
        <v>#REF!</v>
      </c>
      <c r="V22" t="e">
        <f t="shared" si="17"/>
        <v>#REF!</v>
      </c>
      <c r="W22" t="e">
        <f t="shared" si="18"/>
        <v>#REF!</v>
      </c>
      <c r="X22" t="e">
        <f t="shared" si="19"/>
        <v>#REF!</v>
      </c>
      <c r="Y22" t="e">
        <f t="shared" si="20"/>
        <v>#REF!</v>
      </c>
      <c r="AB22" t="e">
        <f>Reflection!A22</f>
        <v>#REF!</v>
      </c>
      <c r="AC22" t="e">
        <f t="shared" si="21"/>
        <v>#REF!</v>
      </c>
      <c r="AD22" t="e">
        <f t="shared" si="22"/>
        <v>#REF!</v>
      </c>
      <c r="AE22" t="e">
        <f t="shared" si="23"/>
        <v>#REF!</v>
      </c>
      <c r="AF22" t="e">
        <f t="shared" si="24"/>
        <v>#REF!</v>
      </c>
      <c r="AG22" t="e">
        <f t="shared" si="25"/>
        <v>#REF!</v>
      </c>
      <c r="AH22" t="e">
        <f t="shared" si="4"/>
        <v>#REF!</v>
      </c>
      <c r="AK22" t="e">
        <f>Reflection!A22</f>
        <v>#REF!</v>
      </c>
      <c r="AL22" t="e">
        <f t="shared" si="26"/>
        <v>#REF!</v>
      </c>
      <c r="AM22" t="e">
        <f t="shared" si="5"/>
        <v>#REF!</v>
      </c>
      <c r="AN22" t="e">
        <f t="shared" si="27"/>
        <v>#REF!</v>
      </c>
      <c r="AO22" t="e">
        <f t="shared" si="28"/>
        <v>#REF!</v>
      </c>
      <c r="AP22" t="e">
        <f t="shared" si="29"/>
        <v>#REF!</v>
      </c>
      <c r="AQ22" t="e">
        <f t="shared" si="6"/>
        <v>#REF!</v>
      </c>
    </row>
    <row r="23" spans="1:43" x14ac:dyDescent="0.15">
      <c r="A23" t="e">
        <f>Reflection!A23</f>
        <v>#REF!</v>
      </c>
      <c r="B23" t="e">
        <f t="shared" si="0"/>
        <v>#REF!</v>
      </c>
      <c r="C23" t="e">
        <f t="shared" si="1"/>
        <v>#REF!</v>
      </c>
      <c r="D23" t="e">
        <f t="shared" si="7"/>
        <v>#REF!</v>
      </c>
      <c r="E23" t="e">
        <f t="shared" si="8"/>
        <v>#REF!</v>
      </c>
      <c r="F23" t="e">
        <f t="shared" si="9"/>
        <v>#REF!</v>
      </c>
      <c r="G23" t="e">
        <f t="shared" si="2"/>
        <v>#REF!</v>
      </c>
      <c r="J23" t="e">
        <f>Reflection!A23</f>
        <v>#REF!</v>
      </c>
      <c r="K23" t="e">
        <f t="shared" si="10"/>
        <v>#REF!</v>
      </c>
      <c r="L23" t="e">
        <f t="shared" si="3"/>
        <v>#REF!</v>
      </c>
      <c r="M23" t="e">
        <f t="shared" si="11"/>
        <v>#REF!</v>
      </c>
      <c r="N23" t="e">
        <f t="shared" si="12"/>
        <v>#REF!</v>
      </c>
      <c r="O23" t="e">
        <f t="shared" si="13"/>
        <v>#REF!</v>
      </c>
      <c r="P23" t="e">
        <f t="shared" si="14"/>
        <v>#REF!</v>
      </c>
      <c r="S23" t="e">
        <f>Reflection!A23</f>
        <v>#REF!</v>
      </c>
      <c r="T23" t="e">
        <f t="shared" si="15"/>
        <v>#REF!</v>
      </c>
      <c r="U23" t="e">
        <f t="shared" si="16"/>
        <v>#REF!</v>
      </c>
      <c r="V23" t="e">
        <f t="shared" si="17"/>
        <v>#REF!</v>
      </c>
      <c r="W23" t="e">
        <f t="shared" si="18"/>
        <v>#REF!</v>
      </c>
      <c r="X23" t="e">
        <f t="shared" si="19"/>
        <v>#REF!</v>
      </c>
      <c r="Y23" t="e">
        <f t="shared" si="20"/>
        <v>#REF!</v>
      </c>
      <c r="AB23" t="e">
        <f>Reflection!A23</f>
        <v>#REF!</v>
      </c>
      <c r="AC23" t="e">
        <f t="shared" si="21"/>
        <v>#REF!</v>
      </c>
      <c r="AD23" t="e">
        <f t="shared" si="22"/>
        <v>#REF!</v>
      </c>
      <c r="AE23" t="e">
        <f t="shared" si="23"/>
        <v>#REF!</v>
      </c>
      <c r="AF23" t="e">
        <f t="shared" si="24"/>
        <v>#REF!</v>
      </c>
      <c r="AG23" t="e">
        <f t="shared" si="25"/>
        <v>#REF!</v>
      </c>
      <c r="AH23" t="e">
        <f t="shared" si="4"/>
        <v>#REF!</v>
      </c>
      <c r="AK23" t="e">
        <f>Reflection!A23</f>
        <v>#REF!</v>
      </c>
      <c r="AL23" t="e">
        <f t="shared" si="26"/>
        <v>#REF!</v>
      </c>
      <c r="AM23" t="e">
        <f t="shared" si="5"/>
        <v>#REF!</v>
      </c>
      <c r="AN23" t="e">
        <f t="shared" si="27"/>
        <v>#REF!</v>
      </c>
      <c r="AO23" t="e">
        <f t="shared" si="28"/>
        <v>#REF!</v>
      </c>
      <c r="AP23" t="e">
        <f t="shared" si="29"/>
        <v>#REF!</v>
      </c>
      <c r="AQ23" t="e">
        <f t="shared" si="6"/>
        <v>#REF!</v>
      </c>
    </row>
    <row r="24" spans="1:43" x14ac:dyDescent="0.15">
      <c r="A24" t="e">
        <f>Reflection!A24</f>
        <v>#REF!</v>
      </c>
      <c r="B24" t="e">
        <f t="shared" si="0"/>
        <v>#REF!</v>
      </c>
      <c r="C24" t="e">
        <f t="shared" si="1"/>
        <v>#REF!</v>
      </c>
      <c r="D24" t="e">
        <f t="shared" si="7"/>
        <v>#REF!</v>
      </c>
      <c r="E24" t="e">
        <f t="shared" si="8"/>
        <v>#REF!</v>
      </c>
      <c r="F24" t="e">
        <f t="shared" si="9"/>
        <v>#REF!</v>
      </c>
      <c r="G24" t="e">
        <f t="shared" si="2"/>
        <v>#REF!</v>
      </c>
      <c r="J24" t="e">
        <f>Reflection!A24</f>
        <v>#REF!</v>
      </c>
      <c r="K24" t="e">
        <f t="shared" si="10"/>
        <v>#REF!</v>
      </c>
      <c r="L24" t="e">
        <f t="shared" si="3"/>
        <v>#REF!</v>
      </c>
      <c r="M24" t="e">
        <f t="shared" si="11"/>
        <v>#REF!</v>
      </c>
      <c r="N24" t="e">
        <f t="shared" si="12"/>
        <v>#REF!</v>
      </c>
      <c r="O24" t="e">
        <f t="shared" si="13"/>
        <v>#REF!</v>
      </c>
      <c r="P24" t="e">
        <f t="shared" si="14"/>
        <v>#REF!</v>
      </c>
      <c r="S24" t="e">
        <f>Reflection!A24</f>
        <v>#REF!</v>
      </c>
      <c r="T24" t="e">
        <f t="shared" si="15"/>
        <v>#REF!</v>
      </c>
      <c r="U24" t="e">
        <f t="shared" si="16"/>
        <v>#REF!</v>
      </c>
      <c r="V24" t="e">
        <f t="shared" si="17"/>
        <v>#REF!</v>
      </c>
      <c r="W24" t="e">
        <f t="shared" si="18"/>
        <v>#REF!</v>
      </c>
      <c r="X24" t="e">
        <f t="shared" si="19"/>
        <v>#REF!</v>
      </c>
      <c r="Y24" t="e">
        <f t="shared" si="20"/>
        <v>#REF!</v>
      </c>
      <c r="AB24" t="e">
        <f>Reflection!A24</f>
        <v>#REF!</v>
      </c>
      <c r="AC24" t="e">
        <f t="shared" si="21"/>
        <v>#REF!</v>
      </c>
      <c r="AD24" t="e">
        <f t="shared" si="22"/>
        <v>#REF!</v>
      </c>
      <c r="AE24" t="e">
        <f t="shared" si="23"/>
        <v>#REF!</v>
      </c>
      <c r="AF24" t="e">
        <f t="shared" si="24"/>
        <v>#REF!</v>
      </c>
      <c r="AG24" t="e">
        <f t="shared" si="25"/>
        <v>#REF!</v>
      </c>
      <c r="AH24" t="e">
        <f t="shared" si="4"/>
        <v>#REF!</v>
      </c>
      <c r="AK24" t="e">
        <f>Reflection!A24</f>
        <v>#REF!</v>
      </c>
      <c r="AL24" t="e">
        <f t="shared" si="26"/>
        <v>#REF!</v>
      </c>
      <c r="AM24" t="e">
        <f t="shared" si="5"/>
        <v>#REF!</v>
      </c>
      <c r="AN24" t="e">
        <f t="shared" si="27"/>
        <v>#REF!</v>
      </c>
      <c r="AO24" t="e">
        <f t="shared" si="28"/>
        <v>#REF!</v>
      </c>
      <c r="AP24" t="e">
        <f t="shared" si="29"/>
        <v>#REF!</v>
      </c>
      <c r="AQ24" t="e">
        <f t="shared" si="6"/>
        <v>#REF!</v>
      </c>
    </row>
    <row r="25" spans="1:43" x14ac:dyDescent="0.15">
      <c r="A25" t="e">
        <f>Reflection!A25</f>
        <v>#REF!</v>
      </c>
      <c r="B25" t="e">
        <f t="shared" si="0"/>
        <v>#REF!</v>
      </c>
      <c r="C25" t="e">
        <f t="shared" si="1"/>
        <v>#REF!</v>
      </c>
      <c r="D25" t="e">
        <f t="shared" si="7"/>
        <v>#REF!</v>
      </c>
      <c r="E25" t="e">
        <f t="shared" si="8"/>
        <v>#REF!</v>
      </c>
      <c r="F25" t="e">
        <f t="shared" si="9"/>
        <v>#REF!</v>
      </c>
      <c r="G25" t="e">
        <f t="shared" si="2"/>
        <v>#REF!</v>
      </c>
      <c r="J25" t="e">
        <f>Reflection!A25</f>
        <v>#REF!</v>
      </c>
      <c r="K25" t="e">
        <f t="shared" si="10"/>
        <v>#REF!</v>
      </c>
      <c r="L25" t="e">
        <f t="shared" si="3"/>
        <v>#REF!</v>
      </c>
      <c r="M25" t="e">
        <f t="shared" si="11"/>
        <v>#REF!</v>
      </c>
      <c r="N25" t="e">
        <f t="shared" si="12"/>
        <v>#REF!</v>
      </c>
      <c r="O25" t="e">
        <f t="shared" si="13"/>
        <v>#REF!</v>
      </c>
      <c r="P25" t="e">
        <f t="shared" si="14"/>
        <v>#REF!</v>
      </c>
      <c r="S25" t="e">
        <f>Reflection!A25</f>
        <v>#REF!</v>
      </c>
      <c r="T25" t="e">
        <f t="shared" si="15"/>
        <v>#REF!</v>
      </c>
      <c r="U25" t="e">
        <f t="shared" si="16"/>
        <v>#REF!</v>
      </c>
      <c r="V25" t="e">
        <f t="shared" si="17"/>
        <v>#REF!</v>
      </c>
      <c r="W25" t="e">
        <f t="shared" si="18"/>
        <v>#REF!</v>
      </c>
      <c r="X25" t="e">
        <f t="shared" si="19"/>
        <v>#REF!</v>
      </c>
      <c r="Y25" t="e">
        <f t="shared" si="20"/>
        <v>#REF!</v>
      </c>
      <c r="AB25" t="e">
        <f>Reflection!A25</f>
        <v>#REF!</v>
      </c>
      <c r="AC25" t="e">
        <f t="shared" si="21"/>
        <v>#REF!</v>
      </c>
      <c r="AD25" t="e">
        <f t="shared" si="22"/>
        <v>#REF!</v>
      </c>
      <c r="AE25" t="e">
        <f t="shared" si="23"/>
        <v>#REF!</v>
      </c>
      <c r="AF25" t="e">
        <f t="shared" si="24"/>
        <v>#REF!</v>
      </c>
      <c r="AG25" t="e">
        <f t="shared" si="25"/>
        <v>#REF!</v>
      </c>
      <c r="AH25" t="e">
        <f t="shared" si="4"/>
        <v>#REF!</v>
      </c>
      <c r="AK25" t="e">
        <f>Reflection!A25</f>
        <v>#REF!</v>
      </c>
      <c r="AL25" t="e">
        <f t="shared" si="26"/>
        <v>#REF!</v>
      </c>
      <c r="AM25" t="e">
        <f t="shared" si="5"/>
        <v>#REF!</v>
      </c>
      <c r="AN25" t="e">
        <f t="shared" si="27"/>
        <v>#REF!</v>
      </c>
      <c r="AO25" t="e">
        <f t="shared" si="28"/>
        <v>#REF!</v>
      </c>
      <c r="AP25" t="e">
        <f t="shared" si="29"/>
        <v>#REF!</v>
      </c>
      <c r="AQ25" t="e">
        <f t="shared" si="6"/>
        <v>#REF!</v>
      </c>
    </row>
    <row r="26" spans="1:43" x14ac:dyDescent="0.15">
      <c r="A26" t="e">
        <f>Reflection!A26</f>
        <v>#REF!</v>
      </c>
      <c r="B26" t="e">
        <f t="shared" si="0"/>
        <v>#REF!</v>
      </c>
      <c r="C26" t="e">
        <f t="shared" si="1"/>
        <v>#REF!</v>
      </c>
      <c r="D26" t="e">
        <f t="shared" si="7"/>
        <v>#REF!</v>
      </c>
      <c r="E26" t="e">
        <f t="shared" si="8"/>
        <v>#REF!</v>
      </c>
      <c r="F26" t="e">
        <f t="shared" si="9"/>
        <v>#REF!</v>
      </c>
      <c r="G26" t="e">
        <f t="shared" si="2"/>
        <v>#REF!</v>
      </c>
      <c r="J26" t="e">
        <f>Reflection!A26</f>
        <v>#REF!</v>
      </c>
      <c r="K26" t="e">
        <f t="shared" si="10"/>
        <v>#REF!</v>
      </c>
      <c r="L26" t="e">
        <f t="shared" si="3"/>
        <v>#REF!</v>
      </c>
      <c r="M26" t="e">
        <f t="shared" si="11"/>
        <v>#REF!</v>
      </c>
      <c r="N26" t="e">
        <f t="shared" si="12"/>
        <v>#REF!</v>
      </c>
      <c r="O26" t="e">
        <f t="shared" si="13"/>
        <v>#REF!</v>
      </c>
      <c r="P26" t="e">
        <f t="shared" si="14"/>
        <v>#REF!</v>
      </c>
      <c r="S26" t="e">
        <f>Reflection!A26</f>
        <v>#REF!</v>
      </c>
      <c r="T26" t="e">
        <f t="shared" si="15"/>
        <v>#REF!</v>
      </c>
      <c r="U26" t="e">
        <f t="shared" si="16"/>
        <v>#REF!</v>
      </c>
      <c r="V26" t="e">
        <f t="shared" si="17"/>
        <v>#REF!</v>
      </c>
      <c r="W26" t="e">
        <f t="shared" si="18"/>
        <v>#REF!</v>
      </c>
      <c r="X26" t="e">
        <f t="shared" si="19"/>
        <v>#REF!</v>
      </c>
      <c r="Y26" t="e">
        <f t="shared" si="20"/>
        <v>#REF!</v>
      </c>
      <c r="AB26" t="e">
        <f>Reflection!A26</f>
        <v>#REF!</v>
      </c>
      <c r="AC26" t="e">
        <f t="shared" si="21"/>
        <v>#REF!</v>
      </c>
      <c r="AD26" t="e">
        <f t="shared" si="22"/>
        <v>#REF!</v>
      </c>
      <c r="AE26" t="e">
        <f t="shared" si="23"/>
        <v>#REF!</v>
      </c>
      <c r="AF26" t="e">
        <f t="shared" si="24"/>
        <v>#REF!</v>
      </c>
      <c r="AG26" t="e">
        <f t="shared" si="25"/>
        <v>#REF!</v>
      </c>
      <c r="AH26" t="e">
        <f t="shared" si="4"/>
        <v>#REF!</v>
      </c>
      <c r="AK26" t="e">
        <f>Reflection!A26</f>
        <v>#REF!</v>
      </c>
      <c r="AL26" t="e">
        <f t="shared" si="26"/>
        <v>#REF!</v>
      </c>
      <c r="AM26" t="e">
        <f t="shared" si="5"/>
        <v>#REF!</v>
      </c>
      <c r="AN26" t="e">
        <f t="shared" si="27"/>
        <v>#REF!</v>
      </c>
      <c r="AO26" t="e">
        <f t="shared" si="28"/>
        <v>#REF!</v>
      </c>
      <c r="AP26" t="e">
        <f t="shared" si="29"/>
        <v>#REF!</v>
      </c>
      <c r="AQ26" t="e">
        <f t="shared" si="6"/>
        <v>#REF!</v>
      </c>
    </row>
    <row r="27" spans="1:43" x14ac:dyDescent="0.15">
      <c r="A27" t="e">
        <f>Reflection!A27</f>
        <v>#REF!</v>
      </c>
      <c r="B27" t="e">
        <f t="shared" si="0"/>
        <v>#REF!</v>
      </c>
      <c r="C27" t="e">
        <f t="shared" si="1"/>
        <v>#REF!</v>
      </c>
      <c r="D27" t="e">
        <f t="shared" si="7"/>
        <v>#REF!</v>
      </c>
      <c r="E27" t="e">
        <f t="shared" si="8"/>
        <v>#REF!</v>
      </c>
      <c r="F27" t="e">
        <f t="shared" si="9"/>
        <v>#REF!</v>
      </c>
      <c r="G27" t="e">
        <f t="shared" si="2"/>
        <v>#REF!</v>
      </c>
      <c r="J27" t="e">
        <f>Reflection!A27</f>
        <v>#REF!</v>
      </c>
      <c r="K27" t="e">
        <f t="shared" si="10"/>
        <v>#REF!</v>
      </c>
      <c r="L27" t="e">
        <f t="shared" si="3"/>
        <v>#REF!</v>
      </c>
      <c r="M27" t="e">
        <f t="shared" si="11"/>
        <v>#REF!</v>
      </c>
      <c r="N27" t="e">
        <f t="shared" si="12"/>
        <v>#REF!</v>
      </c>
      <c r="O27" t="e">
        <f t="shared" si="13"/>
        <v>#REF!</v>
      </c>
      <c r="P27" t="e">
        <f t="shared" si="14"/>
        <v>#REF!</v>
      </c>
      <c r="S27" t="e">
        <f>Reflection!A27</f>
        <v>#REF!</v>
      </c>
      <c r="T27" t="e">
        <f t="shared" si="15"/>
        <v>#REF!</v>
      </c>
      <c r="U27" t="e">
        <f t="shared" si="16"/>
        <v>#REF!</v>
      </c>
      <c r="V27" t="e">
        <f t="shared" si="17"/>
        <v>#REF!</v>
      </c>
      <c r="W27" t="e">
        <f t="shared" si="18"/>
        <v>#REF!</v>
      </c>
      <c r="X27" t="e">
        <f t="shared" si="19"/>
        <v>#REF!</v>
      </c>
      <c r="Y27" t="e">
        <f t="shared" si="20"/>
        <v>#REF!</v>
      </c>
      <c r="AB27" t="e">
        <f>Reflection!A27</f>
        <v>#REF!</v>
      </c>
      <c r="AC27" t="e">
        <f t="shared" si="21"/>
        <v>#REF!</v>
      </c>
      <c r="AD27" t="e">
        <f t="shared" si="22"/>
        <v>#REF!</v>
      </c>
      <c r="AE27" t="e">
        <f t="shared" si="23"/>
        <v>#REF!</v>
      </c>
      <c r="AF27" t="e">
        <f t="shared" si="24"/>
        <v>#REF!</v>
      </c>
      <c r="AG27" t="e">
        <f t="shared" si="25"/>
        <v>#REF!</v>
      </c>
      <c r="AH27" t="e">
        <f t="shared" si="4"/>
        <v>#REF!</v>
      </c>
      <c r="AK27" t="e">
        <f>Reflection!A27</f>
        <v>#REF!</v>
      </c>
      <c r="AL27" t="e">
        <f t="shared" si="26"/>
        <v>#REF!</v>
      </c>
      <c r="AM27" t="e">
        <f t="shared" si="5"/>
        <v>#REF!</v>
      </c>
      <c r="AN27" t="e">
        <f t="shared" si="27"/>
        <v>#REF!</v>
      </c>
      <c r="AO27" t="e">
        <f t="shared" si="28"/>
        <v>#REF!</v>
      </c>
      <c r="AP27" t="e">
        <f t="shared" si="29"/>
        <v>#REF!</v>
      </c>
      <c r="AQ27" t="e">
        <f t="shared" si="6"/>
        <v>#REF!</v>
      </c>
    </row>
    <row r="28" spans="1:43" x14ac:dyDescent="0.15">
      <c r="A28" t="e">
        <f>Reflection!A28</f>
        <v>#REF!</v>
      </c>
      <c r="B28" t="e">
        <f t="shared" si="0"/>
        <v>#REF!</v>
      </c>
      <c r="C28" t="e">
        <f t="shared" si="1"/>
        <v>#REF!</v>
      </c>
      <c r="D28" t="e">
        <f t="shared" si="7"/>
        <v>#REF!</v>
      </c>
      <c r="E28" t="e">
        <f t="shared" si="8"/>
        <v>#REF!</v>
      </c>
      <c r="F28" t="e">
        <f t="shared" si="9"/>
        <v>#REF!</v>
      </c>
      <c r="G28" t="e">
        <f t="shared" si="2"/>
        <v>#REF!</v>
      </c>
      <c r="J28" t="e">
        <f>Reflection!A28</f>
        <v>#REF!</v>
      </c>
      <c r="K28" t="e">
        <f t="shared" si="10"/>
        <v>#REF!</v>
      </c>
      <c r="L28" t="e">
        <f t="shared" si="3"/>
        <v>#REF!</v>
      </c>
      <c r="M28" t="e">
        <f t="shared" si="11"/>
        <v>#REF!</v>
      </c>
      <c r="N28" t="e">
        <f t="shared" si="12"/>
        <v>#REF!</v>
      </c>
      <c r="O28" t="e">
        <f t="shared" si="13"/>
        <v>#REF!</v>
      </c>
      <c r="P28" t="e">
        <f t="shared" si="14"/>
        <v>#REF!</v>
      </c>
      <c r="S28" t="e">
        <f>Reflection!A28</f>
        <v>#REF!</v>
      </c>
      <c r="T28" t="e">
        <f t="shared" si="15"/>
        <v>#REF!</v>
      </c>
      <c r="U28" t="e">
        <f t="shared" si="16"/>
        <v>#REF!</v>
      </c>
      <c r="V28" t="e">
        <f t="shared" si="17"/>
        <v>#REF!</v>
      </c>
      <c r="W28" t="e">
        <f t="shared" si="18"/>
        <v>#REF!</v>
      </c>
      <c r="X28" t="e">
        <f t="shared" si="19"/>
        <v>#REF!</v>
      </c>
      <c r="Y28" t="e">
        <f t="shared" si="20"/>
        <v>#REF!</v>
      </c>
      <c r="AB28" t="e">
        <f>Reflection!A28</f>
        <v>#REF!</v>
      </c>
      <c r="AC28" t="e">
        <f t="shared" si="21"/>
        <v>#REF!</v>
      </c>
      <c r="AD28" t="e">
        <f t="shared" si="22"/>
        <v>#REF!</v>
      </c>
      <c r="AE28" t="e">
        <f t="shared" si="23"/>
        <v>#REF!</v>
      </c>
      <c r="AF28" t="e">
        <f t="shared" si="24"/>
        <v>#REF!</v>
      </c>
      <c r="AG28" t="e">
        <f t="shared" si="25"/>
        <v>#REF!</v>
      </c>
      <c r="AH28" t="e">
        <f t="shared" si="4"/>
        <v>#REF!</v>
      </c>
      <c r="AK28" t="e">
        <f>Reflection!A28</f>
        <v>#REF!</v>
      </c>
      <c r="AL28" t="e">
        <f t="shared" si="26"/>
        <v>#REF!</v>
      </c>
      <c r="AM28" t="e">
        <f t="shared" si="5"/>
        <v>#REF!</v>
      </c>
      <c r="AN28" t="e">
        <f t="shared" si="27"/>
        <v>#REF!</v>
      </c>
      <c r="AO28" t="e">
        <f t="shared" si="28"/>
        <v>#REF!</v>
      </c>
      <c r="AP28" t="e">
        <f t="shared" si="29"/>
        <v>#REF!</v>
      </c>
      <c r="AQ28" t="e">
        <f t="shared" si="6"/>
        <v>#REF!</v>
      </c>
    </row>
    <row r="29" spans="1:43" x14ac:dyDescent="0.15">
      <c r="A29" t="e">
        <f>Reflection!A29</f>
        <v>#REF!</v>
      </c>
      <c r="B29" t="e">
        <f t="shared" si="0"/>
        <v>#REF!</v>
      </c>
      <c r="C29" t="e">
        <f t="shared" si="1"/>
        <v>#REF!</v>
      </c>
      <c r="D29" t="e">
        <f t="shared" si="7"/>
        <v>#REF!</v>
      </c>
      <c r="E29" t="e">
        <f t="shared" si="8"/>
        <v>#REF!</v>
      </c>
      <c r="F29" t="e">
        <f t="shared" si="9"/>
        <v>#REF!</v>
      </c>
      <c r="G29" t="e">
        <f t="shared" si="2"/>
        <v>#REF!</v>
      </c>
      <c r="J29" t="e">
        <f>Reflection!A29</f>
        <v>#REF!</v>
      </c>
      <c r="K29" t="e">
        <f t="shared" si="10"/>
        <v>#REF!</v>
      </c>
      <c r="L29" t="e">
        <f t="shared" si="3"/>
        <v>#REF!</v>
      </c>
      <c r="M29" t="e">
        <f t="shared" si="11"/>
        <v>#REF!</v>
      </c>
      <c r="N29" t="e">
        <f t="shared" si="12"/>
        <v>#REF!</v>
      </c>
      <c r="O29" t="e">
        <f t="shared" si="13"/>
        <v>#REF!</v>
      </c>
      <c r="P29" t="e">
        <f t="shared" si="14"/>
        <v>#REF!</v>
      </c>
      <c r="S29" t="e">
        <f>Reflection!A29</f>
        <v>#REF!</v>
      </c>
      <c r="T29" t="e">
        <f t="shared" si="15"/>
        <v>#REF!</v>
      </c>
      <c r="U29" t="e">
        <f t="shared" si="16"/>
        <v>#REF!</v>
      </c>
      <c r="V29" t="e">
        <f t="shared" si="17"/>
        <v>#REF!</v>
      </c>
      <c r="W29" t="e">
        <f t="shared" si="18"/>
        <v>#REF!</v>
      </c>
      <c r="X29" t="e">
        <f t="shared" si="19"/>
        <v>#REF!</v>
      </c>
      <c r="Y29" t="e">
        <f t="shared" si="20"/>
        <v>#REF!</v>
      </c>
      <c r="AB29" t="e">
        <f>Reflection!A29</f>
        <v>#REF!</v>
      </c>
      <c r="AC29" t="e">
        <f t="shared" si="21"/>
        <v>#REF!</v>
      </c>
      <c r="AD29" t="e">
        <f t="shared" si="22"/>
        <v>#REF!</v>
      </c>
      <c r="AE29" t="e">
        <f t="shared" si="23"/>
        <v>#REF!</v>
      </c>
      <c r="AF29" t="e">
        <f t="shared" si="24"/>
        <v>#REF!</v>
      </c>
      <c r="AG29" t="e">
        <f t="shared" si="25"/>
        <v>#REF!</v>
      </c>
      <c r="AH29" t="e">
        <f t="shared" si="4"/>
        <v>#REF!</v>
      </c>
      <c r="AK29" t="e">
        <f>Reflection!A29</f>
        <v>#REF!</v>
      </c>
      <c r="AL29" t="e">
        <f t="shared" si="26"/>
        <v>#REF!</v>
      </c>
      <c r="AM29" t="e">
        <f t="shared" si="5"/>
        <v>#REF!</v>
      </c>
      <c r="AN29" t="e">
        <f t="shared" si="27"/>
        <v>#REF!</v>
      </c>
      <c r="AO29" t="e">
        <f t="shared" si="28"/>
        <v>#REF!</v>
      </c>
      <c r="AP29" t="e">
        <f t="shared" si="29"/>
        <v>#REF!</v>
      </c>
      <c r="AQ29" t="e">
        <f t="shared" si="6"/>
        <v>#REF!</v>
      </c>
    </row>
    <row r="30" spans="1:43" x14ac:dyDescent="0.15">
      <c r="A30" t="e">
        <f>Reflection!A30</f>
        <v>#REF!</v>
      </c>
      <c r="B30" t="e">
        <f t="shared" si="0"/>
        <v>#REF!</v>
      </c>
      <c r="C30" t="e">
        <f t="shared" si="1"/>
        <v>#REF!</v>
      </c>
      <c r="D30" t="e">
        <f t="shared" si="7"/>
        <v>#REF!</v>
      </c>
      <c r="E30" t="e">
        <f t="shared" si="8"/>
        <v>#REF!</v>
      </c>
      <c r="F30" t="e">
        <f t="shared" si="9"/>
        <v>#REF!</v>
      </c>
      <c r="G30" t="e">
        <f t="shared" si="2"/>
        <v>#REF!</v>
      </c>
      <c r="J30" t="e">
        <f>Reflection!A30</f>
        <v>#REF!</v>
      </c>
      <c r="K30" t="e">
        <f t="shared" si="10"/>
        <v>#REF!</v>
      </c>
      <c r="L30" t="e">
        <f t="shared" si="3"/>
        <v>#REF!</v>
      </c>
      <c r="M30" t="e">
        <f t="shared" si="11"/>
        <v>#REF!</v>
      </c>
      <c r="N30" t="e">
        <f t="shared" si="12"/>
        <v>#REF!</v>
      </c>
      <c r="O30" t="e">
        <f t="shared" si="13"/>
        <v>#REF!</v>
      </c>
      <c r="P30" t="e">
        <f t="shared" si="14"/>
        <v>#REF!</v>
      </c>
      <c r="S30" t="e">
        <f>Reflection!A30</f>
        <v>#REF!</v>
      </c>
      <c r="T30" t="e">
        <f t="shared" si="15"/>
        <v>#REF!</v>
      </c>
      <c r="U30" t="e">
        <f t="shared" si="16"/>
        <v>#REF!</v>
      </c>
      <c r="V30" t="e">
        <f t="shared" si="17"/>
        <v>#REF!</v>
      </c>
      <c r="W30" t="e">
        <f t="shared" si="18"/>
        <v>#REF!</v>
      </c>
      <c r="X30" t="e">
        <f t="shared" si="19"/>
        <v>#REF!</v>
      </c>
      <c r="Y30" t="e">
        <f t="shared" si="20"/>
        <v>#REF!</v>
      </c>
      <c r="AB30" t="e">
        <f>Reflection!A30</f>
        <v>#REF!</v>
      </c>
      <c r="AC30" t="e">
        <f t="shared" si="21"/>
        <v>#REF!</v>
      </c>
      <c r="AD30" t="e">
        <f t="shared" si="22"/>
        <v>#REF!</v>
      </c>
      <c r="AE30" t="e">
        <f t="shared" si="23"/>
        <v>#REF!</v>
      </c>
      <c r="AF30" t="e">
        <f t="shared" si="24"/>
        <v>#REF!</v>
      </c>
      <c r="AG30" t="e">
        <f t="shared" si="25"/>
        <v>#REF!</v>
      </c>
      <c r="AH30" t="e">
        <f t="shared" si="4"/>
        <v>#REF!</v>
      </c>
      <c r="AK30" t="e">
        <f>Reflection!A30</f>
        <v>#REF!</v>
      </c>
      <c r="AL30" t="e">
        <f t="shared" si="26"/>
        <v>#REF!</v>
      </c>
      <c r="AM30" t="e">
        <f t="shared" si="5"/>
        <v>#REF!</v>
      </c>
      <c r="AN30" t="e">
        <f t="shared" si="27"/>
        <v>#REF!</v>
      </c>
      <c r="AO30" t="e">
        <f t="shared" si="28"/>
        <v>#REF!</v>
      </c>
      <c r="AP30" t="e">
        <f t="shared" si="29"/>
        <v>#REF!</v>
      </c>
      <c r="AQ30" t="e">
        <f t="shared" si="6"/>
        <v>#REF!</v>
      </c>
    </row>
    <row r="31" spans="1:43" x14ac:dyDescent="0.15">
      <c r="A31" t="e">
        <f>Reflection!A31</f>
        <v>#REF!</v>
      </c>
      <c r="B31" t="e">
        <f t="shared" si="0"/>
        <v>#REF!</v>
      </c>
      <c r="C31" t="e">
        <f t="shared" si="1"/>
        <v>#REF!</v>
      </c>
      <c r="D31" t="e">
        <f t="shared" si="7"/>
        <v>#REF!</v>
      </c>
      <c r="E31" t="e">
        <f t="shared" si="8"/>
        <v>#REF!</v>
      </c>
      <c r="F31" t="e">
        <f t="shared" si="9"/>
        <v>#REF!</v>
      </c>
      <c r="G31" t="e">
        <f t="shared" si="2"/>
        <v>#REF!</v>
      </c>
      <c r="J31" t="e">
        <f>Reflection!A31</f>
        <v>#REF!</v>
      </c>
      <c r="K31" t="e">
        <f t="shared" si="10"/>
        <v>#REF!</v>
      </c>
      <c r="L31" t="e">
        <f t="shared" si="3"/>
        <v>#REF!</v>
      </c>
      <c r="M31" t="e">
        <f t="shared" si="11"/>
        <v>#REF!</v>
      </c>
      <c r="N31" t="e">
        <f t="shared" si="12"/>
        <v>#REF!</v>
      </c>
      <c r="O31" t="e">
        <f t="shared" si="13"/>
        <v>#REF!</v>
      </c>
      <c r="P31" t="e">
        <f t="shared" si="14"/>
        <v>#REF!</v>
      </c>
      <c r="S31" t="e">
        <f>Reflection!A31</f>
        <v>#REF!</v>
      </c>
      <c r="T31" t="e">
        <f t="shared" si="15"/>
        <v>#REF!</v>
      </c>
      <c r="U31" t="e">
        <f t="shared" si="16"/>
        <v>#REF!</v>
      </c>
      <c r="V31" t="e">
        <f t="shared" si="17"/>
        <v>#REF!</v>
      </c>
      <c r="W31" t="e">
        <f t="shared" si="18"/>
        <v>#REF!</v>
      </c>
      <c r="X31" t="e">
        <f t="shared" si="19"/>
        <v>#REF!</v>
      </c>
      <c r="Y31" t="e">
        <f t="shared" si="20"/>
        <v>#REF!</v>
      </c>
      <c r="AB31" t="e">
        <f>Reflection!A31</f>
        <v>#REF!</v>
      </c>
      <c r="AC31" t="e">
        <f t="shared" si="21"/>
        <v>#REF!</v>
      </c>
      <c r="AD31" t="e">
        <f t="shared" si="22"/>
        <v>#REF!</v>
      </c>
      <c r="AE31" t="e">
        <f t="shared" si="23"/>
        <v>#REF!</v>
      </c>
      <c r="AF31" t="e">
        <f t="shared" si="24"/>
        <v>#REF!</v>
      </c>
      <c r="AG31" t="e">
        <f t="shared" si="25"/>
        <v>#REF!</v>
      </c>
      <c r="AH31" t="e">
        <f t="shared" si="4"/>
        <v>#REF!</v>
      </c>
      <c r="AK31" t="e">
        <f>Reflection!A31</f>
        <v>#REF!</v>
      </c>
      <c r="AL31" t="e">
        <f t="shared" si="26"/>
        <v>#REF!</v>
      </c>
      <c r="AM31" t="e">
        <f t="shared" si="5"/>
        <v>#REF!</v>
      </c>
      <c r="AN31" t="e">
        <f t="shared" si="27"/>
        <v>#REF!</v>
      </c>
      <c r="AO31" t="e">
        <f t="shared" si="28"/>
        <v>#REF!</v>
      </c>
      <c r="AP31" t="e">
        <f t="shared" si="29"/>
        <v>#REF!</v>
      </c>
      <c r="AQ31" t="e">
        <f t="shared" si="6"/>
        <v>#REF!</v>
      </c>
    </row>
    <row r="32" spans="1:43" x14ac:dyDescent="0.15">
      <c r="A32" t="e">
        <f>Reflection!A32</f>
        <v>#REF!</v>
      </c>
      <c r="B32" t="e">
        <f t="shared" si="0"/>
        <v>#REF!</v>
      </c>
      <c r="C32" t="e">
        <f t="shared" si="1"/>
        <v>#REF!</v>
      </c>
      <c r="D32" t="e">
        <f t="shared" si="7"/>
        <v>#REF!</v>
      </c>
      <c r="E32" t="e">
        <f t="shared" si="8"/>
        <v>#REF!</v>
      </c>
      <c r="F32" t="e">
        <f t="shared" si="9"/>
        <v>#REF!</v>
      </c>
      <c r="G32" t="e">
        <f t="shared" si="2"/>
        <v>#REF!</v>
      </c>
      <c r="J32" t="e">
        <f>Reflection!A32</f>
        <v>#REF!</v>
      </c>
      <c r="K32" t="e">
        <f t="shared" si="10"/>
        <v>#REF!</v>
      </c>
      <c r="L32" t="e">
        <f t="shared" si="3"/>
        <v>#REF!</v>
      </c>
      <c r="M32" t="e">
        <f t="shared" si="11"/>
        <v>#REF!</v>
      </c>
      <c r="N32" t="e">
        <f t="shared" si="12"/>
        <v>#REF!</v>
      </c>
      <c r="O32" t="e">
        <f t="shared" si="13"/>
        <v>#REF!</v>
      </c>
      <c r="P32" t="e">
        <f t="shared" si="14"/>
        <v>#REF!</v>
      </c>
      <c r="S32" t="e">
        <f>Reflection!A32</f>
        <v>#REF!</v>
      </c>
      <c r="T32" t="e">
        <f t="shared" si="15"/>
        <v>#REF!</v>
      </c>
      <c r="U32" t="e">
        <f t="shared" si="16"/>
        <v>#REF!</v>
      </c>
      <c r="V32" t="e">
        <f t="shared" si="17"/>
        <v>#REF!</v>
      </c>
      <c r="W32" t="e">
        <f t="shared" si="18"/>
        <v>#REF!</v>
      </c>
      <c r="X32" t="e">
        <f t="shared" si="19"/>
        <v>#REF!</v>
      </c>
      <c r="Y32" t="e">
        <f t="shared" si="20"/>
        <v>#REF!</v>
      </c>
      <c r="AB32" t="e">
        <f>Reflection!A32</f>
        <v>#REF!</v>
      </c>
      <c r="AC32" t="e">
        <f t="shared" si="21"/>
        <v>#REF!</v>
      </c>
      <c r="AD32" t="e">
        <f t="shared" si="22"/>
        <v>#REF!</v>
      </c>
      <c r="AE32" t="e">
        <f t="shared" si="23"/>
        <v>#REF!</v>
      </c>
      <c r="AF32" t="e">
        <f t="shared" si="24"/>
        <v>#REF!</v>
      </c>
      <c r="AG32" t="e">
        <f t="shared" si="25"/>
        <v>#REF!</v>
      </c>
      <c r="AH32" t="e">
        <f t="shared" si="4"/>
        <v>#REF!</v>
      </c>
      <c r="AK32" t="e">
        <f>Reflection!A32</f>
        <v>#REF!</v>
      </c>
      <c r="AL32" t="e">
        <f t="shared" si="26"/>
        <v>#REF!</v>
      </c>
      <c r="AM32" t="e">
        <f t="shared" si="5"/>
        <v>#REF!</v>
      </c>
      <c r="AN32" t="e">
        <f t="shared" si="27"/>
        <v>#REF!</v>
      </c>
      <c r="AO32" t="e">
        <f t="shared" si="28"/>
        <v>#REF!</v>
      </c>
      <c r="AP32" t="e">
        <f t="shared" si="29"/>
        <v>#REF!</v>
      </c>
      <c r="AQ32" t="e">
        <f t="shared" si="6"/>
        <v>#REF!</v>
      </c>
    </row>
    <row r="33" spans="1:43" x14ac:dyDescent="0.15">
      <c r="A33" t="e">
        <f>Reflection!A33</f>
        <v>#REF!</v>
      </c>
      <c r="B33" t="e">
        <f t="shared" si="0"/>
        <v>#REF!</v>
      </c>
      <c r="C33" t="e">
        <f t="shared" si="1"/>
        <v>#REF!</v>
      </c>
      <c r="D33" t="e">
        <f t="shared" si="7"/>
        <v>#REF!</v>
      </c>
      <c r="E33" t="e">
        <f t="shared" si="8"/>
        <v>#REF!</v>
      </c>
      <c r="F33" t="e">
        <f t="shared" si="9"/>
        <v>#REF!</v>
      </c>
      <c r="G33" t="e">
        <f t="shared" si="2"/>
        <v>#REF!</v>
      </c>
      <c r="J33" t="e">
        <f>Reflection!A33</f>
        <v>#REF!</v>
      </c>
      <c r="K33" t="e">
        <f t="shared" si="10"/>
        <v>#REF!</v>
      </c>
      <c r="L33" t="e">
        <f t="shared" si="3"/>
        <v>#REF!</v>
      </c>
      <c r="M33" t="e">
        <f t="shared" si="11"/>
        <v>#REF!</v>
      </c>
      <c r="N33" t="e">
        <f t="shared" si="12"/>
        <v>#REF!</v>
      </c>
      <c r="O33" t="e">
        <f t="shared" si="13"/>
        <v>#REF!</v>
      </c>
      <c r="P33" t="e">
        <f t="shared" si="14"/>
        <v>#REF!</v>
      </c>
      <c r="S33" t="e">
        <f>Reflection!A33</f>
        <v>#REF!</v>
      </c>
      <c r="T33" t="e">
        <f t="shared" si="15"/>
        <v>#REF!</v>
      </c>
      <c r="U33" t="e">
        <f t="shared" si="16"/>
        <v>#REF!</v>
      </c>
      <c r="V33" t="e">
        <f t="shared" si="17"/>
        <v>#REF!</v>
      </c>
      <c r="W33" t="e">
        <f t="shared" si="18"/>
        <v>#REF!</v>
      </c>
      <c r="X33" t="e">
        <f t="shared" si="19"/>
        <v>#REF!</v>
      </c>
      <c r="Y33" t="e">
        <f t="shared" si="20"/>
        <v>#REF!</v>
      </c>
      <c r="AB33" t="e">
        <f>Reflection!A33</f>
        <v>#REF!</v>
      </c>
      <c r="AC33" t="e">
        <f t="shared" si="21"/>
        <v>#REF!</v>
      </c>
      <c r="AD33" t="e">
        <f t="shared" si="22"/>
        <v>#REF!</v>
      </c>
      <c r="AE33" t="e">
        <f t="shared" si="23"/>
        <v>#REF!</v>
      </c>
      <c r="AF33" t="e">
        <f t="shared" si="24"/>
        <v>#REF!</v>
      </c>
      <c r="AG33" t="e">
        <f t="shared" si="25"/>
        <v>#REF!</v>
      </c>
      <c r="AH33" t="e">
        <f t="shared" si="4"/>
        <v>#REF!</v>
      </c>
      <c r="AK33" t="e">
        <f>Reflection!A33</f>
        <v>#REF!</v>
      </c>
      <c r="AL33" t="e">
        <f t="shared" si="26"/>
        <v>#REF!</v>
      </c>
      <c r="AM33" t="e">
        <f t="shared" si="5"/>
        <v>#REF!</v>
      </c>
      <c r="AN33" t="e">
        <f t="shared" si="27"/>
        <v>#REF!</v>
      </c>
      <c r="AO33" t="e">
        <f t="shared" si="28"/>
        <v>#REF!</v>
      </c>
      <c r="AP33" t="e">
        <f t="shared" si="29"/>
        <v>#REF!</v>
      </c>
      <c r="AQ33" t="e">
        <f t="shared" si="6"/>
        <v>#REF!</v>
      </c>
    </row>
    <row r="34" spans="1:43" x14ac:dyDescent="0.15">
      <c r="A34" t="e">
        <f>Reflection!A34</f>
        <v>#REF!</v>
      </c>
      <c r="B34" t="e">
        <f t="shared" si="0"/>
        <v>#REF!</v>
      </c>
      <c r="C34" t="e">
        <f t="shared" si="1"/>
        <v>#REF!</v>
      </c>
      <c r="D34" t="e">
        <f t="shared" si="7"/>
        <v>#REF!</v>
      </c>
      <c r="E34" t="e">
        <f t="shared" si="8"/>
        <v>#REF!</v>
      </c>
      <c r="F34" t="e">
        <f t="shared" si="9"/>
        <v>#REF!</v>
      </c>
      <c r="G34" t="e">
        <f t="shared" si="2"/>
        <v>#REF!</v>
      </c>
      <c r="J34" t="e">
        <f>Reflection!A34</f>
        <v>#REF!</v>
      </c>
      <c r="K34" t="e">
        <f t="shared" si="10"/>
        <v>#REF!</v>
      </c>
      <c r="L34" t="e">
        <f t="shared" si="3"/>
        <v>#REF!</v>
      </c>
      <c r="M34" t="e">
        <f t="shared" si="11"/>
        <v>#REF!</v>
      </c>
      <c r="N34" t="e">
        <f t="shared" si="12"/>
        <v>#REF!</v>
      </c>
      <c r="O34" t="e">
        <f t="shared" si="13"/>
        <v>#REF!</v>
      </c>
      <c r="P34" t="e">
        <f t="shared" si="14"/>
        <v>#REF!</v>
      </c>
      <c r="S34" t="e">
        <f>Reflection!A34</f>
        <v>#REF!</v>
      </c>
      <c r="T34" t="e">
        <f t="shared" si="15"/>
        <v>#REF!</v>
      </c>
      <c r="U34" t="e">
        <f t="shared" si="16"/>
        <v>#REF!</v>
      </c>
      <c r="V34" t="e">
        <f t="shared" si="17"/>
        <v>#REF!</v>
      </c>
      <c r="W34" t="e">
        <f t="shared" si="18"/>
        <v>#REF!</v>
      </c>
      <c r="X34" t="e">
        <f t="shared" si="19"/>
        <v>#REF!</v>
      </c>
      <c r="Y34" t="e">
        <f t="shared" si="20"/>
        <v>#REF!</v>
      </c>
      <c r="AB34" t="e">
        <f>Reflection!A34</f>
        <v>#REF!</v>
      </c>
      <c r="AC34" t="e">
        <f t="shared" si="21"/>
        <v>#REF!</v>
      </c>
      <c r="AD34" t="e">
        <f t="shared" si="22"/>
        <v>#REF!</v>
      </c>
      <c r="AE34" t="e">
        <f t="shared" si="23"/>
        <v>#REF!</v>
      </c>
      <c r="AF34" t="e">
        <f t="shared" si="24"/>
        <v>#REF!</v>
      </c>
      <c r="AG34" t="e">
        <f t="shared" si="25"/>
        <v>#REF!</v>
      </c>
      <c r="AH34" t="e">
        <f t="shared" si="4"/>
        <v>#REF!</v>
      </c>
      <c r="AK34" t="e">
        <f>Reflection!A34</f>
        <v>#REF!</v>
      </c>
      <c r="AL34" t="e">
        <f t="shared" si="26"/>
        <v>#REF!</v>
      </c>
      <c r="AM34" t="e">
        <f t="shared" si="5"/>
        <v>#REF!</v>
      </c>
      <c r="AN34" t="e">
        <f t="shared" si="27"/>
        <v>#REF!</v>
      </c>
      <c r="AO34" t="e">
        <f t="shared" si="28"/>
        <v>#REF!</v>
      </c>
      <c r="AP34" t="e">
        <f t="shared" si="29"/>
        <v>#REF!</v>
      </c>
      <c r="AQ34" t="e">
        <f t="shared" si="6"/>
        <v>#REF!</v>
      </c>
    </row>
    <row r="35" spans="1:43" x14ac:dyDescent="0.15">
      <c r="A35" t="e">
        <f>Reflection!A35</f>
        <v>#REF!</v>
      </c>
      <c r="B35" t="e">
        <f t="shared" si="0"/>
        <v>#REF!</v>
      </c>
      <c r="C35" t="e">
        <f t="shared" si="1"/>
        <v>#REF!</v>
      </c>
      <c r="D35" t="e">
        <f t="shared" si="7"/>
        <v>#REF!</v>
      </c>
      <c r="E35" t="e">
        <f t="shared" si="8"/>
        <v>#REF!</v>
      </c>
      <c r="F35" t="e">
        <f t="shared" si="9"/>
        <v>#REF!</v>
      </c>
      <c r="G35" t="e">
        <f t="shared" si="2"/>
        <v>#REF!</v>
      </c>
      <c r="J35" t="e">
        <f>Reflection!A35</f>
        <v>#REF!</v>
      </c>
      <c r="K35" t="e">
        <f t="shared" si="10"/>
        <v>#REF!</v>
      </c>
      <c r="L35" t="e">
        <f t="shared" ref="L35:L66" si="30">IMPRODUCT(IMPRODUCT(K35,$L$1),2*PI()*J35*0.0000000000088542)</f>
        <v>#REF!</v>
      </c>
      <c r="M35" t="e">
        <f t="shared" si="11"/>
        <v>#REF!</v>
      </c>
      <c r="N35" t="e">
        <f t="shared" si="12"/>
        <v>#REF!</v>
      </c>
      <c r="O35" t="e">
        <f t="shared" si="13"/>
        <v>#REF!</v>
      </c>
      <c r="P35" t="e">
        <f t="shared" si="14"/>
        <v>#REF!</v>
      </c>
      <c r="S35" t="e">
        <f>Reflection!A35</f>
        <v>#REF!</v>
      </c>
      <c r="T35" t="e">
        <f t="shared" si="15"/>
        <v>#REF!</v>
      </c>
      <c r="U35" t="e">
        <f t="shared" si="16"/>
        <v>#REF!</v>
      </c>
      <c r="V35" t="e">
        <f t="shared" si="17"/>
        <v>#REF!</v>
      </c>
      <c r="W35" t="e">
        <f t="shared" si="18"/>
        <v>#REF!</v>
      </c>
      <c r="X35" t="e">
        <f t="shared" si="19"/>
        <v>#REF!</v>
      </c>
      <c r="Y35" t="e">
        <f t="shared" si="20"/>
        <v>#REF!</v>
      </c>
      <c r="AB35" t="e">
        <f>Reflection!A35</f>
        <v>#REF!</v>
      </c>
      <c r="AC35" t="e">
        <f t="shared" si="21"/>
        <v>#REF!</v>
      </c>
      <c r="AD35" t="e">
        <f t="shared" si="22"/>
        <v>#REF!</v>
      </c>
      <c r="AE35" t="e">
        <f t="shared" si="23"/>
        <v>#REF!</v>
      </c>
      <c r="AF35" t="e">
        <f t="shared" si="24"/>
        <v>#REF!</v>
      </c>
      <c r="AG35" t="e">
        <f t="shared" si="25"/>
        <v>#REF!</v>
      </c>
      <c r="AH35" t="e">
        <f t="shared" si="4"/>
        <v>#REF!</v>
      </c>
      <c r="AK35" t="e">
        <f>Reflection!A35</f>
        <v>#REF!</v>
      </c>
      <c r="AL35" t="e">
        <f t="shared" si="26"/>
        <v>#REF!</v>
      </c>
      <c r="AM35" t="e">
        <f t="shared" ref="AM35:AM66" si="31">IMPRODUCT(IMPRODUCT(AL35,$AM$1),2*PI()*AK35*0.000000000008854)</f>
        <v>#REF!</v>
      </c>
      <c r="AN35" t="e">
        <f t="shared" si="27"/>
        <v>#REF!</v>
      </c>
      <c r="AO35" t="e">
        <f t="shared" si="28"/>
        <v>#REF!</v>
      </c>
      <c r="AP35" t="e">
        <f t="shared" si="29"/>
        <v>#REF!</v>
      </c>
      <c r="AQ35" t="e">
        <f t="shared" si="6"/>
        <v>#REF!</v>
      </c>
    </row>
    <row r="36" spans="1:43" x14ac:dyDescent="0.15">
      <c r="A36" t="e">
        <f>Reflection!A36</f>
        <v>#REF!</v>
      </c>
      <c r="B36" t="e">
        <f t="shared" si="0"/>
        <v>#REF!</v>
      </c>
      <c r="C36" t="e">
        <f t="shared" si="1"/>
        <v>#REF!</v>
      </c>
      <c r="D36" t="e">
        <f t="shared" si="7"/>
        <v>#REF!</v>
      </c>
      <c r="E36" t="e">
        <f t="shared" si="8"/>
        <v>#REF!</v>
      </c>
      <c r="F36" t="e">
        <f t="shared" si="9"/>
        <v>#REF!</v>
      </c>
      <c r="G36" t="e">
        <f t="shared" si="2"/>
        <v>#REF!</v>
      </c>
      <c r="J36" t="e">
        <f>Reflection!A36</f>
        <v>#REF!</v>
      </c>
      <c r="K36" t="e">
        <f t="shared" si="10"/>
        <v>#REF!</v>
      </c>
      <c r="L36" t="e">
        <f t="shared" si="30"/>
        <v>#REF!</v>
      </c>
      <c r="M36" t="e">
        <f t="shared" si="11"/>
        <v>#REF!</v>
      </c>
      <c r="N36" t="e">
        <f t="shared" si="12"/>
        <v>#REF!</v>
      </c>
      <c r="O36" t="e">
        <f t="shared" si="13"/>
        <v>#REF!</v>
      </c>
      <c r="P36" t="e">
        <f t="shared" si="14"/>
        <v>#REF!</v>
      </c>
      <c r="S36" t="e">
        <f>Reflection!A36</f>
        <v>#REF!</v>
      </c>
      <c r="T36" t="e">
        <f t="shared" si="15"/>
        <v>#REF!</v>
      </c>
      <c r="U36" t="e">
        <f t="shared" si="16"/>
        <v>#REF!</v>
      </c>
      <c r="V36" t="e">
        <f t="shared" si="17"/>
        <v>#REF!</v>
      </c>
      <c r="W36" t="e">
        <f t="shared" si="18"/>
        <v>#REF!</v>
      </c>
      <c r="X36" t="e">
        <f t="shared" si="19"/>
        <v>#REF!</v>
      </c>
      <c r="Y36" t="e">
        <f t="shared" si="20"/>
        <v>#REF!</v>
      </c>
      <c r="AB36" t="e">
        <f>Reflection!A36</f>
        <v>#REF!</v>
      </c>
      <c r="AC36" t="e">
        <f t="shared" si="21"/>
        <v>#REF!</v>
      </c>
      <c r="AD36" t="e">
        <f t="shared" si="22"/>
        <v>#REF!</v>
      </c>
      <c r="AE36" t="e">
        <f t="shared" si="23"/>
        <v>#REF!</v>
      </c>
      <c r="AF36" t="e">
        <f t="shared" si="24"/>
        <v>#REF!</v>
      </c>
      <c r="AG36" t="e">
        <f t="shared" si="25"/>
        <v>#REF!</v>
      </c>
      <c r="AH36" t="e">
        <f t="shared" si="4"/>
        <v>#REF!</v>
      </c>
      <c r="AK36" t="e">
        <f>Reflection!A36</f>
        <v>#REF!</v>
      </c>
      <c r="AL36" t="e">
        <f t="shared" si="26"/>
        <v>#REF!</v>
      </c>
      <c r="AM36" t="e">
        <f t="shared" si="31"/>
        <v>#REF!</v>
      </c>
      <c r="AN36" t="e">
        <f t="shared" si="27"/>
        <v>#REF!</v>
      </c>
      <c r="AO36" t="e">
        <f t="shared" si="28"/>
        <v>#REF!</v>
      </c>
      <c r="AP36" t="e">
        <f t="shared" si="29"/>
        <v>#REF!</v>
      </c>
      <c r="AQ36" t="e">
        <f t="shared" si="6"/>
        <v>#REF!</v>
      </c>
    </row>
    <row r="37" spans="1:43" x14ac:dyDescent="0.15">
      <c r="A37" t="e">
        <f>Reflection!A37</f>
        <v>#REF!</v>
      </c>
      <c r="B37" t="e">
        <f t="shared" si="0"/>
        <v>#REF!</v>
      </c>
      <c r="C37" t="e">
        <f t="shared" si="1"/>
        <v>#REF!</v>
      </c>
      <c r="D37" t="e">
        <f t="shared" si="7"/>
        <v>#REF!</v>
      </c>
      <c r="E37" t="e">
        <f t="shared" si="8"/>
        <v>#REF!</v>
      </c>
      <c r="F37" t="e">
        <f t="shared" si="9"/>
        <v>#REF!</v>
      </c>
      <c r="G37" t="e">
        <f t="shared" si="2"/>
        <v>#REF!</v>
      </c>
      <c r="J37" t="e">
        <f>Reflection!A37</f>
        <v>#REF!</v>
      </c>
      <c r="K37" t="e">
        <f t="shared" si="10"/>
        <v>#REF!</v>
      </c>
      <c r="L37" t="e">
        <f t="shared" si="30"/>
        <v>#REF!</v>
      </c>
      <c r="M37" t="e">
        <f t="shared" si="11"/>
        <v>#REF!</v>
      </c>
      <c r="N37" t="e">
        <f t="shared" si="12"/>
        <v>#REF!</v>
      </c>
      <c r="O37" t="e">
        <f t="shared" si="13"/>
        <v>#REF!</v>
      </c>
      <c r="P37" t="e">
        <f t="shared" si="14"/>
        <v>#REF!</v>
      </c>
      <c r="S37" t="e">
        <f>Reflection!A37</f>
        <v>#REF!</v>
      </c>
      <c r="T37" t="e">
        <f t="shared" si="15"/>
        <v>#REF!</v>
      </c>
      <c r="U37" t="e">
        <f t="shared" si="16"/>
        <v>#REF!</v>
      </c>
      <c r="V37" t="e">
        <f t="shared" si="17"/>
        <v>#REF!</v>
      </c>
      <c r="W37" t="e">
        <f t="shared" si="18"/>
        <v>#REF!</v>
      </c>
      <c r="X37" t="e">
        <f t="shared" si="19"/>
        <v>#REF!</v>
      </c>
      <c r="Y37" t="e">
        <f t="shared" si="20"/>
        <v>#REF!</v>
      </c>
      <c r="AB37" t="e">
        <f>Reflection!A37</f>
        <v>#REF!</v>
      </c>
      <c r="AC37" t="e">
        <f t="shared" si="21"/>
        <v>#REF!</v>
      </c>
      <c r="AD37" t="e">
        <f t="shared" si="22"/>
        <v>#REF!</v>
      </c>
      <c r="AE37" t="e">
        <f t="shared" si="23"/>
        <v>#REF!</v>
      </c>
      <c r="AF37" t="e">
        <f t="shared" si="24"/>
        <v>#REF!</v>
      </c>
      <c r="AG37" t="e">
        <f t="shared" si="25"/>
        <v>#REF!</v>
      </c>
      <c r="AH37" t="e">
        <f t="shared" si="4"/>
        <v>#REF!</v>
      </c>
      <c r="AK37" t="e">
        <f>Reflection!A37</f>
        <v>#REF!</v>
      </c>
      <c r="AL37" t="e">
        <f t="shared" si="26"/>
        <v>#REF!</v>
      </c>
      <c r="AM37" t="e">
        <f t="shared" si="31"/>
        <v>#REF!</v>
      </c>
      <c r="AN37" t="e">
        <f t="shared" si="27"/>
        <v>#REF!</v>
      </c>
      <c r="AO37" t="e">
        <f t="shared" si="28"/>
        <v>#REF!</v>
      </c>
      <c r="AP37" t="e">
        <f t="shared" si="29"/>
        <v>#REF!</v>
      </c>
      <c r="AQ37" t="e">
        <f t="shared" si="6"/>
        <v>#REF!</v>
      </c>
    </row>
    <row r="38" spans="1:43" x14ac:dyDescent="0.15">
      <c r="A38" t="e">
        <f>Reflection!A38</f>
        <v>#REF!</v>
      </c>
      <c r="B38" t="e">
        <f t="shared" si="0"/>
        <v>#REF!</v>
      </c>
      <c r="C38" t="e">
        <f t="shared" si="1"/>
        <v>#REF!</v>
      </c>
      <c r="D38" t="e">
        <f t="shared" si="7"/>
        <v>#REF!</v>
      </c>
      <c r="E38" t="e">
        <f t="shared" si="8"/>
        <v>#REF!</v>
      </c>
      <c r="F38" t="e">
        <f t="shared" si="9"/>
        <v>#REF!</v>
      </c>
      <c r="G38" t="e">
        <f t="shared" si="2"/>
        <v>#REF!</v>
      </c>
      <c r="J38" t="e">
        <f>Reflection!A38</f>
        <v>#REF!</v>
      </c>
      <c r="K38" t="e">
        <f t="shared" si="10"/>
        <v>#REF!</v>
      </c>
      <c r="L38" t="e">
        <f t="shared" si="30"/>
        <v>#REF!</v>
      </c>
      <c r="M38" t="e">
        <f t="shared" si="11"/>
        <v>#REF!</v>
      </c>
      <c r="N38" t="e">
        <f t="shared" si="12"/>
        <v>#REF!</v>
      </c>
      <c r="O38" t="e">
        <f t="shared" si="13"/>
        <v>#REF!</v>
      </c>
      <c r="P38" t="e">
        <f t="shared" si="14"/>
        <v>#REF!</v>
      </c>
      <c r="S38" t="e">
        <f>Reflection!A38</f>
        <v>#REF!</v>
      </c>
      <c r="T38" t="e">
        <f t="shared" si="15"/>
        <v>#REF!</v>
      </c>
      <c r="U38" t="e">
        <f t="shared" si="16"/>
        <v>#REF!</v>
      </c>
      <c r="V38" t="e">
        <f t="shared" si="17"/>
        <v>#REF!</v>
      </c>
      <c r="W38" t="e">
        <f t="shared" si="18"/>
        <v>#REF!</v>
      </c>
      <c r="X38" t="e">
        <f t="shared" si="19"/>
        <v>#REF!</v>
      </c>
      <c r="Y38" t="e">
        <f t="shared" si="20"/>
        <v>#REF!</v>
      </c>
      <c r="AB38" t="e">
        <f>Reflection!A38</f>
        <v>#REF!</v>
      </c>
      <c r="AC38" t="e">
        <f t="shared" si="21"/>
        <v>#REF!</v>
      </c>
      <c r="AD38" t="e">
        <f t="shared" si="22"/>
        <v>#REF!</v>
      </c>
      <c r="AE38" t="e">
        <f t="shared" si="23"/>
        <v>#REF!</v>
      </c>
      <c r="AF38" t="e">
        <f t="shared" si="24"/>
        <v>#REF!</v>
      </c>
      <c r="AG38" t="e">
        <f t="shared" si="25"/>
        <v>#REF!</v>
      </c>
      <c r="AH38" t="e">
        <f t="shared" si="4"/>
        <v>#REF!</v>
      </c>
      <c r="AK38" t="e">
        <f>Reflection!A38</f>
        <v>#REF!</v>
      </c>
      <c r="AL38" t="e">
        <f t="shared" si="26"/>
        <v>#REF!</v>
      </c>
      <c r="AM38" t="e">
        <f t="shared" si="31"/>
        <v>#REF!</v>
      </c>
      <c r="AN38" t="e">
        <f t="shared" si="27"/>
        <v>#REF!</v>
      </c>
      <c r="AO38" t="e">
        <f t="shared" si="28"/>
        <v>#REF!</v>
      </c>
      <c r="AP38" t="e">
        <f t="shared" si="29"/>
        <v>#REF!</v>
      </c>
      <c r="AQ38" t="e">
        <f t="shared" si="6"/>
        <v>#REF!</v>
      </c>
    </row>
    <row r="39" spans="1:43" x14ac:dyDescent="0.15">
      <c r="A39" t="e">
        <f>Reflection!A39</f>
        <v>#REF!</v>
      </c>
      <c r="B39" t="e">
        <f t="shared" si="0"/>
        <v>#REF!</v>
      </c>
      <c r="C39" t="e">
        <f t="shared" si="1"/>
        <v>#REF!</v>
      </c>
      <c r="D39" t="e">
        <f t="shared" si="7"/>
        <v>#REF!</v>
      </c>
      <c r="E39" t="e">
        <f t="shared" si="8"/>
        <v>#REF!</v>
      </c>
      <c r="F39" t="e">
        <f t="shared" si="9"/>
        <v>#REF!</v>
      </c>
      <c r="G39" t="e">
        <f t="shared" si="2"/>
        <v>#REF!</v>
      </c>
      <c r="J39" t="e">
        <f>Reflection!A39</f>
        <v>#REF!</v>
      </c>
      <c r="K39" t="e">
        <f t="shared" si="10"/>
        <v>#REF!</v>
      </c>
      <c r="L39" t="e">
        <f t="shared" si="30"/>
        <v>#REF!</v>
      </c>
      <c r="M39" t="e">
        <f t="shared" si="11"/>
        <v>#REF!</v>
      </c>
      <c r="N39" t="e">
        <f t="shared" si="12"/>
        <v>#REF!</v>
      </c>
      <c r="O39" t="e">
        <f t="shared" si="13"/>
        <v>#REF!</v>
      </c>
      <c r="P39" t="e">
        <f t="shared" si="14"/>
        <v>#REF!</v>
      </c>
      <c r="S39" t="e">
        <f>Reflection!A39</f>
        <v>#REF!</v>
      </c>
      <c r="T39" t="e">
        <f t="shared" si="15"/>
        <v>#REF!</v>
      </c>
      <c r="U39" t="e">
        <f t="shared" si="16"/>
        <v>#REF!</v>
      </c>
      <c r="V39" t="e">
        <f t="shared" si="17"/>
        <v>#REF!</v>
      </c>
      <c r="W39" t="e">
        <f t="shared" si="18"/>
        <v>#REF!</v>
      </c>
      <c r="X39" t="e">
        <f t="shared" si="19"/>
        <v>#REF!</v>
      </c>
      <c r="Y39" t="e">
        <f t="shared" si="20"/>
        <v>#REF!</v>
      </c>
      <c r="AB39" t="e">
        <f>Reflection!A39</f>
        <v>#REF!</v>
      </c>
      <c r="AC39" t="e">
        <f t="shared" si="21"/>
        <v>#REF!</v>
      </c>
      <c r="AD39" t="e">
        <f t="shared" si="22"/>
        <v>#REF!</v>
      </c>
      <c r="AE39" t="e">
        <f t="shared" si="23"/>
        <v>#REF!</v>
      </c>
      <c r="AF39" t="e">
        <f t="shared" si="24"/>
        <v>#REF!</v>
      </c>
      <c r="AG39" t="e">
        <f t="shared" si="25"/>
        <v>#REF!</v>
      </c>
      <c r="AH39" t="e">
        <f t="shared" si="4"/>
        <v>#REF!</v>
      </c>
      <c r="AK39" t="e">
        <f>Reflection!A39</f>
        <v>#REF!</v>
      </c>
      <c r="AL39" t="e">
        <f t="shared" si="26"/>
        <v>#REF!</v>
      </c>
      <c r="AM39" t="e">
        <f t="shared" si="31"/>
        <v>#REF!</v>
      </c>
      <c r="AN39" t="e">
        <f t="shared" si="27"/>
        <v>#REF!</v>
      </c>
      <c r="AO39" t="e">
        <f t="shared" si="28"/>
        <v>#REF!</v>
      </c>
      <c r="AP39" t="e">
        <f t="shared" si="29"/>
        <v>#REF!</v>
      </c>
      <c r="AQ39" t="e">
        <f t="shared" si="6"/>
        <v>#REF!</v>
      </c>
    </row>
    <row r="40" spans="1:43" x14ac:dyDescent="0.15">
      <c r="A40" t="e">
        <f>Reflection!A40</f>
        <v>#REF!</v>
      </c>
      <c r="B40" t="e">
        <f t="shared" si="0"/>
        <v>#REF!</v>
      </c>
      <c r="C40" t="e">
        <f t="shared" si="1"/>
        <v>#REF!</v>
      </c>
      <c r="D40" t="e">
        <f t="shared" si="7"/>
        <v>#REF!</v>
      </c>
      <c r="E40" t="e">
        <f t="shared" si="8"/>
        <v>#REF!</v>
      </c>
      <c r="F40" t="e">
        <f t="shared" si="9"/>
        <v>#REF!</v>
      </c>
      <c r="G40" t="e">
        <f t="shared" si="2"/>
        <v>#REF!</v>
      </c>
      <c r="J40" t="e">
        <f>Reflection!A40</f>
        <v>#REF!</v>
      </c>
      <c r="K40" t="e">
        <f t="shared" si="10"/>
        <v>#REF!</v>
      </c>
      <c r="L40" t="e">
        <f t="shared" si="30"/>
        <v>#REF!</v>
      </c>
      <c r="M40" t="e">
        <f t="shared" si="11"/>
        <v>#REF!</v>
      </c>
      <c r="N40" t="e">
        <f t="shared" si="12"/>
        <v>#REF!</v>
      </c>
      <c r="O40" t="e">
        <f t="shared" si="13"/>
        <v>#REF!</v>
      </c>
      <c r="P40" t="e">
        <f t="shared" si="14"/>
        <v>#REF!</v>
      </c>
      <c r="S40" t="e">
        <f>Reflection!A40</f>
        <v>#REF!</v>
      </c>
      <c r="T40" t="e">
        <f t="shared" si="15"/>
        <v>#REF!</v>
      </c>
      <c r="U40" t="e">
        <f t="shared" si="16"/>
        <v>#REF!</v>
      </c>
      <c r="V40" t="e">
        <f t="shared" si="17"/>
        <v>#REF!</v>
      </c>
      <c r="W40" t="e">
        <f t="shared" si="18"/>
        <v>#REF!</v>
      </c>
      <c r="X40" t="e">
        <f t="shared" si="19"/>
        <v>#REF!</v>
      </c>
      <c r="Y40" t="e">
        <f t="shared" si="20"/>
        <v>#REF!</v>
      </c>
      <c r="AB40" t="e">
        <f>Reflection!A40</f>
        <v>#REF!</v>
      </c>
      <c r="AC40" t="e">
        <f t="shared" si="21"/>
        <v>#REF!</v>
      </c>
      <c r="AD40" t="e">
        <f t="shared" si="22"/>
        <v>#REF!</v>
      </c>
      <c r="AE40" t="e">
        <f t="shared" si="23"/>
        <v>#REF!</v>
      </c>
      <c r="AF40" t="e">
        <f t="shared" si="24"/>
        <v>#REF!</v>
      </c>
      <c r="AG40" t="e">
        <f t="shared" si="25"/>
        <v>#REF!</v>
      </c>
      <c r="AH40" t="e">
        <f t="shared" si="4"/>
        <v>#REF!</v>
      </c>
      <c r="AK40" t="e">
        <f>Reflection!A40</f>
        <v>#REF!</v>
      </c>
      <c r="AL40" t="e">
        <f t="shared" si="26"/>
        <v>#REF!</v>
      </c>
      <c r="AM40" t="e">
        <f t="shared" si="31"/>
        <v>#REF!</v>
      </c>
      <c r="AN40" t="e">
        <f t="shared" si="27"/>
        <v>#REF!</v>
      </c>
      <c r="AO40" t="e">
        <f t="shared" si="28"/>
        <v>#REF!</v>
      </c>
      <c r="AP40" t="e">
        <f t="shared" si="29"/>
        <v>#REF!</v>
      </c>
      <c r="AQ40" t="e">
        <f t="shared" si="6"/>
        <v>#REF!</v>
      </c>
    </row>
    <row r="41" spans="1:43" x14ac:dyDescent="0.15">
      <c r="A41" t="e">
        <f>Reflection!A41</f>
        <v>#REF!</v>
      </c>
      <c r="B41" t="e">
        <f t="shared" si="0"/>
        <v>#REF!</v>
      </c>
      <c r="C41" t="e">
        <f t="shared" si="1"/>
        <v>#REF!</v>
      </c>
      <c r="D41" t="e">
        <f t="shared" si="7"/>
        <v>#REF!</v>
      </c>
      <c r="E41" t="e">
        <f t="shared" si="8"/>
        <v>#REF!</v>
      </c>
      <c r="F41" t="e">
        <f t="shared" si="9"/>
        <v>#REF!</v>
      </c>
      <c r="G41" t="e">
        <f t="shared" si="2"/>
        <v>#REF!</v>
      </c>
      <c r="J41" t="e">
        <f>Reflection!A41</f>
        <v>#REF!</v>
      </c>
      <c r="K41" t="e">
        <f t="shared" si="10"/>
        <v>#REF!</v>
      </c>
      <c r="L41" t="e">
        <f t="shared" si="30"/>
        <v>#REF!</v>
      </c>
      <c r="M41" t="e">
        <f t="shared" si="11"/>
        <v>#REF!</v>
      </c>
      <c r="N41" t="e">
        <f t="shared" si="12"/>
        <v>#REF!</v>
      </c>
      <c r="O41" t="e">
        <f t="shared" si="13"/>
        <v>#REF!</v>
      </c>
      <c r="P41" t="e">
        <f t="shared" si="14"/>
        <v>#REF!</v>
      </c>
      <c r="S41" t="e">
        <f>Reflection!A41</f>
        <v>#REF!</v>
      </c>
      <c r="T41" t="e">
        <f t="shared" si="15"/>
        <v>#REF!</v>
      </c>
      <c r="U41" t="e">
        <f t="shared" si="16"/>
        <v>#REF!</v>
      </c>
      <c r="V41" t="e">
        <f t="shared" si="17"/>
        <v>#REF!</v>
      </c>
      <c r="W41" t="e">
        <f t="shared" si="18"/>
        <v>#REF!</v>
      </c>
      <c r="X41" t="e">
        <f t="shared" si="19"/>
        <v>#REF!</v>
      </c>
      <c r="Y41" t="e">
        <f t="shared" si="20"/>
        <v>#REF!</v>
      </c>
      <c r="AB41" t="e">
        <f>Reflection!A41</f>
        <v>#REF!</v>
      </c>
      <c r="AC41" t="e">
        <f t="shared" si="21"/>
        <v>#REF!</v>
      </c>
      <c r="AD41" t="e">
        <f t="shared" si="22"/>
        <v>#REF!</v>
      </c>
      <c r="AE41" t="e">
        <f t="shared" si="23"/>
        <v>#REF!</v>
      </c>
      <c r="AF41" t="e">
        <f t="shared" si="24"/>
        <v>#REF!</v>
      </c>
      <c r="AG41" t="e">
        <f t="shared" si="25"/>
        <v>#REF!</v>
      </c>
      <c r="AH41" t="e">
        <f t="shared" si="4"/>
        <v>#REF!</v>
      </c>
      <c r="AK41" t="e">
        <f>Reflection!A41</f>
        <v>#REF!</v>
      </c>
      <c r="AL41" t="e">
        <f t="shared" si="26"/>
        <v>#REF!</v>
      </c>
      <c r="AM41" t="e">
        <f t="shared" si="31"/>
        <v>#REF!</v>
      </c>
      <c r="AN41" t="e">
        <f t="shared" si="27"/>
        <v>#REF!</v>
      </c>
      <c r="AO41" t="e">
        <f t="shared" si="28"/>
        <v>#REF!</v>
      </c>
      <c r="AP41" t="e">
        <f t="shared" si="29"/>
        <v>#REF!</v>
      </c>
      <c r="AQ41" t="e">
        <f t="shared" si="6"/>
        <v>#REF!</v>
      </c>
    </row>
    <row r="42" spans="1:43" x14ac:dyDescent="0.15">
      <c r="A42" t="e">
        <f>Reflection!A42</f>
        <v>#REF!</v>
      </c>
      <c r="B42" t="e">
        <f t="shared" si="0"/>
        <v>#REF!</v>
      </c>
      <c r="C42" t="e">
        <f t="shared" si="1"/>
        <v>#REF!</v>
      </c>
      <c r="D42" t="e">
        <f t="shared" si="7"/>
        <v>#REF!</v>
      </c>
      <c r="E42" t="e">
        <f t="shared" si="8"/>
        <v>#REF!</v>
      </c>
      <c r="F42" t="e">
        <f t="shared" si="9"/>
        <v>#REF!</v>
      </c>
      <c r="G42" t="e">
        <f t="shared" si="2"/>
        <v>#REF!</v>
      </c>
      <c r="J42" t="e">
        <f>Reflection!A42</f>
        <v>#REF!</v>
      </c>
      <c r="K42" t="e">
        <f t="shared" si="10"/>
        <v>#REF!</v>
      </c>
      <c r="L42" t="e">
        <f t="shared" si="30"/>
        <v>#REF!</v>
      </c>
      <c r="M42" t="e">
        <f t="shared" si="11"/>
        <v>#REF!</v>
      </c>
      <c r="N42" t="e">
        <f t="shared" si="12"/>
        <v>#REF!</v>
      </c>
      <c r="O42" t="e">
        <f t="shared" si="13"/>
        <v>#REF!</v>
      </c>
      <c r="P42" t="e">
        <f t="shared" si="14"/>
        <v>#REF!</v>
      </c>
      <c r="S42" t="e">
        <f>Reflection!A42</f>
        <v>#REF!</v>
      </c>
      <c r="T42" t="e">
        <f t="shared" si="15"/>
        <v>#REF!</v>
      </c>
      <c r="U42" t="e">
        <f t="shared" si="16"/>
        <v>#REF!</v>
      </c>
      <c r="V42" t="e">
        <f t="shared" si="17"/>
        <v>#REF!</v>
      </c>
      <c r="W42" t="e">
        <f t="shared" si="18"/>
        <v>#REF!</v>
      </c>
      <c r="X42" t="e">
        <f t="shared" si="19"/>
        <v>#REF!</v>
      </c>
      <c r="Y42" t="e">
        <f t="shared" si="20"/>
        <v>#REF!</v>
      </c>
      <c r="AB42" t="e">
        <f>Reflection!A42</f>
        <v>#REF!</v>
      </c>
      <c r="AC42" t="e">
        <f t="shared" si="21"/>
        <v>#REF!</v>
      </c>
      <c r="AD42" t="e">
        <f t="shared" si="22"/>
        <v>#REF!</v>
      </c>
      <c r="AE42" t="e">
        <f t="shared" si="23"/>
        <v>#REF!</v>
      </c>
      <c r="AF42" t="e">
        <f t="shared" si="24"/>
        <v>#REF!</v>
      </c>
      <c r="AG42" t="e">
        <f t="shared" si="25"/>
        <v>#REF!</v>
      </c>
      <c r="AH42" t="e">
        <f t="shared" si="4"/>
        <v>#REF!</v>
      </c>
      <c r="AK42" t="e">
        <f>Reflection!A42</f>
        <v>#REF!</v>
      </c>
      <c r="AL42" t="e">
        <f t="shared" si="26"/>
        <v>#REF!</v>
      </c>
      <c r="AM42" t="e">
        <f t="shared" si="31"/>
        <v>#REF!</v>
      </c>
      <c r="AN42" t="e">
        <f t="shared" si="27"/>
        <v>#REF!</v>
      </c>
      <c r="AO42" t="e">
        <f t="shared" si="28"/>
        <v>#REF!</v>
      </c>
      <c r="AP42" t="e">
        <f t="shared" si="29"/>
        <v>#REF!</v>
      </c>
      <c r="AQ42" t="e">
        <f t="shared" si="6"/>
        <v>#REF!</v>
      </c>
    </row>
    <row r="43" spans="1:43" x14ac:dyDescent="0.15">
      <c r="A43" t="e">
        <f>Reflection!A43</f>
        <v>#REF!</v>
      </c>
      <c r="B43" t="e">
        <f t="shared" si="0"/>
        <v>#REF!</v>
      </c>
      <c r="C43" t="e">
        <f t="shared" si="1"/>
        <v>#REF!</v>
      </c>
      <c r="D43" t="e">
        <f t="shared" si="7"/>
        <v>#REF!</v>
      </c>
      <c r="E43" t="e">
        <f t="shared" si="8"/>
        <v>#REF!</v>
      </c>
      <c r="F43" t="e">
        <f t="shared" si="9"/>
        <v>#REF!</v>
      </c>
      <c r="G43" t="e">
        <f t="shared" si="2"/>
        <v>#REF!</v>
      </c>
      <c r="J43" t="e">
        <f>Reflection!A43</f>
        <v>#REF!</v>
      </c>
      <c r="K43" t="e">
        <f t="shared" si="10"/>
        <v>#REF!</v>
      </c>
      <c r="L43" t="e">
        <f t="shared" si="30"/>
        <v>#REF!</v>
      </c>
      <c r="M43" t="e">
        <f t="shared" si="11"/>
        <v>#REF!</v>
      </c>
      <c r="N43" t="e">
        <f t="shared" si="12"/>
        <v>#REF!</v>
      </c>
      <c r="O43" t="e">
        <f t="shared" si="13"/>
        <v>#REF!</v>
      </c>
      <c r="P43" t="e">
        <f t="shared" si="14"/>
        <v>#REF!</v>
      </c>
      <c r="S43" t="e">
        <f>Reflection!A43</f>
        <v>#REF!</v>
      </c>
      <c r="T43" t="e">
        <f t="shared" si="15"/>
        <v>#REF!</v>
      </c>
      <c r="U43" t="e">
        <f t="shared" si="16"/>
        <v>#REF!</v>
      </c>
      <c r="V43" t="e">
        <f t="shared" si="17"/>
        <v>#REF!</v>
      </c>
      <c r="W43" t="e">
        <f t="shared" si="18"/>
        <v>#REF!</v>
      </c>
      <c r="X43" t="e">
        <f t="shared" si="19"/>
        <v>#REF!</v>
      </c>
      <c r="Y43" t="e">
        <f t="shared" si="20"/>
        <v>#REF!</v>
      </c>
      <c r="AB43" t="e">
        <f>Reflection!A43</f>
        <v>#REF!</v>
      </c>
      <c r="AC43" t="e">
        <f t="shared" si="21"/>
        <v>#REF!</v>
      </c>
      <c r="AD43" t="e">
        <f t="shared" si="22"/>
        <v>#REF!</v>
      </c>
      <c r="AE43" t="e">
        <f t="shared" si="23"/>
        <v>#REF!</v>
      </c>
      <c r="AF43" t="e">
        <f t="shared" si="24"/>
        <v>#REF!</v>
      </c>
      <c r="AG43" t="e">
        <f t="shared" si="25"/>
        <v>#REF!</v>
      </c>
      <c r="AH43" t="e">
        <f t="shared" si="4"/>
        <v>#REF!</v>
      </c>
      <c r="AK43" t="e">
        <f>Reflection!A43</f>
        <v>#REF!</v>
      </c>
      <c r="AL43" t="e">
        <f t="shared" si="26"/>
        <v>#REF!</v>
      </c>
      <c r="AM43" t="e">
        <f t="shared" si="31"/>
        <v>#REF!</v>
      </c>
      <c r="AN43" t="e">
        <f t="shared" si="27"/>
        <v>#REF!</v>
      </c>
      <c r="AO43" t="e">
        <f t="shared" si="28"/>
        <v>#REF!</v>
      </c>
      <c r="AP43" t="e">
        <f t="shared" si="29"/>
        <v>#REF!</v>
      </c>
      <c r="AQ43" t="e">
        <f t="shared" si="6"/>
        <v>#REF!</v>
      </c>
    </row>
    <row r="44" spans="1:43" x14ac:dyDescent="0.15">
      <c r="A44" t="e">
        <f>Reflection!A44</f>
        <v>#REF!</v>
      </c>
      <c r="B44" t="e">
        <f t="shared" si="0"/>
        <v>#REF!</v>
      </c>
      <c r="C44" t="e">
        <f t="shared" si="1"/>
        <v>#REF!</v>
      </c>
      <c r="D44" t="e">
        <f t="shared" si="7"/>
        <v>#REF!</v>
      </c>
      <c r="E44" t="e">
        <f t="shared" si="8"/>
        <v>#REF!</v>
      </c>
      <c r="F44" t="e">
        <f t="shared" si="9"/>
        <v>#REF!</v>
      </c>
      <c r="G44" t="e">
        <f t="shared" si="2"/>
        <v>#REF!</v>
      </c>
      <c r="J44" t="e">
        <f>Reflection!A44</f>
        <v>#REF!</v>
      </c>
      <c r="K44" t="e">
        <f t="shared" si="10"/>
        <v>#REF!</v>
      </c>
      <c r="L44" t="e">
        <f t="shared" si="30"/>
        <v>#REF!</v>
      </c>
      <c r="M44" t="e">
        <f t="shared" si="11"/>
        <v>#REF!</v>
      </c>
      <c r="N44" t="e">
        <f t="shared" si="12"/>
        <v>#REF!</v>
      </c>
      <c r="O44" t="e">
        <f t="shared" si="13"/>
        <v>#REF!</v>
      </c>
      <c r="P44" t="e">
        <f t="shared" si="14"/>
        <v>#REF!</v>
      </c>
      <c r="S44" t="e">
        <f>Reflection!A44</f>
        <v>#REF!</v>
      </c>
      <c r="T44" t="e">
        <f t="shared" si="15"/>
        <v>#REF!</v>
      </c>
      <c r="U44" t="e">
        <f t="shared" si="16"/>
        <v>#REF!</v>
      </c>
      <c r="V44" t="e">
        <f t="shared" si="17"/>
        <v>#REF!</v>
      </c>
      <c r="W44" t="e">
        <f t="shared" si="18"/>
        <v>#REF!</v>
      </c>
      <c r="X44" t="e">
        <f t="shared" si="19"/>
        <v>#REF!</v>
      </c>
      <c r="Y44" t="e">
        <f t="shared" si="20"/>
        <v>#REF!</v>
      </c>
      <c r="AB44" t="e">
        <f>Reflection!A44</f>
        <v>#REF!</v>
      </c>
      <c r="AC44" t="e">
        <f t="shared" si="21"/>
        <v>#REF!</v>
      </c>
      <c r="AD44" t="e">
        <f t="shared" si="22"/>
        <v>#REF!</v>
      </c>
      <c r="AE44" t="e">
        <f t="shared" si="23"/>
        <v>#REF!</v>
      </c>
      <c r="AF44" t="e">
        <f t="shared" si="24"/>
        <v>#REF!</v>
      </c>
      <c r="AG44" t="e">
        <f t="shared" si="25"/>
        <v>#REF!</v>
      </c>
      <c r="AH44" t="e">
        <f t="shared" si="4"/>
        <v>#REF!</v>
      </c>
      <c r="AK44" t="e">
        <f>Reflection!A44</f>
        <v>#REF!</v>
      </c>
      <c r="AL44" t="e">
        <f t="shared" si="26"/>
        <v>#REF!</v>
      </c>
      <c r="AM44" t="e">
        <f t="shared" si="31"/>
        <v>#REF!</v>
      </c>
      <c r="AN44" t="e">
        <f t="shared" si="27"/>
        <v>#REF!</v>
      </c>
      <c r="AO44" t="e">
        <f t="shared" si="28"/>
        <v>#REF!</v>
      </c>
      <c r="AP44" t="e">
        <f t="shared" si="29"/>
        <v>#REF!</v>
      </c>
      <c r="AQ44" t="e">
        <f t="shared" si="6"/>
        <v>#REF!</v>
      </c>
    </row>
    <row r="45" spans="1:43" x14ac:dyDescent="0.15">
      <c r="A45" t="e">
        <f>Reflection!A45</f>
        <v>#REF!</v>
      </c>
      <c r="B45" t="e">
        <f t="shared" si="0"/>
        <v>#REF!</v>
      </c>
      <c r="C45" t="e">
        <f t="shared" si="1"/>
        <v>#REF!</v>
      </c>
      <c r="D45" t="e">
        <f t="shared" si="7"/>
        <v>#REF!</v>
      </c>
      <c r="E45" t="e">
        <f t="shared" si="8"/>
        <v>#REF!</v>
      </c>
      <c r="F45" t="e">
        <f t="shared" si="9"/>
        <v>#REF!</v>
      </c>
      <c r="G45" t="e">
        <f t="shared" si="2"/>
        <v>#REF!</v>
      </c>
      <c r="J45" t="e">
        <f>Reflection!A45</f>
        <v>#REF!</v>
      </c>
      <c r="K45" t="e">
        <f t="shared" si="10"/>
        <v>#REF!</v>
      </c>
      <c r="L45" t="e">
        <f t="shared" si="30"/>
        <v>#REF!</v>
      </c>
      <c r="M45" t="e">
        <f t="shared" si="11"/>
        <v>#REF!</v>
      </c>
      <c r="N45" t="e">
        <f t="shared" si="12"/>
        <v>#REF!</v>
      </c>
      <c r="O45" t="e">
        <f t="shared" si="13"/>
        <v>#REF!</v>
      </c>
      <c r="P45" t="e">
        <f t="shared" si="14"/>
        <v>#REF!</v>
      </c>
      <c r="S45" t="e">
        <f>Reflection!A45</f>
        <v>#REF!</v>
      </c>
      <c r="T45" t="e">
        <f t="shared" si="15"/>
        <v>#REF!</v>
      </c>
      <c r="U45" t="e">
        <f t="shared" si="16"/>
        <v>#REF!</v>
      </c>
      <c r="V45" t="e">
        <f t="shared" si="17"/>
        <v>#REF!</v>
      </c>
      <c r="W45" t="e">
        <f t="shared" si="18"/>
        <v>#REF!</v>
      </c>
      <c r="X45" t="e">
        <f t="shared" si="19"/>
        <v>#REF!</v>
      </c>
      <c r="Y45" t="e">
        <f t="shared" si="20"/>
        <v>#REF!</v>
      </c>
      <c r="AB45" t="e">
        <f>Reflection!A45</f>
        <v>#REF!</v>
      </c>
      <c r="AC45" t="e">
        <f t="shared" si="21"/>
        <v>#REF!</v>
      </c>
      <c r="AD45" t="e">
        <f t="shared" si="22"/>
        <v>#REF!</v>
      </c>
      <c r="AE45" t="e">
        <f t="shared" si="23"/>
        <v>#REF!</v>
      </c>
      <c r="AF45" t="e">
        <f t="shared" si="24"/>
        <v>#REF!</v>
      </c>
      <c r="AG45" t="e">
        <f t="shared" si="25"/>
        <v>#REF!</v>
      </c>
      <c r="AH45" t="e">
        <f t="shared" si="4"/>
        <v>#REF!</v>
      </c>
      <c r="AK45" t="e">
        <f>Reflection!A45</f>
        <v>#REF!</v>
      </c>
      <c r="AL45" t="e">
        <f t="shared" si="26"/>
        <v>#REF!</v>
      </c>
      <c r="AM45" t="e">
        <f t="shared" si="31"/>
        <v>#REF!</v>
      </c>
      <c r="AN45" t="e">
        <f t="shared" si="27"/>
        <v>#REF!</v>
      </c>
      <c r="AO45" t="e">
        <f t="shared" si="28"/>
        <v>#REF!</v>
      </c>
      <c r="AP45" t="e">
        <f t="shared" si="29"/>
        <v>#REF!</v>
      </c>
      <c r="AQ45" t="e">
        <f t="shared" si="6"/>
        <v>#REF!</v>
      </c>
    </row>
    <row r="46" spans="1:43" x14ac:dyDescent="0.15">
      <c r="A46" t="e">
        <f>Reflection!A46</f>
        <v>#REF!</v>
      </c>
      <c r="B46" t="e">
        <f t="shared" si="0"/>
        <v>#REF!</v>
      </c>
      <c r="C46" t="e">
        <f t="shared" si="1"/>
        <v>#REF!</v>
      </c>
      <c r="D46" t="e">
        <f t="shared" si="7"/>
        <v>#REF!</v>
      </c>
      <c r="E46" t="e">
        <f t="shared" si="8"/>
        <v>#REF!</v>
      </c>
      <c r="F46" t="e">
        <f t="shared" si="9"/>
        <v>#REF!</v>
      </c>
      <c r="G46" t="e">
        <f t="shared" si="2"/>
        <v>#REF!</v>
      </c>
      <c r="J46" t="e">
        <f>Reflection!A46</f>
        <v>#REF!</v>
      </c>
      <c r="K46" t="e">
        <f t="shared" si="10"/>
        <v>#REF!</v>
      </c>
      <c r="L46" t="e">
        <f t="shared" si="30"/>
        <v>#REF!</v>
      </c>
      <c r="M46" t="e">
        <f t="shared" si="11"/>
        <v>#REF!</v>
      </c>
      <c r="N46" t="e">
        <f t="shared" si="12"/>
        <v>#REF!</v>
      </c>
      <c r="O46" t="e">
        <f t="shared" si="13"/>
        <v>#REF!</v>
      </c>
      <c r="P46" t="e">
        <f t="shared" si="14"/>
        <v>#REF!</v>
      </c>
      <c r="S46" t="e">
        <f>Reflection!A46</f>
        <v>#REF!</v>
      </c>
      <c r="T46" t="e">
        <f t="shared" si="15"/>
        <v>#REF!</v>
      </c>
      <c r="U46" t="e">
        <f t="shared" si="16"/>
        <v>#REF!</v>
      </c>
      <c r="V46" t="e">
        <f t="shared" si="17"/>
        <v>#REF!</v>
      </c>
      <c r="W46" t="e">
        <f t="shared" si="18"/>
        <v>#REF!</v>
      </c>
      <c r="X46" t="e">
        <f t="shared" si="19"/>
        <v>#REF!</v>
      </c>
      <c r="Y46" t="e">
        <f t="shared" si="20"/>
        <v>#REF!</v>
      </c>
      <c r="AB46" t="e">
        <f>Reflection!A46</f>
        <v>#REF!</v>
      </c>
      <c r="AC46" t="e">
        <f t="shared" si="21"/>
        <v>#REF!</v>
      </c>
      <c r="AD46" t="e">
        <f t="shared" si="22"/>
        <v>#REF!</v>
      </c>
      <c r="AE46" t="e">
        <f t="shared" si="23"/>
        <v>#REF!</v>
      </c>
      <c r="AF46" t="e">
        <f t="shared" si="24"/>
        <v>#REF!</v>
      </c>
      <c r="AG46" t="e">
        <f t="shared" si="25"/>
        <v>#REF!</v>
      </c>
      <c r="AH46" t="e">
        <f t="shared" si="4"/>
        <v>#REF!</v>
      </c>
      <c r="AK46" t="e">
        <f>Reflection!A46</f>
        <v>#REF!</v>
      </c>
      <c r="AL46" t="e">
        <f t="shared" si="26"/>
        <v>#REF!</v>
      </c>
      <c r="AM46" t="e">
        <f t="shared" si="31"/>
        <v>#REF!</v>
      </c>
      <c r="AN46" t="e">
        <f t="shared" si="27"/>
        <v>#REF!</v>
      </c>
      <c r="AO46" t="e">
        <f t="shared" si="28"/>
        <v>#REF!</v>
      </c>
      <c r="AP46" t="e">
        <f t="shared" si="29"/>
        <v>#REF!</v>
      </c>
      <c r="AQ46" t="e">
        <f t="shared" si="6"/>
        <v>#REF!</v>
      </c>
    </row>
    <row r="47" spans="1:43" x14ac:dyDescent="0.15">
      <c r="A47" t="e">
        <f>Reflection!A47</f>
        <v>#REF!</v>
      </c>
      <c r="B47" t="e">
        <f t="shared" si="0"/>
        <v>#REF!</v>
      </c>
      <c r="C47" t="e">
        <f t="shared" si="1"/>
        <v>#REF!</v>
      </c>
      <c r="D47" t="e">
        <f t="shared" si="7"/>
        <v>#REF!</v>
      </c>
      <c r="E47" t="e">
        <f t="shared" si="8"/>
        <v>#REF!</v>
      </c>
      <c r="F47" t="e">
        <f t="shared" si="9"/>
        <v>#REF!</v>
      </c>
      <c r="G47" t="e">
        <f t="shared" si="2"/>
        <v>#REF!</v>
      </c>
      <c r="J47" t="e">
        <f>Reflection!A47</f>
        <v>#REF!</v>
      </c>
      <c r="K47" t="e">
        <f t="shared" si="10"/>
        <v>#REF!</v>
      </c>
      <c r="L47" t="e">
        <f t="shared" si="30"/>
        <v>#REF!</v>
      </c>
      <c r="M47" t="e">
        <f t="shared" si="11"/>
        <v>#REF!</v>
      </c>
      <c r="N47" t="e">
        <f t="shared" si="12"/>
        <v>#REF!</v>
      </c>
      <c r="O47" t="e">
        <f t="shared" si="13"/>
        <v>#REF!</v>
      </c>
      <c r="P47" t="e">
        <f t="shared" si="14"/>
        <v>#REF!</v>
      </c>
      <c r="S47" t="e">
        <f>Reflection!A47</f>
        <v>#REF!</v>
      </c>
      <c r="T47" t="e">
        <f t="shared" si="15"/>
        <v>#REF!</v>
      </c>
      <c r="U47" t="e">
        <f t="shared" si="16"/>
        <v>#REF!</v>
      </c>
      <c r="V47" t="e">
        <f t="shared" si="17"/>
        <v>#REF!</v>
      </c>
      <c r="W47" t="e">
        <f t="shared" si="18"/>
        <v>#REF!</v>
      </c>
      <c r="X47" t="e">
        <f t="shared" si="19"/>
        <v>#REF!</v>
      </c>
      <c r="Y47" t="e">
        <f t="shared" si="20"/>
        <v>#REF!</v>
      </c>
      <c r="AB47" t="e">
        <f>Reflection!A47</f>
        <v>#REF!</v>
      </c>
      <c r="AC47" t="e">
        <f t="shared" si="21"/>
        <v>#REF!</v>
      </c>
      <c r="AD47" t="e">
        <f t="shared" si="22"/>
        <v>#REF!</v>
      </c>
      <c r="AE47" t="e">
        <f t="shared" si="23"/>
        <v>#REF!</v>
      </c>
      <c r="AF47" t="e">
        <f t="shared" si="24"/>
        <v>#REF!</v>
      </c>
      <c r="AG47" t="e">
        <f t="shared" si="25"/>
        <v>#REF!</v>
      </c>
      <c r="AH47" t="e">
        <f t="shared" si="4"/>
        <v>#REF!</v>
      </c>
      <c r="AK47" t="e">
        <f>Reflection!A47</f>
        <v>#REF!</v>
      </c>
      <c r="AL47" t="e">
        <f t="shared" si="26"/>
        <v>#REF!</v>
      </c>
      <c r="AM47" t="e">
        <f t="shared" si="31"/>
        <v>#REF!</v>
      </c>
      <c r="AN47" t="e">
        <f t="shared" si="27"/>
        <v>#REF!</v>
      </c>
      <c r="AO47" t="e">
        <f t="shared" si="28"/>
        <v>#REF!</v>
      </c>
      <c r="AP47" t="e">
        <f t="shared" si="29"/>
        <v>#REF!</v>
      </c>
      <c r="AQ47" t="e">
        <f t="shared" si="6"/>
        <v>#REF!</v>
      </c>
    </row>
    <row r="48" spans="1:43" x14ac:dyDescent="0.15">
      <c r="A48" t="e">
        <f>Reflection!A48</f>
        <v>#REF!</v>
      </c>
      <c r="B48" t="e">
        <f t="shared" si="0"/>
        <v>#REF!</v>
      </c>
      <c r="C48" t="e">
        <f t="shared" si="1"/>
        <v>#REF!</v>
      </c>
      <c r="D48" t="e">
        <f t="shared" si="7"/>
        <v>#REF!</v>
      </c>
      <c r="E48" t="e">
        <f t="shared" si="8"/>
        <v>#REF!</v>
      </c>
      <c r="F48" t="e">
        <f t="shared" si="9"/>
        <v>#REF!</v>
      </c>
      <c r="G48" t="e">
        <f t="shared" si="2"/>
        <v>#REF!</v>
      </c>
      <c r="J48" t="e">
        <f>Reflection!A48</f>
        <v>#REF!</v>
      </c>
      <c r="K48" t="e">
        <f t="shared" si="10"/>
        <v>#REF!</v>
      </c>
      <c r="L48" t="e">
        <f t="shared" si="30"/>
        <v>#REF!</v>
      </c>
      <c r="M48" t="e">
        <f t="shared" si="11"/>
        <v>#REF!</v>
      </c>
      <c r="N48" t="e">
        <f t="shared" si="12"/>
        <v>#REF!</v>
      </c>
      <c r="O48" t="e">
        <f t="shared" si="13"/>
        <v>#REF!</v>
      </c>
      <c r="P48" t="e">
        <f t="shared" si="14"/>
        <v>#REF!</v>
      </c>
      <c r="S48" t="e">
        <f>Reflection!A48</f>
        <v>#REF!</v>
      </c>
      <c r="T48" t="e">
        <f t="shared" si="15"/>
        <v>#REF!</v>
      </c>
      <c r="U48" t="e">
        <f t="shared" si="16"/>
        <v>#REF!</v>
      </c>
      <c r="V48" t="e">
        <f t="shared" si="17"/>
        <v>#REF!</v>
      </c>
      <c r="W48" t="e">
        <f t="shared" si="18"/>
        <v>#REF!</v>
      </c>
      <c r="X48" t="e">
        <f t="shared" si="19"/>
        <v>#REF!</v>
      </c>
      <c r="Y48" t="e">
        <f t="shared" si="20"/>
        <v>#REF!</v>
      </c>
      <c r="AB48" t="e">
        <f>Reflection!A48</f>
        <v>#REF!</v>
      </c>
      <c r="AC48" t="e">
        <f t="shared" si="21"/>
        <v>#REF!</v>
      </c>
      <c r="AD48" t="e">
        <f t="shared" si="22"/>
        <v>#REF!</v>
      </c>
      <c r="AE48" t="e">
        <f t="shared" si="23"/>
        <v>#REF!</v>
      </c>
      <c r="AF48" t="e">
        <f t="shared" si="24"/>
        <v>#REF!</v>
      </c>
      <c r="AG48" t="e">
        <f t="shared" si="25"/>
        <v>#REF!</v>
      </c>
      <c r="AH48" t="e">
        <f t="shared" si="4"/>
        <v>#REF!</v>
      </c>
      <c r="AK48" t="e">
        <f>Reflection!A48</f>
        <v>#REF!</v>
      </c>
      <c r="AL48" t="e">
        <f t="shared" si="26"/>
        <v>#REF!</v>
      </c>
      <c r="AM48" t="e">
        <f t="shared" si="31"/>
        <v>#REF!</v>
      </c>
      <c r="AN48" t="e">
        <f t="shared" si="27"/>
        <v>#REF!</v>
      </c>
      <c r="AO48" t="e">
        <f t="shared" si="28"/>
        <v>#REF!</v>
      </c>
      <c r="AP48" t="e">
        <f t="shared" si="29"/>
        <v>#REF!</v>
      </c>
      <c r="AQ48" t="e">
        <f t="shared" si="6"/>
        <v>#REF!</v>
      </c>
    </row>
    <row r="49" spans="1:43" x14ac:dyDescent="0.15">
      <c r="A49" t="e">
        <f>Reflection!A49</f>
        <v>#REF!</v>
      </c>
      <c r="B49" t="e">
        <f t="shared" si="0"/>
        <v>#REF!</v>
      </c>
      <c r="C49" t="e">
        <f t="shared" si="1"/>
        <v>#REF!</v>
      </c>
      <c r="D49" t="e">
        <f t="shared" si="7"/>
        <v>#REF!</v>
      </c>
      <c r="E49" t="e">
        <f t="shared" si="8"/>
        <v>#REF!</v>
      </c>
      <c r="F49" t="e">
        <f t="shared" si="9"/>
        <v>#REF!</v>
      </c>
      <c r="G49" t="e">
        <f t="shared" si="2"/>
        <v>#REF!</v>
      </c>
      <c r="J49" t="e">
        <f>Reflection!A49</f>
        <v>#REF!</v>
      </c>
      <c r="K49" t="e">
        <f t="shared" si="10"/>
        <v>#REF!</v>
      </c>
      <c r="L49" t="e">
        <f t="shared" si="30"/>
        <v>#REF!</v>
      </c>
      <c r="M49" t="e">
        <f t="shared" si="11"/>
        <v>#REF!</v>
      </c>
      <c r="N49" t="e">
        <f t="shared" si="12"/>
        <v>#REF!</v>
      </c>
      <c r="O49" t="e">
        <f t="shared" si="13"/>
        <v>#REF!</v>
      </c>
      <c r="P49" t="e">
        <f t="shared" si="14"/>
        <v>#REF!</v>
      </c>
      <c r="S49" t="e">
        <f>Reflection!A49</f>
        <v>#REF!</v>
      </c>
      <c r="T49" t="e">
        <f t="shared" si="15"/>
        <v>#REF!</v>
      </c>
      <c r="U49" t="e">
        <f t="shared" si="16"/>
        <v>#REF!</v>
      </c>
      <c r="V49" t="e">
        <f t="shared" si="17"/>
        <v>#REF!</v>
      </c>
      <c r="W49" t="e">
        <f t="shared" si="18"/>
        <v>#REF!</v>
      </c>
      <c r="X49" t="e">
        <f t="shared" si="19"/>
        <v>#REF!</v>
      </c>
      <c r="Y49" t="e">
        <f t="shared" si="20"/>
        <v>#REF!</v>
      </c>
      <c r="AB49" t="e">
        <f>Reflection!A49</f>
        <v>#REF!</v>
      </c>
      <c r="AC49" t="e">
        <f t="shared" si="21"/>
        <v>#REF!</v>
      </c>
      <c r="AD49" t="e">
        <f t="shared" si="22"/>
        <v>#REF!</v>
      </c>
      <c r="AE49" t="e">
        <f t="shared" si="23"/>
        <v>#REF!</v>
      </c>
      <c r="AF49" t="e">
        <f t="shared" si="24"/>
        <v>#REF!</v>
      </c>
      <c r="AG49" t="e">
        <f t="shared" si="25"/>
        <v>#REF!</v>
      </c>
      <c r="AH49" t="e">
        <f t="shared" si="4"/>
        <v>#REF!</v>
      </c>
      <c r="AK49" t="e">
        <f>Reflection!A49</f>
        <v>#REF!</v>
      </c>
      <c r="AL49" t="e">
        <f t="shared" si="26"/>
        <v>#REF!</v>
      </c>
      <c r="AM49" t="e">
        <f t="shared" si="31"/>
        <v>#REF!</v>
      </c>
      <c r="AN49" t="e">
        <f t="shared" si="27"/>
        <v>#REF!</v>
      </c>
      <c r="AO49" t="e">
        <f t="shared" si="28"/>
        <v>#REF!</v>
      </c>
      <c r="AP49" t="e">
        <f t="shared" si="29"/>
        <v>#REF!</v>
      </c>
      <c r="AQ49" t="e">
        <f t="shared" si="6"/>
        <v>#REF!</v>
      </c>
    </row>
    <row r="50" spans="1:43" x14ac:dyDescent="0.15">
      <c r="A50" t="e">
        <f>Reflection!A50</f>
        <v>#REF!</v>
      </c>
      <c r="B50" t="e">
        <f t="shared" si="0"/>
        <v>#REF!</v>
      </c>
      <c r="C50" t="e">
        <f t="shared" si="1"/>
        <v>#REF!</v>
      </c>
      <c r="D50" t="e">
        <f t="shared" si="7"/>
        <v>#REF!</v>
      </c>
      <c r="E50" t="e">
        <f t="shared" si="8"/>
        <v>#REF!</v>
      </c>
      <c r="F50" t="e">
        <f t="shared" si="9"/>
        <v>#REF!</v>
      </c>
      <c r="G50" t="e">
        <f t="shared" si="2"/>
        <v>#REF!</v>
      </c>
      <c r="J50" t="e">
        <f>Reflection!A50</f>
        <v>#REF!</v>
      </c>
      <c r="K50" t="e">
        <f t="shared" si="10"/>
        <v>#REF!</v>
      </c>
      <c r="L50" t="e">
        <f t="shared" si="30"/>
        <v>#REF!</v>
      </c>
      <c r="M50" t="e">
        <f t="shared" si="11"/>
        <v>#REF!</v>
      </c>
      <c r="N50" t="e">
        <f t="shared" si="12"/>
        <v>#REF!</v>
      </c>
      <c r="O50" t="e">
        <f t="shared" si="13"/>
        <v>#REF!</v>
      </c>
      <c r="P50" t="e">
        <f t="shared" si="14"/>
        <v>#REF!</v>
      </c>
      <c r="S50" t="e">
        <f>Reflection!A50</f>
        <v>#REF!</v>
      </c>
      <c r="T50" t="e">
        <f t="shared" si="15"/>
        <v>#REF!</v>
      </c>
      <c r="U50" t="e">
        <f t="shared" si="16"/>
        <v>#REF!</v>
      </c>
      <c r="V50" t="e">
        <f t="shared" si="17"/>
        <v>#REF!</v>
      </c>
      <c r="W50" t="e">
        <f t="shared" si="18"/>
        <v>#REF!</v>
      </c>
      <c r="X50" t="e">
        <f t="shared" si="19"/>
        <v>#REF!</v>
      </c>
      <c r="Y50" t="e">
        <f t="shared" si="20"/>
        <v>#REF!</v>
      </c>
      <c r="AB50" t="e">
        <f>Reflection!A50</f>
        <v>#REF!</v>
      </c>
      <c r="AC50" t="e">
        <f t="shared" si="21"/>
        <v>#REF!</v>
      </c>
      <c r="AD50" t="e">
        <f t="shared" si="22"/>
        <v>#REF!</v>
      </c>
      <c r="AE50" t="e">
        <f t="shared" si="23"/>
        <v>#REF!</v>
      </c>
      <c r="AF50" t="e">
        <f t="shared" si="24"/>
        <v>#REF!</v>
      </c>
      <c r="AG50" t="e">
        <f t="shared" si="25"/>
        <v>#REF!</v>
      </c>
      <c r="AH50" t="e">
        <f t="shared" si="4"/>
        <v>#REF!</v>
      </c>
      <c r="AK50" t="e">
        <f>Reflection!A50</f>
        <v>#REF!</v>
      </c>
      <c r="AL50" t="e">
        <f t="shared" si="26"/>
        <v>#REF!</v>
      </c>
      <c r="AM50" t="e">
        <f t="shared" si="31"/>
        <v>#REF!</v>
      </c>
      <c r="AN50" t="e">
        <f t="shared" si="27"/>
        <v>#REF!</v>
      </c>
      <c r="AO50" t="e">
        <f t="shared" si="28"/>
        <v>#REF!</v>
      </c>
      <c r="AP50" t="e">
        <f t="shared" si="29"/>
        <v>#REF!</v>
      </c>
      <c r="AQ50" t="e">
        <f t="shared" si="6"/>
        <v>#REF!</v>
      </c>
    </row>
    <row r="51" spans="1:43" x14ac:dyDescent="0.15">
      <c r="A51" t="e">
        <f>Reflection!A51</f>
        <v>#REF!</v>
      </c>
      <c r="B51" t="e">
        <f t="shared" si="0"/>
        <v>#REF!</v>
      </c>
      <c r="C51" t="e">
        <f t="shared" si="1"/>
        <v>#REF!</v>
      </c>
      <c r="D51" t="e">
        <f t="shared" si="7"/>
        <v>#REF!</v>
      </c>
      <c r="E51" t="e">
        <f t="shared" si="8"/>
        <v>#REF!</v>
      </c>
      <c r="F51" t="e">
        <f t="shared" si="9"/>
        <v>#REF!</v>
      </c>
      <c r="G51" t="e">
        <f t="shared" si="2"/>
        <v>#REF!</v>
      </c>
      <c r="J51" t="e">
        <f>Reflection!A51</f>
        <v>#REF!</v>
      </c>
      <c r="K51" t="e">
        <f t="shared" si="10"/>
        <v>#REF!</v>
      </c>
      <c r="L51" t="e">
        <f t="shared" si="30"/>
        <v>#REF!</v>
      </c>
      <c r="M51" t="e">
        <f t="shared" si="11"/>
        <v>#REF!</v>
      </c>
      <c r="N51" t="e">
        <f t="shared" si="12"/>
        <v>#REF!</v>
      </c>
      <c r="O51" t="e">
        <f t="shared" si="13"/>
        <v>#REF!</v>
      </c>
      <c r="P51" t="e">
        <f t="shared" si="14"/>
        <v>#REF!</v>
      </c>
      <c r="S51" t="e">
        <f>Reflection!A51</f>
        <v>#REF!</v>
      </c>
      <c r="T51" t="e">
        <f t="shared" si="15"/>
        <v>#REF!</v>
      </c>
      <c r="U51" t="e">
        <f t="shared" si="16"/>
        <v>#REF!</v>
      </c>
      <c r="V51" t="e">
        <f t="shared" si="17"/>
        <v>#REF!</v>
      </c>
      <c r="W51" t="e">
        <f t="shared" si="18"/>
        <v>#REF!</v>
      </c>
      <c r="X51" t="e">
        <f t="shared" si="19"/>
        <v>#REF!</v>
      </c>
      <c r="Y51" t="e">
        <f t="shared" si="20"/>
        <v>#REF!</v>
      </c>
      <c r="AB51" t="e">
        <f>Reflection!A51</f>
        <v>#REF!</v>
      </c>
      <c r="AC51" t="e">
        <f t="shared" si="21"/>
        <v>#REF!</v>
      </c>
      <c r="AD51" t="e">
        <f t="shared" si="22"/>
        <v>#REF!</v>
      </c>
      <c r="AE51" t="e">
        <f t="shared" si="23"/>
        <v>#REF!</v>
      </c>
      <c r="AF51" t="e">
        <f t="shared" si="24"/>
        <v>#REF!</v>
      </c>
      <c r="AG51" t="e">
        <f t="shared" si="25"/>
        <v>#REF!</v>
      </c>
      <c r="AH51" t="e">
        <f t="shared" si="4"/>
        <v>#REF!</v>
      </c>
      <c r="AK51" t="e">
        <f>Reflection!A51</f>
        <v>#REF!</v>
      </c>
      <c r="AL51" t="e">
        <f t="shared" si="26"/>
        <v>#REF!</v>
      </c>
      <c r="AM51" t="e">
        <f t="shared" si="31"/>
        <v>#REF!</v>
      </c>
      <c r="AN51" t="e">
        <f t="shared" si="27"/>
        <v>#REF!</v>
      </c>
      <c r="AO51" t="e">
        <f t="shared" si="28"/>
        <v>#REF!</v>
      </c>
      <c r="AP51" t="e">
        <f t="shared" si="29"/>
        <v>#REF!</v>
      </c>
      <c r="AQ51" t="e">
        <f t="shared" si="6"/>
        <v>#REF!</v>
      </c>
    </row>
    <row r="52" spans="1:43" x14ac:dyDescent="0.15">
      <c r="A52" t="e">
        <f>Reflection!A52</f>
        <v>#REF!</v>
      </c>
      <c r="B52" t="e">
        <f t="shared" si="0"/>
        <v>#REF!</v>
      </c>
      <c r="C52" t="e">
        <f t="shared" si="1"/>
        <v>#REF!</v>
      </c>
      <c r="D52" t="e">
        <f t="shared" si="7"/>
        <v>#REF!</v>
      </c>
      <c r="E52" t="e">
        <f t="shared" si="8"/>
        <v>#REF!</v>
      </c>
      <c r="F52" t="e">
        <f t="shared" si="9"/>
        <v>#REF!</v>
      </c>
      <c r="G52" t="e">
        <f t="shared" si="2"/>
        <v>#REF!</v>
      </c>
      <c r="J52" t="e">
        <f>Reflection!A52</f>
        <v>#REF!</v>
      </c>
      <c r="K52" t="e">
        <f t="shared" si="10"/>
        <v>#REF!</v>
      </c>
      <c r="L52" t="e">
        <f t="shared" si="30"/>
        <v>#REF!</v>
      </c>
      <c r="M52" t="e">
        <f t="shared" si="11"/>
        <v>#REF!</v>
      </c>
      <c r="N52" t="e">
        <f t="shared" si="12"/>
        <v>#REF!</v>
      </c>
      <c r="O52" t="e">
        <f t="shared" si="13"/>
        <v>#REF!</v>
      </c>
      <c r="P52" t="e">
        <f t="shared" si="14"/>
        <v>#REF!</v>
      </c>
      <c r="S52" t="e">
        <f>Reflection!A52</f>
        <v>#REF!</v>
      </c>
      <c r="T52" t="e">
        <f t="shared" si="15"/>
        <v>#REF!</v>
      </c>
      <c r="U52" t="e">
        <f t="shared" si="16"/>
        <v>#REF!</v>
      </c>
      <c r="V52" t="e">
        <f t="shared" si="17"/>
        <v>#REF!</v>
      </c>
      <c r="W52" t="e">
        <f t="shared" si="18"/>
        <v>#REF!</v>
      </c>
      <c r="X52" t="e">
        <f t="shared" si="19"/>
        <v>#REF!</v>
      </c>
      <c r="Y52" t="e">
        <f t="shared" si="20"/>
        <v>#REF!</v>
      </c>
      <c r="AB52" t="e">
        <f>Reflection!A52</f>
        <v>#REF!</v>
      </c>
      <c r="AC52" t="e">
        <f t="shared" si="21"/>
        <v>#REF!</v>
      </c>
      <c r="AD52" t="e">
        <f t="shared" si="22"/>
        <v>#REF!</v>
      </c>
      <c r="AE52" t="e">
        <f t="shared" si="23"/>
        <v>#REF!</v>
      </c>
      <c r="AF52" t="e">
        <f t="shared" si="24"/>
        <v>#REF!</v>
      </c>
      <c r="AG52" t="e">
        <f t="shared" si="25"/>
        <v>#REF!</v>
      </c>
      <c r="AH52" t="e">
        <f t="shared" si="4"/>
        <v>#REF!</v>
      </c>
      <c r="AK52" t="e">
        <f>Reflection!A52</f>
        <v>#REF!</v>
      </c>
      <c r="AL52" t="e">
        <f t="shared" si="26"/>
        <v>#REF!</v>
      </c>
      <c r="AM52" t="e">
        <f t="shared" si="31"/>
        <v>#REF!</v>
      </c>
      <c r="AN52" t="e">
        <f t="shared" si="27"/>
        <v>#REF!</v>
      </c>
      <c r="AO52" t="e">
        <f t="shared" si="28"/>
        <v>#REF!</v>
      </c>
      <c r="AP52" t="e">
        <f t="shared" si="29"/>
        <v>#REF!</v>
      </c>
      <c r="AQ52" t="e">
        <f t="shared" si="6"/>
        <v>#REF!</v>
      </c>
    </row>
    <row r="53" spans="1:43" x14ac:dyDescent="0.15">
      <c r="A53" t="e">
        <f>Reflection!A53</f>
        <v>#REF!</v>
      </c>
      <c r="B53" t="e">
        <f t="shared" si="0"/>
        <v>#REF!</v>
      </c>
      <c r="C53" t="e">
        <f t="shared" si="1"/>
        <v>#REF!</v>
      </c>
      <c r="D53" t="e">
        <f t="shared" si="7"/>
        <v>#REF!</v>
      </c>
      <c r="E53" t="e">
        <f t="shared" si="8"/>
        <v>#REF!</v>
      </c>
      <c r="F53" t="e">
        <f t="shared" si="9"/>
        <v>#REF!</v>
      </c>
      <c r="G53" t="e">
        <f t="shared" si="2"/>
        <v>#REF!</v>
      </c>
      <c r="J53" t="e">
        <f>Reflection!A53</f>
        <v>#REF!</v>
      </c>
      <c r="K53" t="e">
        <f t="shared" si="10"/>
        <v>#REF!</v>
      </c>
      <c r="L53" t="e">
        <f t="shared" si="30"/>
        <v>#REF!</v>
      </c>
      <c r="M53" t="e">
        <f t="shared" si="11"/>
        <v>#REF!</v>
      </c>
      <c r="N53" t="e">
        <f t="shared" si="12"/>
        <v>#REF!</v>
      </c>
      <c r="O53" t="e">
        <f t="shared" si="13"/>
        <v>#REF!</v>
      </c>
      <c r="P53" t="e">
        <f t="shared" si="14"/>
        <v>#REF!</v>
      </c>
      <c r="S53" t="e">
        <f>Reflection!A53</f>
        <v>#REF!</v>
      </c>
      <c r="T53" t="e">
        <f t="shared" si="15"/>
        <v>#REF!</v>
      </c>
      <c r="U53" t="e">
        <f t="shared" si="16"/>
        <v>#REF!</v>
      </c>
      <c r="V53" t="e">
        <f t="shared" si="17"/>
        <v>#REF!</v>
      </c>
      <c r="W53" t="e">
        <f t="shared" si="18"/>
        <v>#REF!</v>
      </c>
      <c r="X53" t="e">
        <f t="shared" si="19"/>
        <v>#REF!</v>
      </c>
      <c r="Y53" t="e">
        <f t="shared" si="20"/>
        <v>#REF!</v>
      </c>
      <c r="AB53" t="e">
        <f>Reflection!A53</f>
        <v>#REF!</v>
      </c>
      <c r="AC53" t="e">
        <f t="shared" si="21"/>
        <v>#REF!</v>
      </c>
      <c r="AD53" t="e">
        <f t="shared" si="22"/>
        <v>#REF!</v>
      </c>
      <c r="AE53" t="e">
        <f t="shared" si="23"/>
        <v>#REF!</v>
      </c>
      <c r="AF53" t="e">
        <f t="shared" si="24"/>
        <v>#REF!</v>
      </c>
      <c r="AG53" t="e">
        <f t="shared" si="25"/>
        <v>#REF!</v>
      </c>
      <c r="AH53" t="e">
        <f t="shared" si="4"/>
        <v>#REF!</v>
      </c>
      <c r="AK53" t="e">
        <f>Reflection!A53</f>
        <v>#REF!</v>
      </c>
      <c r="AL53" t="e">
        <f t="shared" si="26"/>
        <v>#REF!</v>
      </c>
      <c r="AM53" t="e">
        <f t="shared" si="31"/>
        <v>#REF!</v>
      </c>
      <c r="AN53" t="e">
        <f t="shared" si="27"/>
        <v>#REF!</v>
      </c>
      <c r="AO53" t="e">
        <f t="shared" si="28"/>
        <v>#REF!</v>
      </c>
      <c r="AP53" t="e">
        <f t="shared" si="29"/>
        <v>#REF!</v>
      </c>
      <c r="AQ53" t="e">
        <f t="shared" si="6"/>
        <v>#REF!</v>
      </c>
    </row>
    <row r="54" spans="1:43" x14ac:dyDescent="0.15">
      <c r="A54" t="e">
        <f>Reflection!A54</f>
        <v>#REF!</v>
      </c>
      <c r="B54" t="e">
        <f t="shared" si="0"/>
        <v>#REF!</v>
      </c>
      <c r="C54" t="e">
        <f t="shared" si="1"/>
        <v>#REF!</v>
      </c>
      <c r="D54" t="e">
        <f t="shared" si="7"/>
        <v>#REF!</v>
      </c>
      <c r="E54" t="e">
        <f t="shared" si="8"/>
        <v>#REF!</v>
      </c>
      <c r="F54" t="e">
        <f t="shared" si="9"/>
        <v>#REF!</v>
      </c>
      <c r="G54" t="e">
        <f t="shared" si="2"/>
        <v>#REF!</v>
      </c>
      <c r="J54" t="e">
        <f>Reflection!A54</f>
        <v>#REF!</v>
      </c>
      <c r="K54" t="e">
        <f t="shared" si="10"/>
        <v>#REF!</v>
      </c>
      <c r="L54" t="e">
        <f t="shared" si="30"/>
        <v>#REF!</v>
      </c>
      <c r="M54" t="e">
        <f t="shared" si="11"/>
        <v>#REF!</v>
      </c>
      <c r="N54" t="e">
        <f t="shared" si="12"/>
        <v>#REF!</v>
      </c>
      <c r="O54" t="e">
        <f t="shared" si="13"/>
        <v>#REF!</v>
      </c>
      <c r="P54" t="e">
        <f t="shared" si="14"/>
        <v>#REF!</v>
      </c>
      <c r="S54" t="e">
        <f>Reflection!A54</f>
        <v>#REF!</v>
      </c>
      <c r="T54" t="e">
        <f t="shared" si="15"/>
        <v>#REF!</v>
      </c>
      <c r="U54" t="e">
        <f t="shared" si="16"/>
        <v>#REF!</v>
      </c>
      <c r="V54" t="e">
        <f t="shared" si="17"/>
        <v>#REF!</v>
      </c>
      <c r="W54" t="e">
        <f t="shared" si="18"/>
        <v>#REF!</v>
      </c>
      <c r="X54" t="e">
        <f t="shared" si="19"/>
        <v>#REF!</v>
      </c>
      <c r="Y54" t="e">
        <f t="shared" si="20"/>
        <v>#REF!</v>
      </c>
      <c r="AB54" t="e">
        <f>Reflection!A54</f>
        <v>#REF!</v>
      </c>
      <c r="AC54" t="e">
        <f t="shared" si="21"/>
        <v>#REF!</v>
      </c>
      <c r="AD54" t="e">
        <f t="shared" si="22"/>
        <v>#REF!</v>
      </c>
      <c r="AE54" t="e">
        <f t="shared" si="23"/>
        <v>#REF!</v>
      </c>
      <c r="AF54" t="e">
        <f t="shared" si="24"/>
        <v>#REF!</v>
      </c>
      <c r="AG54" t="e">
        <f t="shared" si="25"/>
        <v>#REF!</v>
      </c>
      <c r="AH54" t="e">
        <f t="shared" si="4"/>
        <v>#REF!</v>
      </c>
      <c r="AK54" t="e">
        <f>Reflection!A54</f>
        <v>#REF!</v>
      </c>
      <c r="AL54" t="e">
        <f t="shared" si="26"/>
        <v>#REF!</v>
      </c>
      <c r="AM54" t="e">
        <f t="shared" si="31"/>
        <v>#REF!</v>
      </c>
      <c r="AN54" t="e">
        <f t="shared" si="27"/>
        <v>#REF!</v>
      </c>
      <c r="AO54" t="e">
        <f t="shared" si="28"/>
        <v>#REF!</v>
      </c>
      <c r="AP54" t="e">
        <f t="shared" si="29"/>
        <v>#REF!</v>
      </c>
      <c r="AQ54" t="e">
        <f t="shared" si="6"/>
        <v>#REF!</v>
      </c>
    </row>
    <row r="55" spans="1:43" x14ac:dyDescent="0.15">
      <c r="A55" t="e">
        <f>Reflection!A55</f>
        <v>#REF!</v>
      </c>
      <c r="B55" t="e">
        <f t="shared" si="0"/>
        <v>#REF!</v>
      </c>
      <c r="C55" t="e">
        <f t="shared" si="1"/>
        <v>#REF!</v>
      </c>
      <c r="D55" t="e">
        <f t="shared" si="7"/>
        <v>#REF!</v>
      </c>
      <c r="E55" t="e">
        <f t="shared" si="8"/>
        <v>#REF!</v>
      </c>
      <c r="F55" t="e">
        <f t="shared" si="9"/>
        <v>#REF!</v>
      </c>
      <c r="G55" t="e">
        <f t="shared" si="2"/>
        <v>#REF!</v>
      </c>
      <c r="J55" t="e">
        <f>Reflection!A55</f>
        <v>#REF!</v>
      </c>
      <c r="K55" t="e">
        <f t="shared" si="10"/>
        <v>#REF!</v>
      </c>
      <c r="L55" t="e">
        <f t="shared" si="30"/>
        <v>#REF!</v>
      </c>
      <c r="M55" t="e">
        <f t="shared" si="11"/>
        <v>#REF!</v>
      </c>
      <c r="N55" t="e">
        <f t="shared" si="12"/>
        <v>#REF!</v>
      </c>
      <c r="O55" t="e">
        <f t="shared" si="13"/>
        <v>#REF!</v>
      </c>
      <c r="P55" t="e">
        <f t="shared" si="14"/>
        <v>#REF!</v>
      </c>
      <c r="S55" t="e">
        <f>Reflection!A55</f>
        <v>#REF!</v>
      </c>
      <c r="T55" t="e">
        <f t="shared" si="15"/>
        <v>#REF!</v>
      </c>
      <c r="U55" t="e">
        <f t="shared" si="16"/>
        <v>#REF!</v>
      </c>
      <c r="V55" t="e">
        <f t="shared" si="17"/>
        <v>#REF!</v>
      </c>
      <c r="W55" t="e">
        <f t="shared" si="18"/>
        <v>#REF!</v>
      </c>
      <c r="X55" t="e">
        <f t="shared" si="19"/>
        <v>#REF!</v>
      </c>
      <c r="Y55" t="e">
        <f t="shared" si="20"/>
        <v>#REF!</v>
      </c>
      <c r="AB55" t="e">
        <f>Reflection!A55</f>
        <v>#REF!</v>
      </c>
      <c r="AC55" t="e">
        <f t="shared" si="21"/>
        <v>#REF!</v>
      </c>
      <c r="AD55" t="e">
        <f t="shared" si="22"/>
        <v>#REF!</v>
      </c>
      <c r="AE55" t="e">
        <f t="shared" si="23"/>
        <v>#REF!</v>
      </c>
      <c r="AF55" t="e">
        <f t="shared" si="24"/>
        <v>#REF!</v>
      </c>
      <c r="AG55" t="e">
        <f t="shared" si="25"/>
        <v>#REF!</v>
      </c>
      <c r="AH55" t="e">
        <f t="shared" si="4"/>
        <v>#REF!</v>
      </c>
      <c r="AK55" t="e">
        <f>Reflection!A55</f>
        <v>#REF!</v>
      </c>
      <c r="AL55" t="e">
        <f t="shared" si="26"/>
        <v>#REF!</v>
      </c>
      <c r="AM55" t="e">
        <f t="shared" si="31"/>
        <v>#REF!</v>
      </c>
      <c r="AN55" t="e">
        <f t="shared" si="27"/>
        <v>#REF!</v>
      </c>
      <c r="AO55" t="e">
        <f t="shared" si="28"/>
        <v>#REF!</v>
      </c>
      <c r="AP55" t="e">
        <f t="shared" si="29"/>
        <v>#REF!</v>
      </c>
      <c r="AQ55" t="e">
        <f t="shared" si="6"/>
        <v>#REF!</v>
      </c>
    </row>
    <row r="56" spans="1:43" x14ac:dyDescent="0.15">
      <c r="A56" t="e">
        <f>Reflection!A56</f>
        <v>#REF!</v>
      </c>
      <c r="B56" t="e">
        <f t="shared" si="0"/>
        <v>#REF!</v>
      </c>
      <c r="C56" t="e">
        <f t="shared" si="1"/>
        <v>#REF!</v>
      </c>
      <c r="D56" t="e">
        <f t="shared" si="7"/>
        <v>#REF!</v>
      </c>
      <c r="E56" t="e">
        <f t="shared" si="8"/>
        <v>#REF!</v>
      </c>
      <c r="F56" t="e">
        <f t="shared" si="9"/>
        <v>#REF!</v>
      </c>
      <c r="G56" t="e">
        <f t="shared" si="2"/>
        <v>#REF!</v>
      </c>
      <c r="J56" t="e">
        <f>Reflection!A56</f>
        <v>#REF!</v>
      </c>
      <c r="K56" t="e">
        <f t="shared" si="10"/>
        <v>#REF!</v>
      </c>
      <c r="L56" t="e">
        <f t="shared" si="30"/>
        <v>#REF!</v>
      </c>
      <c r="M56" t="e">
        <f t="shared" si="11"/>
        <v>#REF!</v>
      </c>
      <c r="N56" t="e">
        <f t="shared" si="12"/>
        <v>#REF!</v>
      </c>
      <c r="O56" t="e">
        <f t="shared" si="13"/>
        <v>#REF!</v>
      </c>
      <c r="P56" t="e">
        <f t="shared" si="14"/>
        <v>#REF!</v>
      </c>
      <c r="S56" t="e">
        <f>Reflection!A56</f>
        <v>#REF!</v>
      </c>
      <c r="T56" t="e">
        <f t="shared" si="15"/>
        <v>#REF!</v>
      </c>
      <c r="U56" t="e">
        <f t="shared" si="16"/>
        <v>#REF!</v>
      </c>
      <c r="V56" t="e">
        <f t="shared" si="17"/>
        <v>#REF!</v>
      </c>
      <c r="W56" t="e">
        <f t="shared" si="18"/>
        <v>#REF!</v>
      </c>
      <c r="X56" t="e">
        <f t="shared" si="19"/>
        <v>#REF!</v>
      </c>
      <c r="Y56" t="e">
        <f t="shared" si="20"/>
        <v>#REF!</v>
      </c>
      <c r="AB56" t="e">
        <f>Reflection!A56</f>
        <v>#REF!</v>
      </c>
      <c r="AC56" t="e">
        <f t="shared" si="21"/>
        <v>#REF!</v>
      </c>
      <c r="AD56" t="e">
        <f t="shared" si="22"/>
        <v>#REF!</v>
      </c>
      <c r="AE56" t="e">
        <f t="shared" si="23"/>
        <v>#REF!</v>
      </c>
      <c r="AF56" t="e">
        <f t="shared" si="24"/>
        <v>#REF!</v>
      </c>
      <c r="AG56" t="e">
        <f t="shared" si="25"/>
        <v>#REF!</v>
      </c>
      <c r="AH56" t="e">
        <f t="shared" si="4"/>
        <v>#REF!</v>
      </c>
      <c r="AK56" t="e">
        <f>Reflection!A56</f>
        <v>#REF!</v>
      </c>
      <c r="AL56" t="e">
        <f t="shared" si="26"/>
        <v>#REF!</v>
      </c>
      <c r="AM56" t="e">
        <f t="shared" si="31"/>
        <v>#REF!</v>
      </c>
      <c r="AN56" t="e">
        <f t="shared" si="27"/>
        <v>#REF!</v>
      </c>
      <c r="AO56" t="e">
        <f t="shared" si="28"/>
        <v>#REF!</v>
      </c>
      <c r="AP56" t="e">
        <f t="shared" si="29"/>
        <v>#REF!</v>
      </c>
      <c r="AQ56" t="e">
        <f t="shared" si="6"/>
        <v>#REF!</v>
      </c>
    </row>
    <row r="57" spans="1:43" x14ac:dyDescent="0.15">
      <c r="A57" t="e">
        <f>Reflection!A57</f>
        <v>#REF!</v>
      </c>
      <c r="B57" t="e">
        <f t="shared" si="0"/>
        <v>#REF!</v>
      </c>
      <c r="C57" t="e">
        <f t="shared" si="1"/>
        <v>#REF!</v>
      </c>
      <c r="D57" t="e">
        <f t="shared" si="7"/>
        <v>#REF!</v>
      </c>
      <c r="E57" t="e">
        <f t="shared" si="8"/>
        <v>#REF!</v>
      </c>
      <c r="F57" t="e">
        <f t="shared" si="9"/>
        <v>#REF!</v>
      </c>
      <c r="G57" t="e">
        <f t="shared" si="2"/>
        <v>#REF!</v>
      </c>
      <c r="J57" t="e">
        <f>Reflection!A57</f>
        <v>#REF!</v>
      </c>
      <c r="K57" t="e">
        <f t="shared" si="10"/>
        <v>#REF!</v>
      </c>
      <c r="L57" t="e">
        <f t="shared" si="30"/>
        <v>#REF!</v>
      </c>
      <c r="M57" t="e">
        <f t="shared" si="11"/>
        <v>#REF!</v>
      </c>
      <c r="N57" t="e">
        <f t="shared" si="12"/>
        <v>#REF!</v>
      </c>
      <c r="O57" t="e">
        <f t="shared" si="13"/>
        <v>#REF!</v>
      </c>
      <c r="P57" t="e">
        <f t="shared" si="14"/>
        <v>#REF!</v>
      </c>
      <c r="S57" t="e">
        <f>Reflection!A57</f>
        <v>#REF!</v>
      </c>
      <c r="T57" t="e">
        <f t="shared" si="15"/>
        <v>#REF!</v>
      </c>
      <c r="U57" t="e">
        <f t="shared" si="16"/>
        <v>#REF!</v>
      </c>
      <c r="V57" t="e">
        <f t="shared" si="17"/>
        <v>#REF!</v>
      </c>
      <c r="W57" t="e">
        <f t="shared" si="18"/>
        <v>#REF!</v>
      </c>
      <c r="X57" t="e">
        <f t="shared" si="19"/>
        <v>#REF!</v>
      </c>
      <c r="Y57" t="e">
        <f t="shared" si="20"/>
        <v>#REF!</v>
      </c>
      <c r="AB57" t="e">
        <f>Reflection!A57</f>
        <v>#REF!</v>
      </c>
      <c r="AC57" t="e">
        <f t="shared" si="21"/>
        <v>#REF!</v>
      </c>
      <c r="AD57" t="e">
        <f t="shared" si="22"/>
        <v>#REF!</v>
      </c>
      <c r="AE57" t="e">
        <f t="shared" si="23"/>
        <v>#REF!</v>
      </c>
      <c r="AF57" t="e">
        <f t="shared" si="24"/>
        <v>#REF!</v>
      </c>
      <c r="AG57" t="e">
        <f t="shared" si="25"/>
        <v>#REF!</v>
      </c>
      <c r="AH57" t="e">
        <f t="shared" si="4"/>
        <v>#REF!</v>
      </c>
      <c r="AK57" t="e">
        <f>Reflection!A57</f>
        <v>#REF!</v>
      </c>
      <c r="AL57" t="e">
        <f t="shared" si="26"/>
        <v>#REF!</v>
      </c>
      <c r="AM57" t="e">
        <f t="shared" si="31"/>
        <v>#REF!</v>
      </c>
      <c r="AN57" t="e">
        <f t="shared" si="27"/>
        <v>#REF!</v>
      </c>
      <c r="AO57" t="e">
        <f t="shared" si="28"/>
        <v>#REF!</v>
      </c>
      <c r="AP57" t="e">
        <f t="shared" si="29"/>
        <v>#REF!</v>
      </c>
      <c r="AQ57" t="e">
        <f t="shared" si="6"/>
        <v>#REF!</v>
      </c>
    </row>
    <row r="58" spans="1:43" x14ac:dyDescent="0.15">
      <c r="A58" t="e">
        <f>Reflection!A58</f>
        <v>#REF!</v>
      </c>
      <c r="B58" t="e">
        <f t="shared" si="0"/>
        <v>#REF!</v>
      </c>
      <c r="C58" t="e">
        <f t="shared" si="1"/>
        <v>#REF!</v>
      </c>
      <c r="D58" t="e">
        <f t="shared" si="7"/>
        <v>#REF!</v>
      </c>
      <c r="E58" t="e">
        <f t="shared" si="8"/>
        <v>#REF!</v>
      </c>
      <c r="F58" t="e">
        <f t="shared" si="9"/>
        <v>#REF!</v>
      </c>
      <c r="G58" t="e">
        <f t="shared" si="2"/>
        <v>#REF!</v>
      </c>
      <c r="J58" t="e">
        <f>Reflection!A58</f>
        <v>#REF!</v>
      </c>
      <c r="K58" t="e">
        <f t="shared" si="10"/>
        <v>#REF!</v>
      </c>
      <c r="L58" t="e">
        <f t="shared" si="30"/>
        <v>#REF!</v>
      </c>
      <c r="M58" t="e">
        <f t="shared" si="11"/>
        <v>#REF!</v>
      </c>
      <c r="N58" t="e">
        <f t="shared" si="12"/>
        <v>#REF!</v>
      </c>
      <c r="O58" t="e">
        <f t="shared" si="13"/>
        <v>#REF!</v>
      </c>
      <c r="P58" t="e">
        <f t="shared" si="14"/>
        <v>#REF!</v>
      </c>
      <c r="S58" t="e">
        <f>Reflection!A58</f>
        <v>#REF!</v>
      </c>
      <c r="T58" t="e">
        <f t="shared" si="15"/>
        <v>#REF!</v>
      </c>
      <c r="U58" t="e">
        <f t="shared" si="16"/>
        <v>#REF!</v>
      </c>
      <c r="V58" t="e">
        <f t="shared" si="17"/>
        <v>#REF!</v>
      </c>
      <c r="W58" t="e">
        <f t="shared" si="18"/>
        <v>#REF!</v>
      </c>
      <c r="X58" t="e">
        <f t="shared" si="19"/>
        <v>#REF!</v>
      </c>
      <c r="Y58" t="e">
        <f t="shared" si="20"/>
        <v>#REF!</v>
      </c>
      <c r="AB58" t="e">
        <f>Reflection!A58</f>
        <v>#REF!</v>
      </c>
      <c r="AC58" t="e">
        <f t="shared" si="21"/>
        <v>#REF!</v>
      </c>
      <c r="AD58" t="e">
        <f t="shared" si="22"/>
        <v>#REF!</v>
      </c>
      <c r="AE58" t="e">
        <f t="shared" si="23"/>
        <v>#REF!</v>
      </c>
      <c r="AF58" t="e">
        <f t="shared" si="24"/>
        <v>#REF!</v>
      </c>
      <c r="AG58" t="e">
        <f t="shared" si="25"/>
        <v>#REF!</v>
      </c>
      <c r="AH58" t="e">
        <f t="shared" si="4"/>
        <v>#REF!</v>
      </c>
      <c r="AK58" t="e">
        <f>Reflection!A58</f>
        <v>#REF!</v>
      </c>
      <c r="AL58" t="e">
        <f t="shared" si="26"/>
        <v>#REF!</v>
      </c>
      <c r="AM58" t="e">
        <f t="shared" si="31"/>
        <v>#REF!</v>
      </c>
      <c r="AN58" t="e">
        <f t="shared" si="27"/>
        <v>#REF!</v>
      </c>
      <c r="AO58" t="e">
        <f t="shared" si="28"/>
        <v>#REF!</v>
      </c>
      <c r="AP58" t="e">
        <f t="shared" si="29"/>
        <v>#REF!</v>
      </c>
      <c r="AQ58" t="e">
        <f t="shared" si="6"/>
        <v>#REF!</v>
      </c>
    </row>
    <row r="59" spans="1:43" x14ac:dyDescent="0.15">
      <c r="A59" t="e">
        <f>Reflection!A59</f>
        <v>#REF!</v>
      </c>
      <c r="B59" t="e">
        <f t="shared" si="0"/>
        <v>#REF!</v>
      </c>
      <c r="C59" t="e">
        <f t="shared" si="1"/>
        <v>#REF!</v>
      </c>
      <c r="D59" t="e">
        <f t="shared" si="7"/>
        <v>#REF!</v>
      </c>
      <c r="E59" t="e">
        <f t="shared" si="8"/>
        <v>#REF!</v>
      </c>
      <c r="F59" t="e">
        <f t="shared" si="9"/>
        <v>#REF!</v>
      </c>
      <c r="G59" t="e">
        <f t="shared" si="2"/>
        <v>#REF!</v>
      </c>
      <c r="J59" t="e">
        <f>Reflection!A59</f>
        <v>#REF!</v>
      </c>
      <c r="K59" t="e">
        <f t="shared" si="10"/>
        <v>#REF!</v>
      </c>
      <c r="L59" t="e">
        <f t="shared" si="30"/>
        <v>#REF!</v>
      </c>
      <c r="M59" t="e">
        <f t="shared" si="11"/>
        <v>#REF!</v>
      </c>
      <c r="N59" t="e">
        <f t="shared" si="12"/>
        <v>#REF!</v>
      </c>
      <c r="O59" t="e">
        <f t="shared" si="13"/>
        <v>#REF!</v>
      </c>
      <c r="P59" t="e">
        <f t="shared" si="14"/>
        <v>#REF!</v>
      </c>
      <c r="S59" t="e">
        <f>Reflection!A59</f>
        <v>#REF!</v>
      </c>
      <c r="T59" t="e">
        <f t="shared" si="15"/>
        <v>#REF!</v>
      </c>
      <c r="U59" t="e">
        <f t="shared" si="16"/>
        <v>#REF!</v>
      </c>
      <c r="V59" t="e">
        <f t="shared" si="17"/>
        <v>#REF!</v>
      </c>
      <c r="W59" t="e">
        <f t="shared" si="18"/>
        <v>#REF!</v>
      </c>
      <c r="X59" t="e">
        <f t="shared" si="19"/>
        <v>#REF!</v>
      </c>
      <c r="Y59" t="e">
        <f t="shared" si="20"/>
        <v>#REF!</v>
      </c>
      <c r="AB59" t="e">
        <f>Reflection!A59</f>
        <v>#REF!</v>
      </c>
      <c r="AC59" t="e">
        <f t="shared" si="21"/>
        <v>#REF!</v>
      </c>
      <c r="AD59" t="e">
        <f t="shared" si="22"/>
        <v>#REF!</v>
      </c>
      <c r="AE59" t="e">
        <f t="shared" si="23"/>
        <v>#REF!</v>
      </c>
      <c r="AF59" t="e">
        <f t="shared" si="24"/>
        <v>#REF!</v>
      </c>
      <c r="AG59" t="e">
        <f t="shared" si="25"/>
        <v>#REF!</v>
      </c>
      <c r="AH59" t="e">
        <f t="shared" si="4"/>
        <v>#REF!</v>
      </c>
      <c r="AK59" t="e">
        <f>Reflection!A59</f>
        <v>#REF!</v>
      </c>
      <c r="AL59" t="e">
        <f t="shared" si="26"/>
        <v>#REF!</v>
      </c>
      <c r="AM59" t="e">
        <f t="shared" si="31"/>
        <v>#REF!</v>
      </c>
      <c r="AN59" t="e">
        <f t="shared" si="27"/>
        <v>#REF!</v>
      </c>
      <c r="AO59" t="e">
        <f t="shared" si="28"/>
        <v>#REF!</v>
      </c>
      <c r="AP59" t="e">
        <f t="shared" si="29"/>
        <v>#REF!</v>
      </c>
      <c r="AQ59" t="e">
        <f t="shared" si="6"/>
        <v>#REF!</v>
      </c>
    </row>
    <row r="60" spans="1:43" x14ac:dyDescent="0.15">
      <c r="A60" t="e">
        <f>Reflection!A60</f>
        <v>#REF!</v>
      </c>
      <c r="B60" t="e">
        <f t="shared" si="0"/>
        <v>#REF!</v>
      </c>
      <c r="C60" t="e">
        <f t="shared" si="1"/>
        <v>#REF!</v>
      </c>
      <c r="D60" t="e">
        <f t="shared" si="7"/>
        <v>#REF!</v>
      </c>
      <c r="E60" t="e">
        <f t="shared" si="8"/>
        <v>#REF!</v>
      </c>
      <c r="F60" t="e">
        <f t="shared" si="9"/>
        <v>#REF!</v>
      </c>
      <c r="G60" t="e">
        <f t="shared" si="2"/>
        <v>#REF!</v>
      </c>
      <c r="J60" t="e">
        <f>Reflection!A60</f>
        <v>#REF!</v>
      </c>
      <c r="K60" t="e">
        <f t="shared" si="10"/>
        <v>#REF!</v>
      </c>
      <c r="L60" t="e">
        <f t="shared" si="30"/>
        <v>#REF!</v>
      </c>
      <c r="M60" t="e">
        <f t="shared" si="11"/>
        <v>#REF!</v>
      </c>
      <c r="N60" t="e">
        <f t="shared" si="12"/>
        <v>#REF!</v>
      </c>
      <c r="O60" t="e">
        <f t="shared" si="13"/>
        <v>#REF!</v>
      </c>
      <c r="P60" t="e">
        <f t="shared" si="14"/>
        <v>#REF!</v>
      </c>
      <c r="S60" t="e">
        <f>Reflection!A60</f>
        <v>#REF!</v>
      </c>
      <c r="T60" t="e">
        <f t="shared" si="15"/>
        <v>#REF!</v>
      </c>
      <c r="U60" t="e">
        <f t="shared" si="16"/>
        <v>#REF!</v>
      </c>
      <c r="V60" t="e">
        <f t="shared" si="17"/>
        <v>#REF!</v>
      </c>
      <c r="W60" t="e">
        <f t="shared" si="18"/>
        <v>#REF!</v>
      </c>
      <c r="X60" t="e">
        <f t="shared" si="19"/>
        <v>#REF!</v>
      </c>
      <c r="Y60" t="e">
        <f t="shared" si="20"/>
        <v>#REF!</v>
      </c>
      <c r="AB60" t="e">
        <f>Reflection!A60</f>
        <v>#REF!</v>
      </c>
      <c r="AC60" t="e">
        <f t="shared" si="21"/>
        <v>#REF!</v>
      </c>
      <c r="AD60" t="e">
        <f t="shared" si="22"/>
        <v>#REF!</v>
      </c>
      <c r="AE60" t="e">
        <f t="shared" si="23"/>
        <v>#REF!</v>
      </c>
      <c r="AF60" t="e">
        <f t="shared" si="24"/>
        <v>#REF!</v>
      </c>
      <c r="AG60" t="e">
        <f t="shared" si="25"/>
        <v>#REF!</v>
      </c>
      <c r="AH60" t="e">
        <f t="shared" si="4"/>
        <v>#REF!</v>
      </c>
      <c r="AK60" t="e">
        <f>Reflection!A60</f>
        <v>#REF!</v>
      </c>
      <c r="AL60" t="e">
        <f t="shared" si="26"/>
        <v>#REF!</v>
      </c>
      <c r="AM60" t="e">
        <f t="shared" si="31"/>
        <v>#REF!</v>
      </c>
      <c r="AN60" t="e">
        <f t="shared" si="27"/>
        <v>#REF!</v>
      </c>
      <c r="AO60" t="e">
        <f t="shared" si="28"/>
        <v>#REF!</v>
      </c>
      <c r="AP60" t="e">
        <f t="shared" si="29"/>
        <v>#REF!</v>
      </c>
      <c r="AQ60" t="e">
        <f t="shared" si="6"/>
        <v>#REF!</v>
      </c>
    </row>
    <row r="61" spans="1:43" x14ac:dyDescent="0.15">
      <c r="A61" t="e">
        <f>Reflection!A61</f>
        <v>#REF!</v>
      </c>
      <c r="B61" t="e">
        <f t="shared" si="0"/>
        <v>#REF!</v>
      </c>
      <c r="C61" t="e">
        <f t="shared" si="1"/>
        <v>#REF!</v>
      </c>
      <c r="D61" t="e">
        <f t="shared" si="7"/>
        <v>#REF!</v>
      </c>
      <c r="E61" t="e">
        <f t="shared" si="8"/>
        <v>#REF!</v>
      </c>
      <c r="F61" t="e">
        <f t="shared" si="9"/>
        <v>#REF!</v>
      </c>
      <c r="G61" t="e">
        <f t="shared" si="2"/>
        <v>#REF!</v>
      </c>
      <c r="J61" t="e">
        <f>Reflection!A61</f>
        <v>#REF!</v>
      </c>
      <c r="K61" t="e">
        <f t="shared" si="10"/>
        <v>#REF!</v>
      </c>
      <c r="L61" t="e">
        <f t="shared" si="30"/>
        <v>#REF!</v>
      </c>
      <c r="M61" t="e">
        <f t="shared" si="11"/>
        <v>#REF!</v>
      </c>
      <c r="N61" t="e">
        <f t="shared" si="12"/>
        <v>#REF!</v>
      </c>
      <c r="O61" t="e">
        <f t="shared" si="13"/>
        <v>#REF!</v>
      </c>
      <c r="P61" t="e">
        <f t="shared" si="14"/>
        <v>#REF!</v>
      </c>
      <c r="S61" t="e">
        <f>Reflection!A61</f>
        <v>#REF!</v>
      </c>
      <c r="T61" t="e">
        <f t="shared" si="15"/>
        <v>#REF!</v>
      </c>
      <c r="U61" t="e">
        <f t="shared" si="16"/>
        <v>#REF!</v>
      </c>
      <c r="V61" t="e">
        <f t="shared" si="17"/>
        <v>#REF!</v>
      </c>
      <c r="W61" t="e">
        <f t="shared" si="18"/>
        <v>#REF!</v>
      </c>
      <c r="X61" t="e">
        <f t="shared" si="19"/>
        <v>#REF!</v>
      </c>
      <c r="Y61" t="e">
        <f t="shared" si="20"/>
        <v>#REF!</v>
      </c>
      <c r="AB61" t="e">
        <f>Reflection!A61</f>
        <v>#REF!</v>
      </c>
      <c r="AC61" t="e">
        <f t="shared" si="21"/>
        <v>#REF!</v>
      </c>
      <c r="AD61" t="e">
        <f t="shared" si="22"/>
        <v>#REF!</v>
      </c>
      <c r="AE61" t="e">
        <f t="shared" si="23"/>
        <v>#REF!</v>
      </c>
      <c r="AF61" t="e">
        <f t="shared" si="24"/>
        <v>#REF!</v>
      </c>
      <c r="AG61" t="e">
        <f t="shared" si="25"/>
        <v>#REF!</v>
      </c>
      <c r="AH61" t="e">
        <f t="shared" si="4"/>
        <v>#REF!</v>
      </c>
      <c r="AK61" t="e">
        <f>Reflection!A61</f>
        <v>#REF!</v>
      </c>
      <c r="AL61" t="e">
        <f t="shared" si="26"/>
        <v>#REF!</v>
      </c>
      <c r="AM61" t="e">
        <f t="shared" si="31"/>
        <v>#REF!</v>
      </c>
      <c r="AN61" t="e">
        <f t="shared" si="27"/>
        <v>#REF!</v>
      </c>
      <c r="AO61" t="e">
        <f t="shared" si="28"/>
        <v>#REF!</v>
      </c>
      <c r="AP61" t="e">
        <f t="shared" si="29"/>
        <v>#REF!</v>
      </c>
      <c r="AQ61" t="e">
        <f t="shared" si="6"/>
        <v>#REF!</v>
      </c>
    </row>
    <row r="62" spans="1:43" x14ac:dyDescent="0.15">
      <c r="A62" t="e">
        <f>Reflection!A62</f>
        <v>#REF!</v>
      </c>
      <c r="B62" t="e">
        <f t="shared" si="0"/>
        <v>#REF!</v>
      </c>
      <c r="C62" t="e">
        <f t="shared" si="1"/>
        <v>#REF!</v>
      </c>
      <c r="D62" t="e">
        <f t="shared" si="7"/>
        <v>#REF!</v>
      </c>
      <c r="E62" t="e">
        <f t="shared" si="8"/>
        <v>#REF!</v>
      </c>
      <c r="F62" t="e">
        <f t="shared" si="9"/>
        <v>#REF!</v>
      </c>
      <c r="G62" t="e">
        <f t="shared" si="2"/>
        <v>#REF!</v>
      </c>
      <c r="J62" t="e">
        <f>Reflection!A62</f>
        <v>#REF!</v>
      </c>
      <c r="K62" t="e">
        <f t="shared" si="10"/>
        <v>#REF!</v>
      </c>
      <c r="L62" t="e">
        <f t="shared" si="30"/>
        <v>#REF!</v>
      </c>
      <c r="M62" t="e">
        <f t="shared" si="11"/>
        <v>#REF!</v>
      </c>
      <c r="N62" t="e">
        <f t="shared" si="12"/>
        <v>#REF!</v>
      </c>
      <c r="O62" t="e">
        <f t="shared" si="13"/>
        <v>#REF!</v>
      </c>
      <c r="P62" t="e">
        <f t="shared" si="14"/>
        <v>#REF!</v>
      </c>
      <c r="S62" t="e">
        <f>Reflection!A62</f>
        <v>#REF!</v>
      </c>
      <c r="T62" t="e">
        <f t="shared" si="15"/>
        <v>#REF!</v>
      </c>
      <c r="U62" t="e">
        <f t="shared" si="16"/>
        <v>#REF!</v>
      </c>
      <c r="V62" t="e">
        <f t="shared" si="17"/>
        <v>#REF!</v>
      </c>
      <c r="W62" t="e">
        <f t="shared" si="18"/>
        <v>#REF!</v>
      </c>
      <c r="X62" t="e">
        <f t="shared" si="19"/>
        <v>#REF!</v>
      </c>
      <c r="Y62" t="e">
        <f t="shared" si="20"/>
        <v>#REF!</v>
      </c>
      <c r="AB62" t="e">
        <f>Reflection!A62</f>
        <v>#REF!</v>
      </c>
      <c r="AC62" t="e">
        <f t="shared" si="21"/>
        <v>#REF!</v>
      </c>
      <c r="AD62" t="e">
        <f t="shared" si="22"/>
        <v>#REF!</v>
      </c>
      <c r="AE62" t="e">
        <f t="shared" si="23"/>
        <v>#REF!</v>
      </c>
      <c r="AF62" t="e">
        <f t="shared" si="24"/>
        <v>#REF!</v>
      </c>
      <c r="AG62" t="e">
        <f t="shared" si="25"/>
        <v>#REF!</v>
      </c>
      <c r="AH62" t="e">
        <f t="shared" si="4"/>
        <v>#REF!</v>
      </c>
      <c r="AK62" t="e">
        <f>Reflection!A62</f>
        <v>#REF!</v>
      </c>
      <c r="AL62" t="e">
        <f t="shared" si="26"/>
        <v>#REF!</v>
      </c>
      <c r="AM62" t="e">
        <f t="shared" si="31"/>
        <v>#REF!</v>
      </c>
      <c r="AN62" t="e">
        <f t="shared" si="27"/>
        <v>#REF!</v>
      </c>
      <c r="AO62" t="e">
        <f t="shared" si="28"/>
        <v>#REF!</v>
      </c>
      <c r="AP62" t="e">
        <f t="shared" si="29"/>
        <v>#REF!</v>
      </c>
      <c r="AQ62" t="e">
        <f t="shared" si="6"/>
        <v>#REF!</v>
      </c>
    </row>
    <row r="63" spans="1:43" x14ac:dyDescent="0.15">
      <c r="A63" t="e">
        <f>Reflection!A63</f>
        <v>#REF!</v>
      </c>
      <c r="B63" t="e">
        <f t="shared" si="0"/>
        <v>#REF!</v>
      </c>
      <c r="C63" t="e">
        <f t="shared" si="1"/>
        <v>#REF!</v>
      </c>
      <c r="D63" t="e">
        <f t="shared" si="7"/>
        <v>#REF!</v>
      </c>
      <c r="E63" t="e">
        <f t="shared" si="8"/>
        <v>#REF!</v>
      </c>
      <c r="F63" t="e">
        <f t="shared" si="9"/>
        <v>#REF!</v>
      </c>
      <c r="G63" t="e">
        <f t="shared" si="2"/>
        <v>#REF!</v>
      </c>
      <c r="J63" t="e">
        <f>Reflection!A63</f>
        <v>#REF!</v>
      </c>
      <c r="K63" t="e">
        <f t="shared" si="10"/>
        <v>#REF!</v>
      </c>
      <c r="L63" t="e">
        <f t="shared" si="30"/>
        <v>#REF!</v>
      </c>
      <c r="M63" t="e">
        <f t="shared" si="11"/>
        <v>#REF!</v>
      </c>
      <c r="N63" t="e">
        <f t="shared" si="12"/>
        <v>#REF!</v>
      </c>
      <c r="O63" t="e">
        <f t="shared" si="13"/>
        <v>#REF!</v>
      </c>
      <c r="P63" t="e">
        <f t="shared" si="14"/>
        <v>#REF!</v>
      </c>
      <c r="S63" t="e">
        <f>Reflection!A63</f>
        <v>#REF!</v>
      </c>
      <c r="T63" t="e">
        <f t="shared" si="15"/>
        <v>#REF!</v>
      </c>
      <c r="U63" t="e">
        <f t="shared" si="16"/>
        <v>#REF!</v>
      </c>
      <c r="V63" t="e">
        <f t="shared" si="17"/>
        <v>#REF!</v>
      </c>
      <c r="W63" t="e">
        <f t="shared" si="18"/>
        <v>#REF!</v>
      </c>
      <c r="X63" t="e">
        <f t="shared" si="19"/>
        <v>#REF!</v>
      </c>
      <c r="Y63" t="e">
        <f t="shared" si="20"/>
        <v>#REF!</v>
      </c>
      <c r="AB63" t="e">
        <f>Reflection!A63</f>
        <v>#REF!</v>
      </c>
      <c r="AC63" t="e">
        <f t="shared" si="21"/>
        <v>#REF!</v>
      </c>
      <c r="AD63" t="e">
        <f t="shared" si="22"/>
        <v>#REF!</v>
      </c>
      <c r="AE63" t="e">
        <f t="shared" si="23"/>
        <v>#REF!</v>
      </c>
      <c r="AF63" t="e">
        <f t="shared" si="24"/>
        <v>#REF!</v>
      </c>
      <c r="AG63" t="e">
        <f t="shared" si="25"/>
        <v>#REF!</v>
      </c>
      <c r="AH63" t="e">
        <f t="shared" si="4"/>
        <v>#REF!</v>
      </c>
      <c r="AK63" t="e">
        <f>Reflection!A63</f>
        <v>#REF!</v>
      </c>
      <c r="AL63" t="e">
        <f t="shared" si="26"/>
        <v>#REF!</v>
      </c>
      <c r="AM63" t="e">
        <f t="shared" si="31"/>
        <v>#REF!</v>
      </c>
      <c r="AN63" t="e">
        <f t="shared" si="27"/>
        <v>#REF!</v>
      </c>
      <c r="AO63" t="e">
        <f t="shared" si="28"/>
        <v>#REF!</v>
      </c>
      <c r="AP63" t="e">
        <f t="shared" si="29"/>
        <v>#REF!</v>
      </c>
      <c r="AQ63" t="e">
        <f t="shared" si="6"/>
        <v>#REF!</v>
      </c>
    </row>
    <row r="64" spans="1:43" x14ac:dyDescent="0.15">
      <c r="A64" t="e">
        <f>Reflection!A64</f>
        <v>#REF!</v>
      </c>
      <c r="B64" t="e">
        <f t="shared" si="0"/>
        <v>#REF!</v>
      </c>
      <c r="C64" t="e">
        <f t="shared" si="1"/>
        <v>#REF!</v>
      </c>
      <c r="D64" t="e">
        <f t="shared" si="7"/>
        <v>#REF!</v>
      </c>
      <c r="E64" t="e">
        <f t="shared" si="8"/>
        <v>#REF!</v>
      </c>
      <c r="F64" t="e">
        <f t="shared" si="9"/>
        <v>#REF!</v>
      </c>
      <c r="G64" t="e">
        <f t="shared" si="2"/>
        <v>#REF!</v>
      </c>
      <c r="J64" t="e">
        <f>Reflection!A64</f>
        <v>#REF!</v>
      </c>
      <c r="K64" t="e">
        <f t="shared" si="10"/>
        <v>#REF!</v>
      </c>
      <c r="L64" t="e">
        <f t="shared" si="30"/>
        <v>#REF!</v>
      </c>
      <c r="M64" t="e">
        <f t="shared" si="11"/>
        <v>#REF!</v>
      </c>
      <c r="N64" t="e">
        <f t="shared" si="12"/>
        <v>#REF!</v>
      </c>
      <c r="O64" t="e">
        <f t="shared" si="13"/>
        <v>#REF!</v>
      </c>
      <c r="P64" t="e">
        <f t="shared" si="14"/>
        <v>#REF!</v>
      </c>
      <c r="S64" t="e">
        <f>Reflection!A64</f>
        <v>#REF!</v>
      </c>
      <c r="T64" t="e">
        <f t="shared" si="15"/>
        <v>#REF!</v>
      </c>
      <c r="U64" t="e">
        <f t="shared" si="16"/>
        <v>#REF!</v>
      </c>
      <c r="V64" t="e">
        <f t="shared" si="17"/>
        <v>#REF!</v>
      </c>
      <c r="W64" t="e">
        <f t="shared" si="18"/>
        <v>#REF!</v>
      </c>
      <c r="X64" t="e">
        <f t="shared" si="19"/>
        <v>#REF!</v>
      </c>
      <c r="Y64" t="e">
        <f t="shared" si="20"/>
        <v>#REF!</v>
      </c>
      <c r="AB64" t="e">
        <f>Reflection!A64</f>
        <v>#REF!</v>
      </c>
      <c r="AC64" t="e">
        <f t="shared" si="21"/>
        <v>#REF!</v>
      </c>
      <c r="AD64" t="e">
        <f t="shared" si="22"/>
        <v>#REF!</v>
      </c>
      <c r="AE64" t="e">
        <f t="shared" si="23"/>
        <v>#REF!</v>
      </c>
      <c r="AF64" t="e">
        <f t="shared" si="24"/>
        <v>#REF!</v>
      </c>
      <c r="AG64" t="e">
        <f t="shared" si="25"/>
        <v>#REF!</v>
      </c>
      <c r="AH64" t="e">
        <f t="shared" si="4"/>
        <v>#REF!</v>
      </c>
      <c r="AK64" t="e">
        <f>Reflection!A64</f>
        <v>#REF!</v>
      </c>
      <c r="AL64" t="e">
        <f t="shared" si="26"/>
        <v>#REF!</v>
      </c>
      <c r="AM64" t="e">
        <f t="shared" si="31"/>
        <v>#REF!</v>
      </c>
      <c r="AN64" t="e">
        <f t="shared" si="27"/>
        <v>#REF!</v>
      </c>
      <c r="AO64" t="e">
        <f t="shared" si="28"/>
        <v>#REF!</v>
      </c>
      <c r="AP64" t="e">
        <f t="shared" si="29"/>
        <v>#REF!</v>
      </c>
      <c r="AQ64" t="e">
        <f t="shared" si="6"/>
        <v>#REF!</v>
      </c>
    </row>
    <row r="65" spans="1:43" x14ac:dyDescent="0.15">
      <c r="A65" t="e">
        <f>Reflection!A65</f>
        <v>#REF!</v>
      </c>
      <c r="B65" t="e">
        <f t="shared" si="0"/>
        <v>#REF!</v>
      </c>
      <c r="C65" t="e">
        <f t="shared" si="1"/>
        <v>#REF!</v>
      </c>
      <c r="D65" t="e">
        <f t="shared" si="7"/>
        <v>#REF!</v>
      </c>
      <c r="E65" t="e">
        <f t="shared" si="8"/>
        <v>#REF!</v>
      </c>
      <c r="F65" t="e">
        <f t="shared" si="9"/>
        <v>#REF!</v>
      </c>
      <c r="G65" t="e">
        <f t="shared" si="2"/>
        <v>#REF!</v>
      </c>
      <c r="J65" t="e">
        <f>Reflection!A65</f>
        <v>#REF!</v>
      </c>
      <c r="K65" t="e">
        <f t="shared" si="10"/>
        <v>#REF!</v>
      </c>
      <c r="L65" t="e">
        <f t="shared" si="30"/>
        <v>#REF!</v>
      </c>
      <c r="M65" t="e">
        <f t="shared" si="11"/>
        <v>#REF!</v>
      </c>
      <c r="N65" t="e">
        <f t="shared" si="12"/>
        <v>#REF!</v>
      </c>
      <c r="O65" t="e">
        <f t="shared" si="13"/>
        <v>#REF!</v>
      </c>
      <c r="P65" t="e">
        <f t="shared" si="14"/>
        <v>#REF!</v>
      </c>
      <c r="S65" t="e">
        <f>Reflection!A65</f>
        <v>#REF!</v>
      </c>
      <c r="T65" t="e">
        <f t="shared" si="15"/>
        <v>#REF!</v>
      </c>
      <c r="U65" t="e">
        <f t="shared" si="16"/>
        <v>#REF!</v>
      </c>
      <c r="V65" t="e">
        <f t="shared" si="17"/>
        <v>#REF!</v>
      </c>
      <c r="W65" t="e">
        <f t="shared" si="18"/>
        <v>#REF!</v>
      </c>
      <c r="X65" t="e">
        <f t="shared" si="19"/>
        <v>#REF!</v>
      </c>
      <c r="Y65" t="e">
        <f t="shared" si="20"/>
        <v>#REF!</v>
      </c>
      <c r="AB65" t="e">
        <f>Reflection!A65</f>
        <v>#REF!</v>
      </c>
      <c r="AC65" t="e">
        <f t="shared" si="21"/>
        <v>#REF!</v>
      </c>
      <c r="AD65" t="e">
        <f t="shared" si="22"/>
        <v>#REF!</v>
      </c>
      <c r="AE65" t="e">
        <f t="shared" si="23"/>
        <v>#REF!</v>
      </c>
      <c r="AF65" t="e">
        <f t="shared" si="24"/>
        <v>#REF!</v>
      </c>
      <c r="AG65" t="e">
        <f t="shared" si="25"/>
        <v>#REF!</v>
      </c>
      <c r="AH65" t="e">
        <f t="shared" si="4"/>
        <v>#REF!</v>
      </c>
      <c r="AK65" t="e">
        <f>Reflection!A65</f>
        <v>#REF!</v>
      </c>
      <c r="AL65" t="e">
        <f t="shared" si="26"/>
        <v>#REF!</v>
      </c>
      <c r="AM65" t="e">
        <f t="shared" si="31"/>
        <v>#REF!</v>
      </c>
      <c r="AN65" t="e">
        <f t="shared" si="27"/>
        <v>#REF!</v>
      </c>
      <c r="AO65" t="e">
        <f t="shared" si="28"/>
        <v>#REF!</v>
      </c>
      <c r="AP65" t="e">
        <f t="shared" si="29"/>
        <v>#REF!</v>
      </c>
      <c r="AQ65" t="e">
        <f t="shared" si="6"/>
        <v>#REF!</v>
      </c>
    </row>
    <row r="66" spans="1:43" x14ac:dyDescent="0.15">
      <c r="A66" t="e">
        <f>Reflection!A66</f>
        <v>#REF!</v>
      </c>
      <c r="B66" t="e">
        <f t="shared" si="0"/>
        <v>#REF!</v>
      </c>
      <c r="C66" t="e">
        <f t="shared" si="1"/>
        <v>#REF!</v>
      </c>
      <c r="D66" t="e">
        <f t="shared" si="7"/>
        <v>#REF!</v>
      </c>
      <c r="E66" t="e">
        <f t="shared" si="8"/>
        <v>#REF!</v>
      </c>
      <c r="F66" t="e">
        <f t="shared" si="9"/>
        <v>#REF!</v>
      </c>
      <c r="G66" t="e">
        <f t="shared" si="2"/>
        <v>#REF!</v>
      </c>
      <c r="J66" t="e">
        <f>Reflection!A66</f>
        <v>#REF!</v>
      </c>
      <c r="K66" t="e">
        <f t="shared" si="10"/>
        <v>#REF!</v>
      </c>
      <c r="L66" t="e">
        <f t="shared" si="30"/>
        <v>#REF!</v>
      </c>
      <c r="M66" t="e">
        <f t="shared" si="11"/>
        <v>#REF!</v>
      </c>
      <c r="N66" t="e">
        <f t="shared" si="12"/>
        <v>#REF!</v>
      </c>
      <c r="O66" t="e">
        <f t="shared" si="13"/>
        <v>#REF!</v>
      </c>
      <c r="P66" t="e">
        <f t="shared" si="14"/>
        <v>#REF!</v>
      </c>
      <c r="S66" t="e">
        <f>Reflection!A66</f>
        <v>#REF!</v>
      </c>
      <c r="T66" t="e">
        <f t="shared" si="15"/>
        <v>#REF!</v>
      </c>
      <c r="U66" t="e">
        <f t="shared" si="16"/>
        <v>#REF!</v>
      </c>
      <c r="V66" t="e">
        <f t="shared" si="17"/>
        <v>#REF!</v>
      </c>
      <c r="W66" t="e">
        <f t="shared" si="18"/>
        <v>#REF!</v>
      </c>
      <c r="X66" t="e">
        <f t="shared" si="19"/>
        <v>#REF!</v>
      </c>
      <c r="Y66" t="e">
        <f t="shared" si="20"/>
        <v>#REF!</v>
      </c>
      <c r="AB66" t="e">
        <f>Reflection!A66</f>
        <v>#REF!</v>
      </c>
      <c r="AC66" t="e">
        <f t="shared" si="21"/>
        <v>#REF!</v>
      </c>
      <c r="AD66" t="e">
        <f t="shared" si="22"/>
        <v>#REF!</v>
      </c>
      <c r="AE66" t="e">
        <f t="shared" si="23"/>
        <v>#REF!</v>
      </c>
      <c r="AF66" t="e">
        <f t="shared" si="24"/>
        <v>#REF!</v>
      </c>
      <c r="AG66" t="e">
        <f t="shared" si="25"/>
        <v>#REF!</v>
      </c>
      <c r="AH66" t="e">
        <f t="shared" si="4"/>
        <v>#REF!</v>
      </c>
      <c r="AK66" t="e">
        <f>Reflection!A66</f>
        <v>#REF!</v>
      </c>
      <c r="AL66" t="e">
        <f t="shared" si="26"/>
        <v>#REF!</v>
      </c>
      <c r="AM66" t="e">
        <f t="shared" si="31"/>
        <v>#REF!</v>
      </c>
      <c r="AN66" t="e">
        <f t="shared" si="27"/>
        <v>#REF!</v>
      </c>
      <c r="AO66" t="e">
        <f t="shared" si="28"/>
        <v>#REF!</v>
      </c>
      <c r="AP66" t="e">
        <f t="shared" si="29"/>
        <v>#REF!</v>
      </c>
      <c r="AQ66" t="e">
        <f t="shared" si="6"/>
        <v>#REF!</v>
      </c>
    </row>
    <row r="67" spans="1:43" x14ac:dyDescent="0.15">
      <c r="A67" t="e">
        <f>Reflection!A67</f>
        <v>#REF!</v>
      </c>
      <c r="B67" t="e">
        <f t="shared" ref="B67:B130" si="32">IMSUM(4.1,IMDIV((78.4-4.1),IMSUM(IMPRODUCT($C$1,2*PI()*A67*0.0000000000083),1)))</f>
        <v>#REF!</v>
      </c>
      <c r="C67" t="e">
        <f t="shared" ref="C67:C130" si="33">IMPRODUCT(IMPRODUCT(B67,$C$1),2*PI()*A67*0.000000000008854)</f>
        <v>#REF!</v>
      </c>
      <c r="D67" t="e">
        <f t="shared" si="7"/>
        <v>#REF!</v>
      </c>
      <c r="E67" t="e">
        <f t="shared" si="8"/>
        <v>#REF!</v>
      </c>
      <c r="F67" t="e">
        <f t="shared" si="9"/>
        <v>#REF!</v>
      </c>
      <c r="G67" t="e">
        <f t="shared" ref="G67:G130" si="34">IMAGINARY(C67)</f>
        <v>#REF!</v>
      </c>
      <c r="J67" t="e">
        <f>Reflection!A67</f>
        <v>#REF!</v>
      </c>
      <c r="K67" t="e">
        <f t="shared" si="10"/>
        <v>#REF!</v>
      </c>
      <c r="L67" t="e">
        <f t="shared" ref="L67:L98" si="35">IMPRODUCT(IMPRODUCT(K67,$L$1),2*PI()*J67*0.0000000000088542)</f>
        <v>#REF!</v>
      </c>
      <c r="M67" t="e">
        <f t="shared" si="11"/>
        <v>#REF!</v>
      </c>
      <c r="N67" t="e">
        <f t="shared" si="12"/>
        <v>#REF!</v>
      </c>
      <c r="O67" t="e">
        <f t="shared" si="13"/>
        <v>#REF!</v>
      </c>
      <c r="P67" t="e">
        <f t="shared" si="14"/>
        <v>#REF!</v>
      </c>
      <c r="S67" t="e">
        <f>Reflection!A67</f>
        <v>#REF!</v>
      </c>
      <c r="T67" t="e">
        <f t="shared" si="15"/>
        <v>#REF!</v>
      </c>
      <c r="U67" t="e">
        <f t="shared" si="16"/>
        <v>#REF!</v>
      </c>
      <c r="V67" t="e">
        <f t="shared" si="17"/>
        <v>#REF!</v>
      </c>
      <c r="W67" t="e">
        <f t="shared" si="18"/>
        <v>#REF!</v>
      </c>
      <c r="X67" t="e">
        <f t="shared" si="19"/>
        <v>#REF!</v>
      </c>
      <c r="Y67" t="e">
        <f t="shared" si="20"/>
        <v>#REF!</v>
      </c>
      <c r="AB67" t="e">
        <f>Reflection!A67</f>
        <v>#REF!</v>
      </c>
      <c r="AC67" t="e">
        <f t="shared" si="21"/>
        <v>#REF!</v>
      </c>
      <c r="AD67" t="e">
        <f t="shared" si="22"/>
        <v>#REF!</v>
      </c>
      <c r="AE67" t="e">
        <f t="shared" si="23"/>
        <v>#REF!</v>
      </c>
      <c r="AF67" t="e">
        <f t="shared" si="24"/>
        <v>#REF!</v>
      </c>
      <c r="AG67" t="e">
        <f t="shared" si="25"/>
        <v>#REF!</v>
      </c>
      <c r="AH67" t="e">
        <f t="shared" si="4"/>
        <v>#REF!</v>
      </c>
      <c r="AK67" t="e">
        <f>Reflection!A67</f>
        <v>#REF!</v>
      </c>
      <c r="AL67" t="e">
        <f t="shared" si="26"/>
        <v>#REF!</v>
      </c>
      <c r="AM67" t="e">
        <f t="shared" ref="AM67:AM98" si="36">IMPRODUCT(IMPRODUCT(AL67,$AM$1),2*PI()*AK67*0.000000000008854)</f>
        <v>#REF!</v>
      </c>
      <c r="AN67" t="e">
        <f t="shared" si="27"/>
        <v>#REF!</v>
      </c>
      <c r="AO67" t="e">
        <f t="shared" si="28"/>
        <v>#REF!</v>
      </c>
      <c r="AP67" t="e">
        <f t="shared" si="29"/>
        <v>#REF!</v>
      </c>
      <c r="AQ67" t="e">
        <f t="shared" si="6"/>
        <v>#REF!</v>
      </c>
    </row>
    <row r="68" spans="1:43" x14ac:dyDescent="0.15">
      <c r="A68" t="e">
        <f>Reflection!A68</f>
        <v>#REF!</v>
      </c>
      <c r="B68" t="e">
        <f t="shared" si="32"/>
        <v>#REF!</v>
      </c>
      <c r="C68" t="e">
        <f t="shared" si="33"/>
        <v>#REF!</v>
      </c>
      <c r="D68" t="e">
        <f t="shared" ref="D68:D131" si="37">IMREAL(B68)</f>
        <v>#REF!</v>
      </c>
      <c r="E68" t="e">
        <f t="shared" ref="E68:E131" si="38">-IMAGINARY(B68)</f>
        <v>#REF!</v>
      </c>
      <c r="F68" t="e">
        <f t="shared" ref="F68:F131" si="39">IMREAL(C68)</f>
        <v>#REF!</v>
      </c>
      <c r="G68" t="e">
        <f t="shared" si="34"/>
        <v>#REF!</v>
      </c>
      <c r="J68" t="e">
        <f>Reflection!A68</f>
        <v>#REF!</v>
      </c>
      <c r="K68" t="e">
        <f t="shared" ref="K68:K131" si="40">IMSUM(2.6,IMDIV(19.94,IMSUM(1,IMPOWER(IMPRODUCT($L$1,2*PI()*J68,0.0000000001649),1))),IMDIV(0.74,IMSUM(1,IMPRODUCT($L$1,2*PI()*J68*0.0000000000104))),IMDIV(1.19,IMSUM(1,IMPRODUCT($L$1,2*PI()*J68*0.00000000000169))))</f>
        <v>#REF!</v>
      </c>
      <c r="L68" t="e">
        <f t="shared" si="35"/>
        <v>#REF!</v>
      </c>
      <c r="M68" t="e">
        <f t="shared" ref="M68:M131" si="41">IMREAL(K68)</f>
        <v>#REF!</v>
      </c>
      <c r="N68" t="e">
        <f t="shared" ref="N68:N131" si="42">-IMAGINARY(K68)</f>
        <v>#REF!</v>
      </c>
      <c r="O68" t="e">
        <f t="shared" ref="O68:O131" si="43">IMREAL(L68)</f>
        <v>#REF!</v>
      </c>
      <c r="P68" t="e">
        <f t="shared" ref="P68:P131" si="44">IMAGINARY(L68)</f>
        <v>#REF!</v>
      </c>
      <c r="S68" t="e">
        <f>Reflection!A68</f>
        <v>#REF!</v>
      </c>
      <c r="T68" t="e">
        <f t="shared" ref="T68:T131" si="45">IMSUM(2.7,IMDIV(25.93,IMSUM(1,IMPOWER(IMPRODUCT($U$1,2*PI()*S68,0.00000000009441),0.956))),IMDIV(1.44,IMSUM(1,IMPRODUCT($U$1,2*PI()*S68*0.00000000000891))),IMDIV(1.28,IMSUM(1,IMPRODUCT($U$1,2*PI()*S68*0.00000000000139))))</f>
        <v>#REF!</v>
      </c>
      <c r="U68" t="e">
        <f t="shared" ref="U68:U131" si="46">IMPRODUCT(IMPRODUCT(T68,$U$1),2*PI()*S68*0.0000000000088542)</f>
        <v>#REF!</v>
      </c>
      <c r="V68" t="e">
        <f t="shared" ref="V68:V131" si="47">IMREAL(T68)</f>
        <v>#REF!</v>
      </c>
      <c r="W68" t="e">
        <f t="shared" ref="W68:W131" si="48">-IMAGINARY(T68)</f>
        <v>#REF!</v>
      </c>
      <c r="X68" t="e">
        <f t="shared" ref="X68:X131" si="49">IMREAL(U68)</f>
        <v>#REF!</v>
      </c>
      <c r="Y68" t="e">
        <f t="shared" ref="Y68:Y131" si="50">IMAGINARY(U68)</f>
        <v>#REF!</v>
      </c>
      <c r="AB68" t="e">
        <f>Reflection!A68</f>
        <v>#REF!</v>
      </c>
      <c r="AC68" t="e">
        <f t="shared" ref="AC68:AC131" si="51">IMSUM($AD$1,IMSUM(IMDIV(($AE$1-$AD$1),IMSUM(IMPOWER(IMPRODUCT($AJ$1,2*PI()*AB68*$AF$1),(1-$AG$1)),1)),IMDIV($AH$1,IMPRODUCT($AJ$1,2*PI()*AB68*0.000000000008854))))</f>
        <v>#REF!</v>
      </c>
      <c r="AD68" t="e">
        <f t="shared" ref="AD68:AD131" si="52">IMPRODUCT(IMPRODUCT(AC68,$AJ$1),2*PI()*AB68*0.000000000008854)</f>
        <v>#REF!</v>
      </c>
      <c r="AE68" t="e">
        <f t="shared" ref="AE68:AE131" si="53">IMREAL(AC68)</f>
        <v>#REF!</v>
      </c>
      <c r="AF68" t="e">
        <f t="shared" ref="AF68:AF131" si="54">-IMAGINARY(AC68)</f>
        <v>#REF!</v>
      </c>
      <c r="AG68" t="e">
        <f t="shared" ref="AG68:AG131" si="55">IMREAL(AD68)</f>
        <v>#REF!</v>
      </c>
      <c r="AH68" t="e">
        <f t="shared" ref="AH68:AH131" si="56">IMAGINARY(AD68)</f>
        <v>#REF!</v>
      </c>
      <c r="AK68" t="e">
        <f>Reflection!A68</f>
        <v>#REF!</v>
      </c>
      <c r="AL68" t="e">
        <f t="shared" ref="AL68:AL131" si="57">IMSUM(4.1,IMDIV((78.4-4.1),IMSUM(IMPRODUCT($AM$1,2*PI()*AK68*0.0000000000083),1)))</f>
        <v>#REF!</v>
      </c>
      <c r="AM68" t="e">
        <f t="shared" si="36"/>
        <v>#REF!</v>
      </c>
      <c r="AN68" t="e">
        <f t="shared" ref="AN68:AN131" si="58">IMREAL(AL68)</f>
        <v>#REF!</v>
      </c>
      <c r="AO68" t="e">
        <f t="shared" ref="AO68:AO131" si="59">-IMAGINARY(AL68)</f>
        <v>#REF!</v>
      </c>
      <c r="AP68" t="e">
        <f t="shared" ref="AP68:AP131" si="60">IMREAL(AM68)</f>
        <v>#REF!</v>
      </c>
      <c r="AQ68" t="e">
        <f t="shared" ref="AQ68:AQ131" si="61">IMAGINARY(AM68)</f>
        <v>#REF!</v>
      </c>
    </row>
    <row r="69" spans="1:43" x14ac:dyDescent="0.15">
      <c r="A69" t="e">
        <f>Reflection!A69</f>
        <v>#REF!</v>
      </c>
      <c r="B69" t="e">
        <f t="shared" si="32"/>
        <v>#REF!</v>
      </c>
      <c r="C69" t="e">
        <f t="shared" si="33"/>
        <v>#REF!</v>
      </c>
      <c r="D69" t="e">
        <f t="shared" si="37"/>
        <v>#REF!</v>
      </c>
      <c r="E69" t="e">
        <f t="shared" si="38"/>
        <v>#REF!</v>
      </c>
      <c r="F69" t="e">
        <f t="shared" si="39"/>
        <v>#REF!</v>
      </c>
      <c r="G69" t="e">
        <f t="shared" si="34"/>
        <v>#REF!</v>
      </c>
      <c r="J69" t="e">
        <f>Reflection!A69</f>
        <v>#REF!</v>
      </c>
      <c r="K69" t="e">
        <f t="shared" si="40"/>
        <v>#REF!</v>
      </c>
      <c r="L69" t="e">
        <f t="shared" si="35"/>
        <v>#REF!</v>
      </c>
      <c r="M69" t="e">
        <f t="shared" si="41"/>
        <v>#REF!</v>
      </c>
      <c r="N69" t="e">
        <f t="shared" si="42"/>
        <v>#REF!</v>
      </c>
      <c r="O69" t="e">
        <f t="shared" si="43"/>
        <v>#REF!</v>
      </c>
      <c r="P69" t="e">
        <f t="shared" si="44"/>
        <v>#REF!</v>
      </c>
      <c r="S69" t="e">
        <f>Reflection!A69</f>
        <v>#REF!</v>
      </c>
      <c r="T69" t="e">
        <f t="shared" si="45"/>
        <v>#REF!</v>
      </c>
      <c r="U69" t="e">
        <f t="shared" si="46"/>
        <v>#REF!</v>
      </c>
      <c r="V69" t="e">
        <f t="shared" si="47"/>
        <v>#REF!</v>
      </c>
      <c r="W69" t="e">
        <f t="shared" si="48"/>
        <v>#REF!</v>
      </c>
      <c r="X69" t="e">
        <f t="shared" si="49"/>
        <v>#REF!</v>
      </c>
      <c r="Y69" t="e">
        <f t="shared" si="50"/>
        <v>#REF!</v>
      </c>
      <c r="AB69" t="e">
        <f>Reflection!A69</f>
        <v>#REF!</v>
      </c>
      <c r="AC69" t="e">
        <f t="shared" si="51"/>
        <v>#REF!</v>
      </c>
      <c r="AD69" t="e">
        <f t="shared" si="52"/>
        <v>#REF!</v>
      </c>
      <c r="AE69" t="e">
        <f t="shared" si="53"/>
        <v>#REF!</v>
      </c>
      <c r="AF69" t="e">
        <f t="shared" si="54"/>
        <v>#REF!</v>
      </c>
      <c r="AG69" t="e">
        <f t="shared" si="55"/>
        <v>#REF!</v>
      </c>
      <c r="AH69" t="e">
        <f t="shared" si="56"/>
        <v>#REF!</v>
      </c>
      <c r="AK69" t="e">
        <f>Reflection!A69</f>
        <v>#REF!</v>
      </c>
      <c r="AL69" t="e">
        <f t="shared" si="57"/>
        <v>#REF!</v>
      </c>
      <c r="AM69" t="e">
        <f t="shared" si="36"/>
        <v>#REF!</v>
      </c>
      <c r="AN69" t="e">
        <f t="shared" si="58"/>
        <v>#REF!</v>
      </c>
      <c r="AO69" t="e">
        <f t="shared" si="59"/>
        <v>#REF!</v>
      </c>
      <c r="AP69" t="e">
        <f t="shared" si="60"/>
        <v>#REF!</v>
      </c>
      <c r="AQ69" t="e">
        <f t="shared" si="61"/>
        <v>#REF!</v>
      </c>
    </row>
    <row r="70" spans="1:43" x14ac:dyDescent="0.15">
      <c r="A70" t="e">
        <f>Reflection!A70</f>
        <v>#REF!</v>
      </c>
      <c r="B70" t="e">
        <f t="shared" si="32"/>
        <v>#REF!</v>
      </c>
      <c r="C70" t="e">
        <f t="shared" si="33"/>
        <v>#REF!</v>
      </c>
      <c r="D70" t="e">
        <f t="shared" si="37"/>
        <v>#REF!</v>
      </c>
      <c r="E70" t="e">
        <f t="shared" si="38"/>
        <v>#REF!</v>
      </c>
      <c r="F70" t="e">
        <f t="shared" si="39"/>
        <v>#REF!</v>
      </c>
      <c r="G70" t="e">
        <f t="shared" si="34"/>
        <v>#REF!</v>
      </c>
      <c r="J70" t="e">
        <f>Reflection!A70</f>
        <v>#REF!</v>
      </c>
      <c r="K70" t="e">
        <f t="shared" si="40"/>
        <v>#REF!</v>
      </c>
      <c r="L70" t="e">
        <f t="shared" si="35"/>
        <v>#REF!</v>
      </c>
      <c r="M70" t="e">
        <f t="shared" si="41"/>
        <v>#REF!</v>
      </c>
      <c r="N70" t="e">
        <f t="shared" si="42"/>
        <v>#REF!</v>
      </c>
      <c r="O70" t="e">
        <f t="shared" si="43"/>
        <v>#REF!</v>
      </c>
      <c r="P70" t="e">
        <f t="shared" si="44"/>
        <v>#REF!</v>
      </c>
      <c r="S70" t="e">
        <f>Reflection!A70</f>
        <v>#REF!</v>
      </c>
      <c r="T70" t="e">
        <f t="shared" si="45"/>
        <v>#REF!</v>
      </c>
      <c r="U70" t="e">
        <f t="shared" si="46"/>
        <v>#REF!</v>
      </c>
      <c r="V70" t="e">
        <f t="shared" si="47"/>
        <v>#REF!</v>
      </c>
      <c r="W70" t="e">
        <f t="shared" si="48"/>
        <v>#REF!</v>
      </c>
      <c r="X70" t="e">
        <f t="shared" si="49"/>
        <v>#REF!</v>
      </c>
      <c r="Y70" t="e">
        <f t="shared" si="50"/>
        <v>#REF!</v>
      </c>
      <c r="AB70" t="e">
        <f>Reflection!A70</f>
        <v>#REF!</v>
      </c>
      <c r="AC70" t="e">
        <f t="shared" si="51"/>
        <v>#REF!</v>
      </c>
      <c r="AD70" t="e">
        <f t="shared" si="52"/>
        <v>#REF!</v>
      </c>
      <c r="AE70" t="e">
        <f t="shared" si="53"/>
        <v>#REF!</v>
      </c>
      <c r="AF70" t="e">
        <f t="shared" si="54"/>
        <v>#REF!</v>
      </c>
      <c r="AG70" t="e">
        <f t="shared" si="55"/>
        <v>#REF!</v>
      </c>
      <c r="AH70" t="e">
        <f t="shared" si="56"/>
        <v>#REF!</v>
      </c>
      <c r="AK70" t="e">
        <f>Reflection!A70</f>
        <v>#REF!</v>
      </c>
      <c r="AL70" t="e">
        <f t="shared" si="57"/>
        <v>#REF!</v>
      </c>
      <c r="AM70" t="e">
        <f t="shared" si="36"/>
        <v>#REF!</v>
      </c>
      <c r="AN70" t="e">
        <f t="shared" si="58"/>
        <v>#REF!</v>
      </c>
      <c r="AO70" t="e">
        <f t="shared" si="59"/>
        <v>#REF!</v>
      </c>
      <c r="AP70" t="e">
        <f t="shared" si="60"/>
        <v>#REF!</v>
      </c>
      <c r="AQ70" t="e">
        <f t="shared" si="61"/>
        <v>#REF!</v>
      </c>
    </row>
    <row r="71" spans="1:43" x14ac:dyDescent="0.15">
      <c r="A71" t="e">
        <f>Reflection!A71</f>
        <v>#REF!</v>
      </c>
      <c r="B71" t="e">
        <f t="shared" si="32"/>
        <v>#REF!</v>
      </c>
      <c r="C71" t="e">
        <f t="shared" si="33"/>
        <v>#REF!</v>
      </c>
      <c r="D71" t="e">
        <f t="shared" si="37"/>
        <v>#REF!</v>
      </c>
      <c r="E71" t="e">
        <f t="shared" si="38"/>
        <v>#REF!</v>
      </c>
      <c r="F71" t="e">
        <f t="shared" si="39"/>
        <v>#REF!</v>
      </c>
      <c r="G71" t="e">
        <f t="shared" si="34"/>
        <v>#REF!</v>
      </c>
      <c r="J71" t="e">
        <f>Reflection!A71</f>
        <v>#REF!</v>
      </c>
      <c r="K71" t="e">
        <f t="shared" si="40"/>
        <v>#REF!</v>
      </c>
      <c r="L71" t="e">
        <f t="shared" si="35"/>
        <v>#REF!</v>
      </c>
      <c r="M71" t="e">
        <f t="shared" si="41"/>
        <v>#REF!</v>
      </c>
      <c r="N71" t="e">
        <f t="shared" si="42"/>
        <v>#REF!</v>
      </c>
      <c r="O71" t="e">
        <f t="shared" si="43"/>
        <v>#REF!</v>
      </c>
      <c r="P71" t="e">
        <f t="shared" si="44"/>
        <v>#REF!</v>
      </c>
      <c r="S71" t="e">
        <f>Reflection!A71</f>
        <v>#REF!</v>
      </c>
      <c r="T71" t="e">
        <f t="shared" si="45"/>
        <v>#REF!</v>
      </c>
      <c r="U71" t="e">
        <f t="shared" si="46"/>
        <v>#REF!</v>
      </c>
      <c r="V71" t="e">
        <f t="shared" si="47"/>
        <v>#REF!</v>
      </c>
      <c r="W71" t="e">
        <f t="shared" si="48"/>
        <v>#REF!</v>
      </c>
      <c r="X71" t="e">
        <f t="shared" si="49"/>
        <v>#REF!</v>
      </c>
      <c r="Y71" t="e">
        <f t="shared" si="50"/>
        <v>#REF!</v>
      </c>
      <c r="AB71" t="e">
        <f>Reflection!A71</f>
        <v>#REF!</v>
      </c>
      <c r="AC71" t="e">
        <f t="shared" si="51"/>
        <v>#REF!</v>
      </c>
      <c r="AD71" t="e">
        <f t="shared" si="52"/>
        <v>#REF!</v>
      </c>
      <c r="AE71" t="e">
        <f t="shared" si="53"/>
        <v>#REF!</v>
      </c>
      <c r="AF71" t="e">
        <f t="shared" si="54"/>
        <v>#REF!</v>
      </c>
      <c r="AG71" t="e">
        <f t="shared" si="55"/>
        <v>#REF!</v>
      </c>
      <c r="AH71" t="e">
        <f t="shared" si="56"/>
        <v>#REF!</v>
      </c>
      <c r="AK71" t="e">
        <f>Reflection!A71</f>
        <v>#REF!</v>
      </c>
      <c r="AL71" t="e">
        <f t="shared" si="57"/>
        <v>#REF!</v>
      </c>
      <c r="AM71" t="e">
        <f t="shared" si="36"/>
        <v>#REF!</v>
      </c>
      <c r="AN71" t="e">
        <f t="shared" si="58"/>
        <v>#REF!</v>
      </c>
      <c r="AO71" t="e">
        <f t="shared" si="59"/>
        <v>#REF!</v>
      </c>
      <c r="AP71" t="e">
        <f t="shared" si="60"/>
        <v>#REF!</v>
      </c>
      <c r="AQ71" t="e">
        <f t="shared" si="61"/>
        <v>#REF!</v>
      </c>
    </row>
    <row r="72" spans="1:43" x14ac:dyDescent="0.15">
      <c r="A72" t="e">
        <f>Reflection!A72</f>
        <v>#REF!</v>
      </c>
      <c r="B72" t="e">
        <f t="shared" si="32"/>
        <v>#REF!</v>
      </c>
      <c r="C72" t="e">
        <f t="shared" si="33"/>
        <v>#REF!</v>
      </c>
      <c r="D72" t="e">
        <f t="shared" si="37"/>
        <v>#REF!</v>
      </c>
      <c r="E72" t="e">
        <f t="shared" si="38"/>
        <v>#REF!</v>
      </c>
      <c r="F72" t="e">
        <f t="shared" si="39"/>
        <v>#REF!</v>
      </c>
      <c r="G72" t="e">
        <f t="shared" si="34"/>
        <v>#REF!</v>
      </c>
      <c r="J72" t="e">
        <f>Reflection!A72</f>
        <v>#REF!</v>
      </c>
      <c r="K72" t="e">
        <f t="shared" si="40"/>
        <v>#REF!</v>
      </c>
      <c r="L72" t="e">
        <f t="shared" si="35"/>
        <v>#REF!</v>
      </c>
      <c r="M72" t="e">
        <f t="shared" si="41"/>
        <v>#REF!</v>
      </c>
      <c r="N72" t="e">
        <f t="shared" si="42"/>
        <v>#REF!</v>
      </c>
      <c r="O72" t="e">
        <f t="shared" si="43"/>
        <v>#REF!</v>
      </c>
      <c r="P72" t="e">
        <f t="shared" si="44"/>
        <v>#REF!</v>
      </c>
      <c r="S72" t="e">
        <f>Reflection!A72</f>
        <v>#REF!</v>
      </c>
      <c r="T72" t="e">
        <f t="shared" si="45"/>
        <v>#REF!</v>
      </c>
      <c r="U72" t="e">
        <f t="shared" si="46"/>
        <v>#REF!</v>
      </c>
      <c r="V72" t="e">
        <f t="shared" si="47"/>
        <v>#REF!</v>
      </c>
      <c r="W72" t="e">
        <f t="shared" si="48"/>
        <v>#REF!</v>
      </c>
      <c r="X72" t="e">
        <f t="shared" si="49"/>
        <v>#REF!</v>
      </c>
      <c r="Y72" t="e">
        <f t="shared" si="50"/>
        <v>#REF!</v>
      </c>
      <c r="AB72" t="e">
        <f>Reflection!A72</f>
        <v>#REF!</v>
      </c>
      <c r="AC72" t="e">
        <f t="shared" si="51"/>
        <v>#REF!</v>
      </c>
      <c r="AD72" t="e">
        <f t="shared" si="52"/>
        <v>#REF!</v>
      </c>
      <c r="AE72" t="e">
        <f t="shared" si="53"/>
        <v>#REF!</v>
      </c>
      <c r="AF72" t="e">
        <f t="shared" si="54"/>
        <v>#REF!</v>
      </c>
      <c r="AG72" t="e">
        <f t="shared" si="55"/>
        <v>#REF!</v>
      </c>
      <c r="AH72" t="e">
        <f t="shared" si="56"/>
        <v>#REF!</v>
      </c>
      <c r="AK72" t="e">
        <f>Reflection!A72</f>
        <v>#REF!</v>
      </c>
      <c r="AL72" t="e">
        <f t="shared" si="57"/>
        <v>#REF!</v>
      </c>
      <c r="AM72" t="e">
        <f t="shared" si="36"/>
        <v>#REF!</v>
      </c>
      <c r="AN72" t="e">
        <f t="shared" si="58"/>
        <v>#REF!</v>
      </c>
      <c r="AO72" t="e">
        <f t="shared" si="59"/>
        <v>#REF!</v>
      </c>
      <c r="AP72" t="e">
        <f t="shared" si="60"/>
        <v>#REF!</v>
      </c>
      <c r="AQ72" t="e">
        <f t="shared" si="61"/>
        <v>#REF!</v>
      </c>
    </row>
    <row r="73" spans="1:43" x14ac:dyDescent="0.15">
      <c r="A73" t="e">
        <f>Reflection!A73</f>
        <v>#REF!</v>
      </c>
      <c r="B73" t="e">
        <f t="shared" si="32"/>
        <v>#REF!</v>
      </c>
      <c r="C73" t="e">
        <f t="shared" si="33"/>
        <v>#REF!</v>
      </c>
      <c r="D73" t="e">
        <f t="shared" si="37"/>
        <v>#REF!</v>
      </c>
      <c r="E73" t="e">
        <f t="shared" si="38"/>
        <v>#REF!</v>
      </c>
      <c r="F73" t="e">
        <f t="shared" si="39"/>
        <v>#REF!</v>
      </c>
      <c r="G73" t="e">
        <f t="shared" si="34"/>
        <v>#REF!</v>
      </c>
      <c r="J73" t="e">
        <f>Reflection!A73</f>
        <v>#REF!</v>
      </c>
      <c r="K73" t="e">
        <f t="shared" si="40"/>
        <v>#REF!</v>
      </c>
      <c r="L73" t="e">
        <f t="shared" si="35"/>
        <v>#REF!</v>
      </c>
      <c r="M73" t="e">
        <f t="shared" si="41"/>
        <v>#REF!</v>
      </c>
      <c r="N73" t="e">
        <f t="shared" si="42"/>
        <v>#REF!</v>
      </c>
      <c r="O73" t="e">
        <f t="shared" si="43"/>
        <v>#REF!</v>
      </c>
      <c r="P73" t="e">
        <f t="shared" si="44"/>
        <v>#REF!</v>
      </c>
      <c r="S73" t="e">
        <f>Reflection!A73</f>
        <v>#REF!</v>
      </c>
      <c r="T73" t="e">
        <f t="shared" si="45"/>
        <v>#REF!</v>
      </c>
      <c r="U73" t="e">
        <f t="shared" si="46"/>
        <v>#REF!</v>
      </c>
      <c r="V73" t="e">
        <f t="shared" si="47"/>
        <v>#REF!</v>
      </c>
      <c r="W73" t="e">
        <f t="shared" si="48"/>
        <v>#REF!</v>
      </c>
      <c r="X73" t="e">
        <f t="shared" si="49"/>
        <v>#REF!</v>
      </c>
      <c r="Y73" t="e">
        <f t="shared" si="50"/>
        <v>#REF!</v>
      </c>
      <c r="AB73" t="e">
        <f>Reflection!A73</f>
        <v>#REF!</v>
      </c>
      <c r="AC73" t="e">
        <f t="shared" si="51"/>
        <v>#REF!</v>
      </c>
      <c r="AD73" t="e">
        <f t="shared" si="52"/>
        <v>#REF!</v>
      </c>
      <c r="AE73" t="e">
        <f t="shared" si="53"/>
        <v>#REF!</v>
      </c>
      <c r="AF73" t="e">
        <f t="shared" si="54"/>
        <v>#REF!</v>
      </c>
      <c r="AG73" t="e">
        <f t="shared" si="55"/>
        <v>#REF!</v>
      </c>
      <c r="AH73" t="e">
        <f t="shared" si="56"/>
        <v>#REF!</v>
      </c>
      <c r="AK73" t="e">
        <f>Reflection!A73</f>
        <v>#REF!</v>
      </c>
      <c r="AL73" t="e">
        <f t="shared" si="57"/>
        <v>#REF!</v>
      </c>
      <c r="AM73" t="e">
        <f t="shared" si="36"/>
        <v>#REF!</v>
      </c>
      <c r="AN73" t="e">
        <f t="shared" si="58"/>
        <v>#REF!</v>
      </c>
      <c r="AO73" t="e">
        <f t="shared" si="59"/>
        <v>#REF!</v>
      </c>
      <c r="AP73" t="e">
        <f t="shared" si="60"/>
        <v>#REF!</v>
      </c>
      <c r="AQ73" t="e">
        <f t="shared" si="61"/>
        <v>#REF!</v>
      </c>
    </row>
    <row r="74" spans="1:43" x14ac:dyDescent="0.15">
      <c r="A74" t="e">
        <f>Reflection!A74</f>
        <v>#REF!</v>
      </c>
      <c r="B74" t="e">
        <f t="shared" si="32"/>
        <v>#REF!</v>
      </c>
      <c r="C74" t="e">
        <f t="shared" si="33"/>
        <v>#REF!</v>
      </c>
      <c r="D74" t="e">
        <f t="shared" si="37"/>
        <v>#REF!</v>
      </c>
      <c r="E74" t="e">
        <f t="shared" si="38"/>
        <v>#REF!</v>
      </c>
      <c r="F74" t="e">
        <f t="shared" si="39"/>
        <v>#REF!</v>
      </c>
      <c r="G74" t="e">
        <f t="shared" si="34"/>
        <v>#REF!</v>
      </c>
      <c r="J74" t="e">
        <f>Reflection!A74</f>
        <v>#REF!</v>
      </c>
      <c r="K74" t="e">
        <f t="shared" si="40"/>
        <v>#REF!</v>
      </c>
      <c r="L74" t="e">
        <f t="shared" si="35"/>
        <v>#REF!</v>
      </c>
      <c r="M74" t="e">
        <f t="shared" si="41"/>
        <v>#REF!</v>
      </c>
      <c r="N74" t="e">
        <f t="shared" si="42"/>
        <v>#REF!</v>
      </c>
      <c r="O74" t="e">
        <f t="shared" si="43"/>
        <v>#REF!</v>
      </c>
      <c r="P74" t="e">
        <f t="shared" si="44"/>
        <v>#REF!</v>
      </c>
      <c r="S74" t="e">
        <f>Reflection!A74</f>
        <v>#REF!</v>
      </c>
      <c r="T74" t="e">
        <f t="shared" si="45"/>
        <v>#REF!</v>
      </c>
      <c r="U74" t="e">
        <f t="shared" si="46"/>
        <v>#REF!</v>
      </c>
      <c r="V74" t="e">
        <f t="shared" si="47"/>
        <v>#REF!</v>
      </c>
      <c r="W74" t="e">
        <f t="shared" si="48"/>
        <v>#REF!</v>
      </c>
      <c r="X74" t="e">
        <f t="shared" si="49"/>
        <v>#REF!</v>
      </c>
      <c r="Y74" t="e">
        <f t="shared" si="50"/>
        <v>#REF!</v>
      </c>
      <c r="AB74" t="e">
        <f>Reflection!A74</f>
        <v>#REF!</v>
      </c>
      <c r="AC74" t="e">
        <f t="shared" si="51"/>
        <v>#REF!</v>
      </c>
      <c r="AD74" t="e">
        <f t="shared" si="52"/>
        <v>#REF!</v>
      </c>
      <c r="AE74" t="e">
        <f t="shared" si="53"/>
        <v>#REF!</v>
      </c>
      <c r="AF74" t="e">
        <f t="shared" si="54"/>
        <v>#REF!</v>
      </c>
      <c r="AG74" t="e">
        <f t="shared" si="55"/>
        <v>#REF!</v>
      </c>
      <c r="AH74" t="e">
        <f t="shared" si="56"/>
        <v>#REF!</v>
      </c>
      <c r="AK74" t="e">
        <f>Reflection!A74</f>
        <v>#REF!</v>
      </c>
      <c r="AL74" t="e">
        <f t="shared" si="57"/>
        <v>#REF!</v>
      </c>
      <c r="AM74" t="e">
        <f t="shared" si="36"/>
        <v>#REF!</v>
      </c>
      <c r="AN74" t="e">
        <f t="shared" si="58"/>
        <v>#REF!</v>
      </c>
      <c r="AO74" t="e">
        <f t="shared" si="59"/>
        <v>#REF!</v>
      </c>
      <c r="AP74" t="e">
        <f t="shared" si="60"/>
        <v>#REF!</v>
      </c>
      <c r="AQ74" t="e">
        <f t="shared" si="61"/>
        <v>#REF!</v>
      </c>
    </row>
    <row r="75" spans="1:43" x14ac:dyDescent="0.15">
      <c r="A75" t="e">
        <f>Reflection!A75</f>
        <v>#REF!</v>
      </c>
      <c r="B75" t="e">
        <f t="shared" si="32"/>
        <v>#REF!</v>
      </c>
      <c r="C75" t="e">
        <f t="shared" si="33"/>
        <v>#REF!</v>
      </c>
      <c r="D75" t="e">
        <f t="shared" si="37"/>
        <v>#REF!</v>
      </c>
      <c r="E75" t="e">
        <f t="shared" si="38"/>
        <v>#REF!</v>
      </c>
      <c r="F75" t="e">
        <f t="shared" si="39"/>
        <v>#REF!</v>
      </c>
      <c r="G75" t="e">
        <f t="shared" si="34"/>
        <v>#REF!</v>
      </c>
      <c r="J75" t="e">
        <f>Reflection!A75</f>
        <v>#REF!</v>
      </c>
      <c r="K75" t="e">
        <f t="shared" si="40"/>
        <v>#REF!</v>
      </c>
      <c r="L75" t="e">
        <f t="shared" si="35"/>
        <v>#REF!</v>
      </c>
      <c r="M75" t="e">
        <f t="shared" si="41"/>
        <v>#REF!</v>
      </c>
      <c r="N75" t="e">
        <f t="shared" si="42"/>
        <v>#REF!</v>
      </c>
      <c r="O75" t="e">
        <f t="shared" si="43"/>
        <v>#REF!</v>
      </c>
      <c r="P75" t="e">
        <f t="shared" si="44"/>
        <v>#REF!</v>
      </c>
      <c r="S75" t="e">
        <f>Reflection!A75</f>
        <v>#REF!</v>
      </c>
      <c r="T75" t="e">
        <f t="shared" si="45"/>
        <v>#REF!</v>
      </c>
      <c r="U75" t="e">
        <f t="shared" si="46"/>
        <v>#REF!</v>
      </c>
      <c r="V75" t="e">
        <f t="shared" si="47"/>
        <v>#REF!</v>
      </c>
      <c r="W75" t="e">
        <f t="shared" si="48"/>
        <v>#REF!</v>
      </c>
      <c r="X75" t="e">
        <f t="shared" si="49"/>
        <v>#REF!</v>
      </c>
      <c r="Y75" t="e">
        <f t="shared" si="50"/>
        <v>#REF!</v>
      </c>
      <c r="AB75" t="e">
        <f>Reflection!A75</f>
        <v>#REF!</v>
      </c>
      <c r="AC75" t="e">
        <f t="shared" si="51"/>
        <v>#REF!</v>
      </c>
      <c r="AD75" t="e">
        <f t="shared" si="52"/>
        <v>#REF!</v>
      </c>
      <c r="AE75" t="e">
        <f t="shared" si="53"/>
        <v>#REF!</v>
      </c>
      <c r="AF75" t="e">
        <f t="shared" si="54"/>
        <v>#REF!</v>
      </c>
      <c r="AG75" t="e">
        <f t="shared" si="55"/>
        <v>#REF!</v>
      </c>
      <c r="AH75" t="e">
        <f t="shared" si="56"/>
        <v>#REF!</v>
      </c>
      <c r="AK75" t="e">
        <f>Reflection!A75</f>
        <v>#REF!</v>
      </c>
      <c r="AL75" t="e">
        <f t="shared" si="57"/>
        <v>#REF!</v>
      </c>
      <c r="AM75" t="e">
        <f t="shared" si="36"/>
        <v>#REF!</v>
      </c>
      <c r="AN75" t="e">
        <f t="shared" si="58"/>
        <v>#REF!</v>
      </c>
      <c r="AO75" t="e">
        <f t="shared" si="59"/>
        <v>#REF!</v>
      </c>
      <c r="AP75" t="e">
        <f t="shared" si="60"/>
        <v>#REF!</v>
      </c>
      <c r="AQ75" t="e">
        <f t="shared" si="61"/>
        <v>#REF!</v>
      </c>
    </row>
    <row r="76" spans="1:43" x14ac:dyDescent="0.15">
      <c r="A76" t="e">
        <f>Reflection!A76</f>
        <v>#REF!</v>
      </c>
      <c r="B76" t="e">
        <f t="shared" si="32"/>
        <v>#REF!</v>
      </c>
      <c r="C76" t="e">
        <f t="shared" si="33"/>
        <v>#REF!</v>
      </c>
      <c r="D76" t="e">
        <f t="shared" si="37"/>
        <v>#REF!</v>
      </c>
      <c r="E76" t="e">
        <f t="shared" si="38"/>
        <v>#REF!</v>
      </c>
      <c r="F76" t="e">
        <f t="shared" si="39"/>
        <v>#REF!</v>
      </c>
      <c r="G76" t="e">
        <f t="shared" si="34"/>
        <v>#REF!</v>
      </c>
      <c r="J76" t="e">
        <f>Reflection!A76</f>
        <v>#REF!</v>
      </c>
      <c r="K76" t="e">
        <f t="shared" si="40"/>
        <v>#REF!</v>
      </c>
      <c r="L76" t="e">
        <f t="shared" si="35"/>
        <v>#REF!</v>
      </c>
      <c r="M76" t="e">
        <f t="shared" si="41"/>
        <v>#REF!</v>
      </c>
      <c r="N76" t="e">
        <f t="shared" si="42"/>
        <v>#REF!</v>
      </c>
      <c r="O76" t="e">
        <f t="shared" si="43"/>
        <v>#REF!</v>
      </c>
      <c r="P76" t="e">
        <f t="shared" si="44"/>
        <v>#REF!</v>
      </c>
      <c r="S76" t="e">
        <f>Reflection!A76</f>
        <v>#REF!</v>
      </c>
      <c r="T76" t="e">
        <f t="shared" si="45"/>
        <v>#REF!</v>
      </c>
      <c r="U76" t="e">
        <f t="shared" si="46"/>
        <v>#REF!</v>
      </c>
      <c r="V76" t="e">
        <f t="shared" si="47"/>
        <v>#REF!</v>
      </c>
      <c r="W76" t="e">
        <f t="shared" si="48"/>
        <v>#REF!</v>
      </c>
      <c r="X76" t="e">
        <f t="shared" si="49"/>
        <v>#REF!</v>
      </c>
      <c r="Y76" t="e">
        <f t="shared" si="50"/>
        <v>#REF!</v>
      </c>
      <c r="AB76" t="e">
        <f>Reflection!A76</f>
        <v>#REF!</v>
      </c>
      <c r="AC76" t="e">
        <f t="shared" si="51"/>
        <v>#REF!</v>
      </c>
      <c r="AD76" t="e">
        <f t="shared" si="52"/>
        <v>#REF!</v>
      </c>
      <c r="AE76" t="e">
        <f t="shared" si="53"/>
        <v>#REF!</v>
      </c>
      <c r="AF76" t="e">
        <f t="shared" si="54"/>
        <v>#REF!</v>
      </c>
      <c r="AG76" t="e">
        <f t="shared" si="55"/>
        <v>#REF!</v>
      </c>
      <c r="AH76" t="e">
        <f t="shared" si="56"/>
        <v>#REF!</v>
      </c>
      <c r="AK76" t="e">
        <f>Reflection!A76</f>
        <v>#REF!</v>
      </c>
      <c r="AL76" t="e">
        <f t="shared" si="57"/>
        <v>#REF!</v>
      </c>
      <c r="AM76" t="e">
        <f t="shared" si="36"/>
        <v>#REF!</v>
      </c>
      <c r="AN76" t="e">
        <f t="shared" si="58"/>
        <v>#REF!</v>
      </c>
      <c r="AO76" t="e">
        <f t="shared" si="59"/>
        <v>#REF!</v>
      </c>
      <c r="AP76" t="e">
        <f t="shared" si="60"/>
        <v>#REF!</v>
      </c>
      <c r="AQ76" t="e">
        <f t="shared" si="61"/>
        <v>#REF!</v>
      </c>
    </row>
    <row r="77" spans="1:43" x14ac:dyDescent="0.15">
      <c r="A77" t="e">
        <f>Reflection!A77</f>
        <v>#REF!</v>
      </c>
      <c r="B77" t="e">
        <f t="shared" si="32"/>
        <v>#REF!</v>
      </c>
      <c r="C77" t="e">
        <f t="shared" si="33"/>
        <v>#REF!</v>
      </c>
      <c r="D77" t="e">
        <f t="shared" si="37"/>
        <v>#REF!</v>
      </c>
      <c r="E77" t="e">
        <f t="shared" si="38"/>
        <v>#REF!</v>
      </c>
      <c r="F77" t="e">
        <f t="shared" si="39"/>
        <v>#REF!</v>
      </c>
      <c r="G77" t="e">
        <f t="shared" si="34"/>
        <v>#REF!</v>
      </c>
      <c r="J77" t="e">
        <f>Reflection!A77</f>
        <v>#REF!</v>
      </c>
      <c r="K77" t="e">
        <f t="shared" si="40"/>
        <v>#REF!</v>
      </c>
      <c r="L77" t="e">
        <f t="shared" si="35"/>
        <v>#REF!</v>
      </c>
      <c r="M77" t="e">
        <f t="shared" si="41"/>
        <v>#REF!</v>
      </c>
      <c r="N77" t="e">
        <f t="shared" si="42"/>
        <v>#REF!</v>
      </c>
      <c r="O77" t="e">
        <f t="shared" si="43"/>
        <v>#REF!</v>
      </c>
      <c r="P77" t="e">
        <f t="shared" si="44"/>
        <v>#REF!</v>
      </c>
      <c r="S77" t="e">
        <f>Reflection!A77</f>
        <v>#REF!</v>
      </c>
      <c r="T77" t="e">
        <f t="shared" si="45"/>
        <v>#REF!</v>
      </c>
      <c r="U77" t="e">
        <f t="shared" si="46"/>
        <v>#REF!</v>
      </c>
      <c r="V77" t="e">
        <f t="shared" si="47"/>
        <v>#REF!</v>
      </c>
      <c r="W77" t="e">
        <f t="shared" si="48"/>
        <v>#REF!</v>
      </c>
      <c r="X77" t="e">
        <f t="shared" si="49"/>
        <v>#REF!</v>
      </c>
      <c r="Y77" t="e">
        <f t="shared" si="50"/>
        <v>#REF!</v>
      </c>
      <c r="AB77" t="e">
        <f>Reflection!A77</f>
        <v>#REF!</v>
      </c>
      <c r="AC77" t="e">
        <f t="shared" si="51"/>
        <v>#REF!</v>
      </c>
      <c r="AD77" t="e">
        <f t="shared" si="52"/>
        <v>#REF!</v>
      </c>
      <c r="AE77" t="e">
        <f t="shared" si="53"/>
        <v>#REF!</v>
      </c>
      <c r="AF77" t="e">
        <f t="shared" si="54"/>
        <v>#REF!</v>
      </c>
      <c r="AG77" t="e">
        <f t="shared" si="55"/>
        <v>#REF!</v>
      </c>
      <c r="AH77" t="e">
        <f t="shared" si="56"/>
        <v>#REF!</v>
      </c>
      <c r="AK77" t="e">
        <f>Reflection!A77</f>
        <v>#REF!</v>
      </c>
      <c r="AL77" t="e">
        <f t="shared" si="57"/>
        <v>#REF!</v>
      </c>
      <c r="AM77" t="e">
        <f t="shared" si="36"/>
        <v>#REF!</v>
      </c>
      <c r="AN77" t="e">
        <f t="shared" si="58"/>
        <v>#REF!</v>
      </c>
      <c r="AO77" t="e">
        <f t="shared" si="59"/>
        <v>#REF!</v>
      </c>
      <c r="AP77" t="e">
        <f t="shared" si="60"/>
        <v>#REF!</v>
      </c>
      <c r="AQ77" t="e">
        <f t="shared" si="61"/>
        <v>#REF!</v>
      </c>
    </row>
    <row r="78" spans="1:43" x14ac:dyDescent="0.15">
      <c r="A78" t="e">
        <f>Reflection!A78</f>
        <v>#REF!</v>
      </c>
      <c r="B78" t="e">
        <f t="shared" si="32"/>
        <v>#REF!</v>
      </c>
      <c r="C78" t="e">
        <f t="shared" si="33"/>
        <v>#REF!</v>
      </c>
      <c r="D78" t="e">
        <f t="shared" si="37"/>
        <v>#REF!</v>
      </c>
      <c r="E78" t="e">
        <f t="shared" si="38"/>
        <v>#REF!</v>
      </c>
      <c r="F78" t="e">
        <f t="shared" si="39"/>
        <v>#REF!</v>
      </c>
      <c r="G78" t="e">
        <f t="shared" si="34"/>
        <v>#REF!</v>
      </c>
      <c r="J78" t="e">
        <f>Reflection!A78</f>
        <v>#REF!</v>
      </c>
      <c r="K78" t="e">
        <f t="shared" si="40"/>
        <v>#REF!</v>
      </c>
      <c r="L78" t="e">
        <f t="shared" si="35"/>
        <v>#REF!</v>
      </c>
      <c r="M78" t="e">
        <f t="shared" si="41"/>
        <v>#REF!</v>
      </c>
      <c r="N78" t="e">
        <f t="shared" si="42"/>
        <v>#REF!</v>
      </c>
      <c r="O78" t="e">
        <f t="shared" si="43"/>
        <v>#REF!</v>
      </c>
      <c r="P78" t="e">
        <f t="shared" si="44"/>
        <v>#REF!</v>
      </c>
      <c r="S78" t="e">
        <f>Reflection!A78</f>
        <v>#REF!</v>
      </c>
      <c r="T78" t="e">
        <f t="shared" si="45"/>
        <v>#REF!</v>
      </c>
      <c r="U78" t="e">
        <f t="shared" si="46"/>
        <v>#REF!</v>
      </c>
      <c r="V78" t="e">
        <f t="shared" si="47"/>
        <v>#REF!</v>
      </c>
      <c r="W78" t="e">
        <f t="shared" si="48"/>
        <v>#REF!</v>
      </c>
      <c r="X78" t="e">
        <f t="shared" si="49"/>
        <v>#REF!</v>
      </c>
      <c r="Y78" t="e">
        <f t="shared" si="50"/>
        <v>#REF!</v>
      </c>
      <c r="AB78" t="e">
        <f>Reflection!A78</f>
        <v>#REF!</v>
      </c>
      <c r="AC78" t="e">
        <f t="shared" si="51"/>
        <v>#REF!</v>
      </c>
      <c r="AD78" t="e">
        <f t="shared" si="52"/>
        <v>#REF!</v>
      </c>
      <c r="AE78" t="e">
        <f t="shared" si="53"/>
        <v>#REF!</v>
      </c>
      <c r="AF78" t="e">
        <f t="shared" si="54"/>
        <v>#REF!</v>
      </c>
      <c r="AG78" t="e">
        <f t="shared" si="55"/>
        <v>#REF!</v>
      </c>
      <c r="AH78" t="e">
        <f t="shared" si="56"/>
        <v>#REF!</v>
      </c>
      <c r="AK78" t="e">
        <f>Reflection!A78</f>
        <v>#REF!</v>
      </c>
      <c r="AL78" t="e">
        <f t="shared" si="57"/>
        <v>#REF!</v>
      </c>
      <c r="AM78" t="e">
        <f t="shared" si="36"/>
        <v>#REF!</v>
      </c>
      <c r="AN78" t="e">
        <f t="shared" si="58"/>
        <v>#REF!</v>
      </c>
      <c r="AO78" t="e">
        <f t="shared" si="59"/>
        <v>#REF!</v>
      </c>
      <c r="AP78" t="e">
        <f t="shared" si="60"/>
        <v>#REF!</v>
      </c>
      <c r="AQ78" t="e">
        <f t="shared" si="61"/>
        <v>#REF!</v>
      </c>
    </row>
    <row r="79" spans="1:43" x14ac:dyDescent="0.15">
      <c r="A79" t="e">
        <f>Reflection!A79</f>
        <v>#REF!</v>
      </c>
      <c r="B79" t="e">
        <f t="shared" si="32"/>
        <v>#REF!</v>
      </c>
      <c r="C79" t="e">
        <f t="shared" si="33"/>
        <v>#REF!</v>
      </c>
      <c r="D79" t="e">
        <f t="shared" si="37"/>
        <v>#REF!</v>
      </c>
      <c r="E79" t="e">
        <f t="shared" si="38"/>
        <v>#REF!</v>
      </c>
      <c r="F79" t="e">
        <f t="shared" si="39"/>
        <v>#REF!</v>
      </c>
      <c r="G79" t="e">
        <f t="shared" si="34"/>
        <v>#REF!</v>
      </c>
      <c r="J79" t="e">
        <f>Reflection!A79</f>
        <v>#REF!</v>
      </c>
      <c r="K79" t="e">
        <f t="shared" si="40"/>
        <v>#REF!</v>
      </c>
      <c r="L79" t="e">
        <f t="shared" si="35"/>
        <v>#REF!</v>
      </c>
      <c r="M79" t="e">
        <f t="shared" si="41"/>
        <v>#REF!</v>
      </c>
      <c r="N79" t="e">
        <f t="shared" si="42"/>
        <v>#REF!</v>
      </c>
      <c r="O79" t="e">
        <f t="shared" si="43"/>
        <v>#REF!</v>
      </c>
      <c r="P79" t="e">
        <f t="shared" si="44"/>
        <v>#REF!</v>
      </c>
      <c r="S79" t="e">
        <f>Reflection!A79</f>
        <v>#REF!</v>
      </c>
      <c r="T79" t="e">
        <f t="shared" si="45"/>
        <v>#REF!</v>
      </c>
      <c r="U79" t="e">
        <f t="shared" si="46"/>
        <v>#REF!</v>
      </c>
      <c r="V79" t="e">
        <f t="shared" si="47"/>
        <v>#REF!</v>
      </c>
      <c r="W79" t="e">
        <f t="shared" si="48"/>
        <v>#REF!</v>
      </c>
      <c r="X79" t="e">
        <f t="shared" si="49"/>
        <v>#REF!</v>
      </c>
      <c r="Y79" t="e">
        <f t="shared" si="50"/>
        <v>#REF!</v>
      </c>
      <c r="AB79" t="e">
        <f>Reflection!A79</f>
        <v>#REF!</v>
      </c>
      <c r="AC79" t="e">
        <f t="shared" si="51"/>
        <v>#REF!</v>
      </c>
      <c r="AD79" t="e">
        <f t="shared" si="52"/>
        <v>#REF!</v>
      </c>
      <c r="AE79" t="e">
        <f t="shared" si="53"/>
        <v>#REF!</v>
      </c>
      <c r="AF79" t="e">
        <f t="shared" si="54"/>
        <v>#REF!</v>
      </c>
      <c r="AG79" t="e">
        <f t="shared" si="55"/>
        <v>#REF!</v>
      </c>
      <c r="AH79" t="e">
        <f t="shared" si="56"/>
        <v>#REF!</v>
      </c>
      <c r="AK79" t="e">
        <f>Reflection!A79</f>
        <v>#REF!</v>
      </c>
      <c r="AL79" t="e">
        <f t="shared" si="57"/>
        <v>#REF!</v>
      </c>
      <c r="AM79" t="e">
        <f t="shared" si="36"/>
        <v>#REF!</v>
      </c>
      <c r="AN79" t="e">
        <f t="shared" si="58"/>
        <v>#REF!</v>
      </c>
      <c r="AO79" t="e">
        <f t="shared" si="59"/>
        <v>#REF!</v>
      </c>
      <c r="AP79" t="e">
        <f t="shared" si="60"/>
        <v>#REF!</v>
      </c>
      <c r="AQ79" t="e">
        <f t="shared" si="61"/>
        <v>#REF!</v>
      </c>
    </row>
    <row r="80" spans="1:43" x14ac:dyDescent="0.15">
      <c r="A80" t="e">
        <f>Reflection!A80</f>
        <v>#REF!</v>
      </c>
      <c r="B80" t="e">
        <f t="shared" si="32"/>
        <v>#REF!</v>
      </c>
      <c r="C80" t="e">
        <f t="shared" si="33"/>
        <v>#REF!</v>
      </c>
      <c r="D80" t="e">
        <f t="shared" si="37"/>
        <v>#REF!</v>
      </c>
      <c r="E80" t="e">
        <f t="shared" si="38"/>
        <v>#REF!</v>
      </c>
      <c r="F80" t="e">
        <f t="shared" si="39"/>
        <v>#REF!</v>
      </c>
      <c r="G80" t="e">
        <f t="shared" si="34"/>
        <v>#REF!</v>
      </c>
      <c r="J80" t="e">
        <f>Reflection!A80</f>
        <v>#REF!</v>
      </c>
      <c r="K80" t="e">
        <f t="shared" si="40"/>
        <v>#REF!</v>
      </c>
      <c r="L80" t="e">
        <f t="shared" si="35"/>
        <v>#REF!</v>
      </c>
      <c r="M80" t="e">
        <f t="shared" si="41"/>
        <v>#REF!</v>
      </c>
      <c r="N80" t="e">
        <f t="shared" si="42"/>
        <v>#REF!</v>
      </c>
      <c r="O80" t="e">
        <f t="shared" si="43"/>
        <v>#REF!</v>
      </c>
      <c r="P80" t="e">
        <f t="shared" si="44"/>
        <v>#REF!</v>
      </c>
      <c r="S80" t="e">
        <f>Reflection!A80</f>
        <v>#REF!</v>
      </c>
      <c r="T80" t="e">
        <f t="shared" si="45"/>
        <v>#REF!</v>
      </c>
      <c r="U80" t="e">
        <f t="shared" si="46"/>
        <v>#REF!</v>
      </c>
      <c r="V80" t="e">
        <f t="shared" si="47"/>
        <v>#REF!</v>
      </c>
      <c r="W80" t="e">
        <f t="shared" si="48"/>
        <v>#REF!</v>
      </c>
      <c r="X80" t="e">
        <f t="shared" si="49"/>
        <v>#REF!</v>
      </c>
      <c r="Y80" t="e">
        <f t="shared" si="50"/>
        <v>#REF!</v>
      </c>
      <c r="AB80" t="e">
        <f>Reflection!A80</f>
        <v>#REF!</v>
      </c>
      <c r="AC80" t="e">
        <f t="shared" si="51"/>
        <v>#REF!</v>
      </c>
      <c r="AD80" t="e">
        <f t="shared" si="52"/>
        <v>#REF!</v>
      </c>
      <c r="AE80" t="e">
        <f t="shared" si="53"/>
        <v>#REF!</v>
      </c>
      <c r="AF80" t="e">
        <f t="shared" si="54"/>
        <v>#REF!</v>
      </c>
      <c r="AG80" t="e">
        <f t="shared" si="55"/>
        <v>#REF!</v>
      </c>
      <c r="AH80" t="e">
        <f t="shared" si="56"/>
        <v>#REF!</v>
      </c>
      <c r="AK80" t="e">
        <f>Reflection!A80</f>
        <v>#REF!</v>
      </c>
      <c r="AL80" t="e">
        <f t="shared" si="57"/>
        <v>#REF!</v>
      </c>
      <c r="AM80" t="e">
        <f t="shared" si="36"/>
        <v>#REF!</v>
      </c>
      <c r="AN80" t="e">
        <f t="shared" si="58"/>
        <v>#REF!</v>
      </c>
      <c r="AO80" t="e">
        <f t="shared" si="59"/>
        <v>#REF!</v>
      </c>
      <c r="AP80" t="e">
        <f t="shared" si="60"/>
        <v>#REF!</v>
      </c>
      <c r="AQ80" t="e">
        <f t="shared" si="61"/>
        <v>#REF!</v>
      </c>
    </row>
    <row r="81" spans="1:43" x14ac:dyDescent="0.15">
      <c r="A81" t="e">
        <f>Reflection!A81</f>
        <v>#REF!</v>
      </c>
      <c r="B81" t="e">
        <f t="shared" si="32"/>
        <v>#REF!</v>
      </c>
      <c r="C81" t="e">
        <f t="shared" si="33"/>
        <v>#REF!</v>
      </c>
      <c r="D81" t="e">
        <f t="shared" si="37"/>
        <v>#REF!</v>
      </c>
      <c r="E81" t="e">
        <f t="shared" si="38"/>
        <v>#REF!</v>
      </c>
      <c r="F81" t="e">
        <f t="shared" si="39"/>
        <v>#REF!</v>
      </c>
      <c r="G81" t="e">
        <f t="shared" si="34"/>
        <v>#REF!</v>
      </c>
      <c r="J81" t="e">
        <f>Reflection!A81</f>
        <v>#REF!</v>
      </c>
      <c r="K81" t="e">
        <f t="shared" si="40"/>
        <v>#REF!</v>
      </c>
      <c r="L81" t="e">
        <f t="shared" si="35"/>
        <v>#REF!</v>
      </c>
      <c r="M81" t="e">
        <f t="shared" si="41"/>
        <v>#REF!</v>
      </c>
      <c r="N81" t="e">
        <f t="shared" si="42"/>
        <v>#REF!</v>
      </c>
      <c r="O81" t="e">
        <f t="shared" si="43"/>
        <v>#REF!</v>
      </c>
      <c r="P81" t="e">
        <f t="shared" si="44"/>
        <v>#REF!</v>
      </c>
      <c r="S81" t="e">
        <f>Reflection!A81</f>
        <v>#REF!</v>
      </c>
      <c r="T81" t="e">
        <f t="shared" si="45"/>
        <v>#REF!</v>
      </c>
      <c r="U81" t="e">
        <f t="shared" si="46"/>
        <v>#REF!</v>
      </c>
      <c r="V81" t="e">
        <f t="shared" si="47"/>
        <v>#REF!</v>
      </c>
      <c r="W81" t="e">
        <f t="shared" si="48"/>
        <v>#REF!</v>
      </c>
      <c r="X81" t="e">
        <f t="shared" si="49"/>
        <v>#REF!</v>
      </c>
      <c r="Y81" t="e">
        <f t="shared" si="50"/>
        <v>#REF!</v>
      </c>
      <c r="AB81" t="e">
        <f>Reflection!A81</f>
        <v>#REF!</v>
      </c>
      <c r="AC81" t="e">
        <f t="shared" si="51"/>
        <v>#REF!</v>
      </c>
      <c r="AD81" t="e">
        <f t="shared" si="52"/>
        <v>#REF!</v>
      </c>
      <c r="AE81" t="e">
        <f t="shared" si="53"/>
        <v>#REF!</v>
      </c>
      <c r="AF81" t="e">
        <f t="shared" si="54"/>
        <v>#REF!</v>
      </c>
      <c r="AG81" t="e">
        <f t="shared" si="55"/>
        <v>#REF!</v>
      </c>
      <c r="AH81" t="e">
        <f t="shared" si="56"/>
        <v>#REF!</v>
      </c>
      <c r="AK81" t="e">
        <f>Reflection!A81</f>
        <v>#REF!</v>
      </c>
      <c r="AL81" t="e">
        <f t="shared" si="57"/>
        <v>#REF!</v>
      </c>
      <c r="AM81" t="e">
        <f t="shared" si="36"/>
        <v>#REF!</v>
      </c>
      <c r="AN81" t="e">
        <f t="shared" si="58"/>
        <v>#REF!</v>
      </c>
      <c r="AO81" t="e">
        <f t="shared" si="59"/>
        <v>#REF!</v>
      </c>
      <c r="AP81" t="e">
        <f t="shared" si="60"/>
        <v>#REF!</v>
      </c>
      <c r="AQ81" t="e">
        <f t="shared" si="61"/>
        <v>#REF!</v>
      </c>
    </row>
    <row r="82" spans="1:43" x14ac:dyDescent="0.15">
      <c r="A82" t="e">
        <f>Reflection!A82</f>
        <v>#REF!</v>
      </c>
      <c r="B82" t="e">
        <f t="shared" si="32"/>
        <v>#REF!</v>
      </c>
      <c r="C82" t="e">
        <f t="shared" si="33"/>
        <v>#REF!</v>
      </c>
      <c r="D82" t="e">
        <f t="shared" si="37"/>
        <v>#REF!</v>
      </c>
      <c r="E82" t="e">
        <f t="shared" si="38"/>
        <v>#REF!</v>
      </c>
      <c r="F82" t="e">
        <f t="shared" si="39"/>
        <v>#REF!</v>
      </c>
      <c r="G82" t="e">
        <f t="shared" si="34"/>
        <v>#REF!</v>
      </c>
      <c r="J82" t="e">
        <f>Reflection!A82</f>
        <v>#REF!</v>
      </c>
      <c r="K82" t="e">
        <f t="shared" si="40"/>
        <v>#REF!</v>
      </c>
      <c r="L82" t="e">
        <f t="shared" si="35"/>
        <v>#REF!</v>
      </c>
      <c r="M82" t="e">
        <f t="shared" si="41"/>
        <v>#REF!</v>
      </c>
      <c r="N82" t="e">
        <f t="shared" si="42"/>
        <v>#REF!</v>
      </c>
      <c r="O82" t="e">
        <f t="shared" si="43"/>
        <v>#REF!</v>
      </c>
      <c r="P82" t="e">
        <f t="shared" si="44"/>
        <v>#REF!</v>
      </c>
      <c r="S82" t="e">
        <f>Reflection!A82</f>
        <v>#REF!</v>
      </c>
      <c r="T82" t="e">
        <f t="shared" si="45"/>
        <v>#REF!</v>
      </c>
      <c r="U82" t="e">
        <f t="shared" si="46"/>
        <v>#REF!</v>
      </c>
      <c r="V82" t="e">
        <f t="shared" si="47"/>
        <v>#REF!</v>
      </c>
      <c r="W82" t="e">
        <f t="shared" si="48"/>
        <v>#REF!</v>
      </c>
      <c r="X82" t="e">
        <f t="shared" si="49"/>
        <v>#REF!</v>
      </c>
      <c r="Y82" t="e">
        <f t="shared" si="50"/>
        <v>#REF!</v>
      </c>
      <c r="AB82" t="e">
        <f>Reflection!A82</f>
        <v>#REF!</v>
      </c>
      <c r="AC82" t="e">
        <f t="shared" si="51"/>
        <v>#REF!</v>
      </c>
      <c r="AD82" t="e">
        <f t="shared" si="52"/>
        <v>#REF!</v>
      </c>
      <c r="AE82" t="e">
        <f t="shared" si="53"/>
        <v>#REF!</v>
      </c>
      <c r="AF82" t="e">
        <f t="shared" si="54"/>
        <v>#REF!</v>
      </c>
      <c r="AG82" t="e">
        <f t="shared" si="55"/>
        <v>#REF!</v>
      </c>
      <c r="AH82" t="e">
        <f t="shared" si="56"/>
        <v>#REF!</v>
      </c>
      <c r="AK82" t="e">
        <f>Reflection!A82</f>
        <v>#REF!</v>
      </c>
      <c r="AL82" t="e">
        <f t="shared" si="57"/>
        <v>#REF!</v>
      </c>
      <c r="AM82" t="e">
        <f t="shared" si="36"/>
        <v>#REF!</v>
      </c>
      <c r="AN82" t="e">
        <f t="shared" si="58"/>
        <v>#REF!</v>
      </c>
      <c r="AO82" t="e">
        <f t="shared" si="59"/>
        <v>#REF!</v>
      </c>
      <c r="AP82" t="e">
        <f t="shared" si="60"/>
        <v>#REF!</v>
      </c>
      <c r="AQ82" t="e">
        <f t="shared" si="61"/>
        <v>#REF!</v>
      </c>
    </row>
    <row r="83" spans="1:43" x14ac:dyDescent="0.15">
      <c r="A83" t="e">
        <f>Reflection!A83</f>
        <v>#REF!</v>
      </c>
      <c r="B83" t="e">
        <f t="shared" si="32"/>
        <v>#REF!</v>
      </c>
      <c r="C83" t="e">
        <f t="shared" si="33"/>
        <v>#REF!</v>
      </c>
      <c r="D83" t="e">
        <f t="shared" si="37"/>
        <v>#REF!</v>
      </c>
      <c r="E83" t="e">
        <f t="shared" si="38"/>
        <v>#REF!</v>
      </c>
      <c r="F83" t="e">
        <f t="shared" si="39"/>
        <v>#REF!</v>
      </c>
      <c r="G83" t="e">
        <f t="shared" si="34"/>
        <v>#REF!</v>
      </c>
      <c r="J83" t="e">
        <f>Reflection!A83</f>
        <v>#REF!</v>
      </c>
      <c r="K83" t="e">
        <f t="shared" si="40"/>
        <v>#REF!</v>
      </c>
      <c r="L83" t="e">
        <f t="shared" si="35"/>
        <v>#REF!</v>
      </c>
      <c r="M83" t="e">
        <f t="shared" si="41"/>
        <v>#REF!</v>
      </c>
      <c r="N83" t="e">
        <f t="shared" si="42"/>
        <v>#REF!</v>
      </c>
      <c r="O83" t="e">
        <f t="shared" si="43"/>
        <v>#REF!</v>
      </c>
      <c r="P83" t="e">
        <f t="shared" si="44"/>
        <v>#REF!</v>
      </c>
      <c r="S83" t="e">
        <f>Reflection!A83</f>
        <v>#REF!</v>
      </c>
      <c r="T83" t="e">
        <f t="shared" si="45"/>
        <v>#REF!</v>
      </c>
      <c r="U83" t="e">
        <f t="shared" si="46"/>
        <v>#REF!</v>
      </c>
      <c r="V83" t="e">
        <f t="shared" si="47"/>
        <v>#REF!</v>
      </c>
      <c r="W83" t="e">
        <f t="shared" si="48"/>
        <v>#REF!</v>
      </c>
      <c r="X83" t="e">
        <f t="shared" si="49"/>
        <v>#REF!</v>
      </c>
      <c r="Y83" t="e">
        <f t="shared" si="50"/>
        <v>#REF!</v>
      </c>
      <c r="AB83" t="e">
        <f>Reflection!A83</f>
        <v>#REF!</v>
      </c>
      <c r="AC83" t="e">
        <f t="shared" si="51"/>
        <v>#REF!</v>
      </c>
      <c r="AD83" t="e">
        <f t="shared" si="52"/>
        <v>#REF!</v>
      </c>
      <c r="AE83" t="e">
        <f t="shared" si="53"/>
        <v>#REF!</v>
      </c>
      <c r="AF83" t="e">
        <f t="shared" si="54"/>
        <v>#REF!</v>
      </c>
      <c r="AG83" t="e">
        <f t="shared" si="55"/>
        <v>#REF!</v>
      </c>
      <c r="AH83" t="e">
        <f t="shared" si="56"/>
        <v>#REF!</v>
      </c>
      <c r="AK83" t="e">
        <f>Reflection!A83</f>
        <v>#REF!</v>
      </c>
      <c r="AL83" t="e">
        <f t="shared" si="57"/>
        <v>#REF!</v>
      </c>
      <c r="AM83" t="e">
        <f t="shared" si="36"/>
        <v>#REF!</v>
      </c>
      <c r="AN83" t="e">
        <f t="shared" si="58"/>
        <v>#REF!</v>
      </c>
      <c r="AO83" t="e">
        <f t="shared" si="59"/>
        <v>#REF!</v>
      </c>
      <c r="AP83" t="e">
        <f t="shared" si="60"/>
        <v>#REF!</v>
      </c>
      <c r="AQ83" t="e">
        <f t="shared" si="61"/>
        <v>#REF!</v>
      </c>
    </row>
    <row r="84" spans="1:43" x14ac:dyDescent="0.15">
      <c r="A84" t="e">
        <f>Reflection!A84</f>
        <v>#REF!</v>
      </c>
      <c r="B84" t="e">
        <f t="shared" si="32"/>
        <v>#REF!</v>
      </c>
      <c r="C84" t="e">
        <f t="shared" si="33"/>
        <v>#REF!</v>
      </c>
      <c r="D84" t="e">
        <f t="shared" si="37"/>
        <v>#REF!</v>
      </c>
      <c r="E84" t="e">
        <f t="shared" si="38"/>
        <v>#REF!</v>
      </c>
      <c r="F84" t="e">
        <f t="shared" si="39"/>
        <v>#REF!</v>
      </c>
      <c r="G84" t="e">
        <f t="shared" si="34"/>
        <v>#REF!</v>
      </c>
      <c r="J84" t="e">
        <f>Reflection!A84</f>
        <v>#REF!</v>
      </c>
      <c r="K84" t="e">
        <f t="shared" si="40"/>
        <v>#REF!</v>
      </c>
      <c r="L84" t="e">
        <f t="shared" si="35"/>
        <v>#REF!</v>
      </c>
      <c r="M84" t="e">
        <f t="shared" si="41"/>
        <v>#REF!</v>
      </c>
      <c r="N84" t="e">
        <f t="shared" si="42"/>
        <v>#REF!</v>
      </c>
      <c r="O84" t="e">
        <f t="shared" si="43"/>
        <v>#REF!</v>
      </c>
      <c r="P84" t="e">
        <f t="shared" si="44"/>
        <v>#REF!</v>
      </c>
      <c r="S84" t="e">
        <f>Reflection!A84</f>
        <v>#REF!</v>
      </c>
      <c r="T84" t="e">
        <f t="shared" si="45"/>
        <v>#REF!</v>
      </c>
      <c r="U84" t="e">
        <f t="shared" si="46"/>
        <v>#REF!</v>
      </c>
      <c r="V84" t="e">
        <f t="shared" si="47"/>
        <v>#REF!</v>
      </c>
      <c r="W84" t="e">
        <f t="shared" si="48"/>
        <v>#REF!</v>
      </c>
      <c r="X84" t="e">
        <f t="shared" si="49"/>
        <v>#REF!</v>
      </c>
      <c r="Y84" t="e">
        <f t="shared" si="50"/>
        <v>#REF!</v>
      </c>
      <c r="AB84" t="e">
        <f>Reflection!A84</f>
        <v>#REF!</v>
      </c>
      <c r="AC84" t="e">
        <f t="shared" si="51"/>
        <v>#REF!</v>
      </c>
      <c r="AD84" t="e">
        <f t="shared" si="52"/>
        <v>#REF!</v>
      </c>
      <c r="AE84" t="e">
        <f t="shared" si="53"/>
        <v>#REF!</v>
      </c>
      <c r="AF84" t="e">
        <f t="shared" si="54"/>
        <v>#REF!</v>
      </c>
      <c r="AG84" t="e">
        <f t="shared" si="55"/>
        <v>#REF!</v>
      </c>
      <c r="AH84" t="e">
        <f t="shared" si="56"/>
        <v>#REF!</v>
      </c>
      <c r="AK84" t="e">
        <f>Reflection!A84</f>
        <v>#REF!</v>
      </c>
      <c r="AL84" t="e">
        <f t="shared" si="57"/>
        <v>#REF!</v>
      </c>
      <c r="AM84" t="e">
        <f t="shared" si="36"/>
        <v>#REF!</v>
      </c>
      <c r="AN84" t="e">
        <f t="shared" si="58"/>
        <v>#REF!</v>
      </c>
      <c r="AO84" t="e">
        <f t="shared" si="59"/>
        <v>#REF!</v>
      </c>
      <c r="AP84" t="e">
        <f t="shared" si="60"/>
        <v>#REF!</v>
      </c>
      <c r="AQ84" t="e">
        <f t="shared" si="61"/>
        <v>#REF!</v>
      </c>
    </row>
    <row r="85" spans="1:43" x14ac:dyDescent="0.15">
      <c r="A85" t="e">
        <f>Reflection!A85</f>
        <v>#REF!</v>
      </c>
      <c r="B85" t="e">
        <f t="shared" si="32"/>
        <v>#REF!</v>
      </c>
      <c r="C85" t="e">
        <f t="shared" si="33"/>
        <v>#REF!</v>
      </c>
      <c r="D85" t="e">
        <f t="shared" si="37"/>
        <v>#REF!</v>
      </c>
      <c r="E85" t="e">
        <f t="shared" si="38"/>
        <v>#REF!</v>
      </c>
      <c r="F85" t="e">
        <f t="shared" si="39"/>
        <v>#REF!</v>
      </c>
      <c r="G85" t="e">
        <f t="shared" si="34"/>
        <v>#REF!</v>
      </c>
      <c r="J85" t="e">
        <f>Reflection!A85</f>
        <v>#REF!</v>
      </c>
      <c r="K85" t="e">
        <f t="shared" si="40"/>
        <v>#REF!</v>
      </c>
      <c r="L85" t="e">
        <f t="shared" si="35"/>
        <v>#REF!</v>
      </c>
      <c r="M85" t="e">
        <f t="shared" si="41"/>
        <v>#REF!</v>
      </c>
      <c r="N85" t="e">
        <f t="shared" si="42"/>
        <v>#REF!</v>
      </c>
      <c r="O85" t="e">
        <f t="shared" si="43"/>
        <v>#REF!</v>
      </c>
      <c r="P85" t="e">
        <f t="shared" si="44"/>
        <v>#REF!</v>
      </c>
      <c r="S85" t="e">
        <f>Reflection!A85</f>
        <v>#REF!</v>
      </c>
      <c r="T85" t="e">
        <f t="shared" si="45"/>
        <v>#REF!</v>
      </c>
      <c r="U85" t="e">
        <f t="shared" si="46"/>
        <v>#REF!</v>
      </c>
      <c r="V85" t="e">
        <f t="shared" si="47"/>
        <v>#REF!</v>
      </c>
      <c r="W85" t="e">
        <f t="shared" si="48"/>
        <v>#REF!</v>
      </c>
      <c r="X85" t="e">
        <f t="shared" si="49"/>
        <v>#REF!</v>
      </c>
      <c r="Y85" t="e">
        <f t="shared" si="50"/>
        <v>#REF!</v>
      </c>
      <c r="AB85" t="e">
        <f>Reflection!A85</f>
        <v>#REF!</v>
      </c>
      <c r="AC85" t="e">
        <f t="shared" si="51"/>
        <v>#REF!</v>
      </c>
      <c r="AD85" t="e">
        <f t="shared" si="52"/>
        <v>#REF!</v>
      </c>
      <c r="AE85" t="e">
        <f t="shared" si="53"/>
        <v>#REF!</v>
      </c>
      <c r="AF85" t="e">
        <f t="shared" si="54"/>
        <v>#REF!</v>
      </c>
      <c r="AG85" t="e">
        <f t="shared" si="55"/>
        <v>#REF!</v>
      </c>
      <c r="AH85" t="e">
        <f t="shared" si="56"/>
        <v>#REF!</v>
      </c>
      <c r="AK85" t="e">
        <f>Reflection!A85</f>
        <v>#REF!</v>
      </c>
      <c r="AL85" t="e">
        <f t="shared" si="57"/>
        <v>#REF!</v>
      </c>
      <c r="AM85" t="e">
        <f t="shared" si="36"/>
        <v>#REF!</v>
      </c>
      <c r="AN85" t="e">
        <f t="shared" si="58"/>
        <v>#REF!</v>
      </c>
      <c r="AO85" t="e">
        <f t="shared" si="59"/>
        <v>#REF!</v>
      </c>
      <c r="AP85" t="e">
        <f t="shared" si="60"/>
        <v>#REF!</v>
      </c>
      <c r="AQ85" t="e">
        <f t="shared" si="61"/>
        <v>#REF!</v>
      </c>
    </row>
    <row r="86" spans="1:43" x14ac:dyDescent="0.15">
      <c r="A86" t="e">
        <f>Reflection!A86</f>
        <v>#REF!</v>
      </c>
      <c r="B86" t="e">
        <f t="shared" si="32"/>
        <v>#REF!</v>
      </c>
      <c r="C86" t="e">
        <f t="shared" si="33"/>
        <v>#REF!</v>
      </c>
      <c r="D86" t="e">
        <f t="shared" si="37"/>
        <v>#REF!</v>
      </c>
      <c r="E86" t="e">
        <f t="shared" si="38"/>
        <v>#REF!</v>
      </c>
      <c r="F86" t="e">
        <f t="shared" si="39"/>
        <v>#REF!</v>
      </c>
      <c r="G86" t="e">
        <f t="shared" si="34"/>
        <v>#REF!</v>
      </c>
      <c r="J86" t="e">
        <f>Reflection!A86</f>
        <v>#REF!</v>
      </c>
      <c r="K86" t="e">
        <f t="shared" si="40"/>
        <v>#REF!</v>
      </c>
      <c r="L86" t="e">
        <f t="shared" si="35"/>
        <v>#REF!</v>
      </c>
      <c r="M86" t="e">
        <f t="shared" si="41"/>
        <v>#REF!</v>
      </c>
      <c r="N86" t="e">
        <f t="shared" si="42"/>
        <v>#REF!</v>
      </c>
      <c r="O86" t="e">
        <f t="shared" si="43"/>
        <v>#REF!</v>
      </c>
      <c r="P86" t="e">
        <f t="shared" si="44"/>
        <v>#REF!</v>
      </c>
      <c r="S86" t="e">
        <f>Reflection!A86</f>
        <v>#REF!</v>
      </c>
      <c r="T86" t="e">
        <f t="shared" si="45"/>
        <v>#REF!</v>
      </c>
      <c r="U86" t="e">
        <f t="shared" si="46"/>
        <v>#REF!</v>
      </c>
      <c r="V86" t="e">
        <f t="shared" si="47"/>
        <v>#REF!</v>
      </c>
      <c r="W86" t="e">
        <f t="shared" si="48"/>
        <v>#REF!</v>
      </c>
      <c r="X86" t="e">
        <f t="shared" si="49"/>
        <v>#REF!</v>
      </c>
      <c r="Y86" t="e">
        <f t="shared" si="50"/>
        <v>#REF!</v>
      </c>
      <c r="AB86" t="e">
        <f>Reflection!A86</f>
        <v>#REF!</v>
      </c>
      <c r="AC86" t="e">
        <f t="shared" si="51"/>
        <v>#REF!</v>
      </c>
      <c r="AD86" t="e">
        <f t="shared" si="52"/>
        <v>#REF!</v>
      </c>
      <c r="AE86" t="e">
        <f t="shared" si="53"/>
        <v>#REF!</v>
      </c>
      <c r="AF86" t="e">
        <f t="shared" si="54"/>
        <v>#REF!</v>
      </c>
      <c r="AG86" t="e">
        <f t="shared" si="55"/>
        <v>#REF!</v>
      </c>
      <c r="AH86" t="e">
        <f t="shared" si="56"/>
        <v>#REF!</v>
      </c>
      <c r="AK86" t="e">
        <f>Reflection!A86</f>
        <v>#REF!</v>
      </c>
      <c r="AL86" t="e">
        <f t="shared" si="57"/>
        <v>#REF!</v>
      </c>
      <c r="AM86" t="e">
        <f t="shared" si="36"/>
        <v>#REF!</v>
      </c>
      <c r="AN86" t="e">
        <f t="shared" si="58"/>
        <v>#REF!</v>
      </c>
      <c r="AO86" t="e">
        <f t="shared" si="59"/>
        <v>#REF!</v>
      </c>
      <c r="AP86" t="e">
        <f t="shared" si="60"/>
        <v>#REF!</v>
      </c>
      <c r="AQ86" t="e">
        <f t="shared" si="61"/>
        <v>#REF!</v>
      </c>
    </row>
    <row r="87" spans="1:43" x14ac:dyDescent="0.15">
      <c r="A87" t="e">
        <f>Reflection!A87</f>
        <v>#REF!</v>
      </c>
      <c r="B87" t="e">
        <f t="shared" si="32"/>
        <v>#REF!</v>
      </c>
      <c r="C87" t="e">
        <f t="shared" si="33"/>
        <v>#REF!</v>
      </c>
      <c r="D87" t="e">
        <f t="shared" si="37"/>
        <v>#REF!</v>
      </c>
      <c r="E87" t="e">
        <f t="shared" si="38"/>
        <v>#REF!</v>
      </c>
      <c r="F87" t="e">
        <f t="shared" si="39"/>
        <v>#REF!</v>
      </c>
      <c r="G87" t="e">
        <f t="shared" si="34"/>
        <v>#REF!</v>
      </c>
      <c r="J87" t="e">
        <f>Reflection!A87</f>
        <v>#REF!</v>
      </c>
      <c r="K87" t="e">
        <f t="shared" si="40"/>
        <v>#REF!</v>
      </c>
      <c r="L87" t="e">
        <f t="shared" si="35"/>
        <v>#REF!</v>
      </c>
      <c r="M87" t="e">
        <f t="shared" si="41"/>
        <v>#REF!</v>
      </c>
      <c r="N87" t="e">
        <f t="shared" si="42"/>
        <v>#REF!</v>
      </c>
      <c r="O87" t="e">
        <f t="shared" si="43"/>
        <v>#REF!</v>
      </c>
      <c r="P87" t="e">
        <f t="shared" si="44"/>
        <v>#REF!</v>
      </c>
      <c r="S87" t="e">
        <f>Reflection!A87</f>
        <v>#REF!</v>
      </c>
      <c r="T87" t="e">
        <f t="shared" si="45"/>
        <v>#REF!</v>
      </c>
      <c r="U87" t="e">
        <f t="shared" si="46"/>
        <v>#REF!</v>
      </c>
      <c r="V87" t="e">
        <f t="shared" si="47"/>
        <v>#REF!</v>
      </c>
      <c r="W87" t="e">
        <f t="shared" si="48"/>
        <v>#REF!</v>
      </c>
      <c r="X87" t="e">
        <f t="shared" si="49"/>
        <v>#REF!</v>
      </c>
      <c r="Y87" t="e">
        <f t="shared" si="50"/>
        <v>#REF!</v>
      </c>
      <c r="AB87" t="e">
        <f>Reflection!A87</f>
        <v>#REF!</v>
      </c>
      <c r="AC87" t="e">
        <f t="shared" si="51"/>
        <v>#REF!</v>
      </c>
      <c r="AD87" t="e">
        <f t="shared" si="52"/>
        <v>#REF!</v>
      </c>
      <c r="AE87" t="e">
        <f t="shared" si="53"/>
        <v>#REF!</v>
      </c>
      <c r="AF87" t="e">
        <f t="shared" si="54"/>
        <v>#REF!</v>
      </c>
      <c r="AG87" t="e">
        <f t="shared" si="55"/>
        <v>#REF!</v>
      </c>
      <c r="AH87" t="e">
        <f t="shared" si="56"/>
        <v>#REF!</v>
      </c>
      <c r="AK87" t="e">
        <f>Reflection!A87</f>
        <v>#REF!</v>
      </c>
      <c r="AL87" t="e">
        <f t="shared" si="57"/>
        <v>#REF!</v>
      </c>
      <c r="AM87" t="e">
        <f t="shared" si="36"/>
        <v>#REF!</v>
      </c>
      <c r="AN87" t="e">
        <f t="shared" si="58"/>
        <v>#REF!</v>
      </c>
      <c r="AO87" t="e">
        <f t="shared" si="59"/>
        <v>#REF!</v>
      </c>
      <c r="AP87" t="e">
        <f t="shared" si="60"/>
        <v>#REF!</v>
      </c>
      <c r="AQ87" t="e">
        <f t="shared" si="61"/>
        <v>#REF!</v>
      </c>
    </row>
    <row r="88" spans="1:43" x14ac:dyDescent="0.15">
      <c r="A88" t="e">
        <f>Reflection!A88</f>
        <v>#REF!</v>
      </c>
      <c r="B88" t="e">
        <f t="shared" si="32"/>
        <v>#REF!</v>
      </c>
      <c r="C88" t="e">
        <f t="shared" si="33"/>
        <v>#REF!</v>
      </c>
      <c r="D88" t="e">
        <f t="shared" si="37"/>
        <v>#REF!</v>
      </c>
      <c r="E88" t="e">
        <f t="shared" si="38"/>
        <v>#REF!</v>
      </c>
      <c r="F88" t="e">
        <f t="shared" si="39"/>
        <v>#REF!</v>
      </c>
      <c r="G88" t="e">
        <f t="shared" si="34"/>
        <v>#REF!</v>
      </c>
      <c r="J88" t="e">
        <f>Reflection!A88</f>
        <v>#REF!</v>
      </c>
      <c r="K88" t="e">
        <f t="shared" si="40"/>
        <v>#REF!</v>
      </c>
      <c r="L88" t="e">
        <f t="shared" si="35"/>
        <v>#REF!</v>
      </c>
      <c r="M88" t="e">
        <f t="shared" si="41"/>
        <v>#REF!</v>
      </c>
      <c r="N88" t="e">
        <f t="shared" si="42"/>
        <v>#REF!</v>
      </c>
      <c r="O88" t="e">
        <f t="shared" si="43"/>
        <v>#REF!</v>
      </c>
      <c r="P88" t="e">
        <f t="shared" si="44"/>
        <v>#REF!</v>
      </c>
      <c r="S88" t="e">
        <f>Reflection!A88</f>
        <v>#REF!</v>
      </c>
      <c r="T88" t="e">
        <f t="shared" si="45"/>
        <v>#REF!</v>
      </c>
      <c r="U88" t="e">
        <f t="shared" si="46"/>
        <v>#REF!</v>
      </c>
      <c r="V88" t="e">
        <f t="shared" si="47"/>
        <v>#REF!</v>
      </c>
      <c r="W88" t="e">
        <f t="shared" si="48"/>
        <v>#REF!</v>
      </c>
      <c r="X88" t="e">
        <f t="shared" si="49"/>
        <v>#REF!</v>
      </c>
      <c r="Y88" t="e">
        <f t="shared" si="50"/>
        <v>#REF!</v>
      </c>
      <c r="AB88" t="e">
        <f>Reflection!A88</f>
        <v>#REF!</v>
      </c>
      <c r="AC88" t="e">
        <f t="shared" si="51"/>
        <v>#REF!</v>
      </c>
      <c r="AD88" t="e">
        <f t="shared" si="52"/>
        <v>#REF!</v>
      </c>
      <c r="AE88" t="e">
        <f t="shared" si="53"/>
        <v>#REF!</v>
      </c>
      <c r="AF88" t="e">
        <f t="shared" si="54"/>
        <v>#REF!</v>
      </c>
      <c r="AG88" t="e">
        <f t="shared" si="55"/>
        <v>#REF!</v>
      </c>
      <c r="AH88" t="e">
        <f t="shared" si="56"/>
        <v>#REF!</v>
      </c>
      <c r="AK88" t="e">
        <f>Reflection!A88</f>
        <v>#REF!</v>
      </c>
      <c r="AL88" t="e">
        <f t="shared" si="57"/>
        <v>#REF!</v>
      </c>
      <c r="AM88" t="e">
        <f t="shared" si="36"/>
        <v>#REF!</v>
      </c>
      <c r="AN88" t="e">
        <f t="shared" si="58"/>
        <v>#REF!</v>
      </c>
      <c r="AO88" t="e">
        <f t="shared" si="59"/>
        <v>#REF!</v>
      </c>
      <c r="AP88" t="e">
        <f t="shared" si="60"/>
        <v>#REF!</v>
      </c>
      <c r="AQ88" t="e">
        <f t="shared" si="61"/>
        <v>#REF!</v>
      </c>
    </row>
    <row r="89" spans="1:43" x14ac:dyDescent="0.15">
      <c r="A89" t="e">
        <f>Reflection!A89</f>
        <v>#REF!</v>
      </c>
      <c r="B89" t="e">
        <f t="shared" si="32"/>
        <v>#REF!</v>
      </c>
      <c r="C89" t="e">
        <f t="shared" si="33"/>
        <v>#REF!</v>
      </c>
      <c r="D89" t="e">
        <f t="shared" si="37"/>
        <v>#REF!</v>
      </c>
      <c r="E89" t="e">
        <f t="shared" si="38"/>
        <v>#REF!</v>
      </c>
      <c r="F89" t="e">
        <f t="shared" si="39"/>
        <v>#REF!</v>
      </c>
      <c r="G89" t="e">
        <f t="shared" si="34"/>
        <v>#REF!</v>
      </c>
      <c r="J89" t="e">
        <f>Reflection!A89</f>
        <v>#REF!</v>
      </c>
      <c r="K89" t="e">
        <f t="shared" si="40"/>
        <v>#REF!</v>
      </c>
      <c r="L89" t="e">
        <f t="shared" si="35"/>
        <v>#REF!</v>
      </c>
      <c r="M89" t="e">
        <f t="shared" si="41"/>
        <v>#REF!</v>
      </c>
      <c r="N89" t="e">
        <f t="shared" si="42"/>
        <v>#REF!</v>
      </c>
      <c r="O89" t="e">
        <f t="shared" si="43"/>
        <v>#REF!</v>
      </c>
      <c r="P89" t="e">
        <f t="shared" si="44"/>
        <v>#REF!</v>
      </c>
      <c r="S89" t="e">
        <f>Reflection!A89</f>
        <v>#REF!</v>
      </c>
      <c r="T89" t="e">
        <f t="shared" si="45"/>
        <v>#REF!</v>
      </c>
      <c r="U89" t="e">
        <f t="shared" si="46"/>
        <v>#REF!</v>
      </c>
      <c r="V89" t="e">
        <f t="shared" si="47"/>
        <v>#REF!</v>
      </c>
      <c r="W89" t="e">
        <f t="shared" si="48"/>
        <v>#REF!</v>
      </c>
      <c r="X89" t="e">
        <f t="shared" si="49"/>
        <v>#REF!</v>
      </c>
      <c r="Y89" t="e">
        <f t="shared" si="50"/>
        <v>#REF!</v>
      </c>
      <c r="AB89" t="e">
        <f>Reflection!A89</f>
        <v>#REF!</v>
      </c>
      <c r="AC89" t="e">
        <f t="shared" si="51"/>
        <v>#REF!</v>
      </c>
      <c r="AD89" t="e">
        <f t="shared" si="52"/>
        <v>#REF!</v>
      </c>
      <c r="AE89" t="e">
        <f t="shared" si="53"/>
        <v>#REF!</v>
      </c>
      <c r="AF89" t="e">
        <f t="shared" si="54"/>
        <v>#REF!</v>
      </c>
      <c r="AG89" t="e">
        <f t="shared" si="55"/>
        <v>#REF!</v>
      </c>
      <c r="AH89" t="e">
        <f t="shared" si="56"/>
        <v>#REF!</v>
      </c>
      <c r="AK89" t="e">
        <f>Reflection!A89</f>
        <v>#REF!</v>
      </c>
      <c r="AL89" t="e">
        <f t="shared" si="57"/>
        <v>#REF!</v>
      </c>
      <c r="AM89" t="e">
        <f t="shared" si="36"/>
        <v>#REF!</v>
      </c>
      <c r="AN89" t="e">
        <f t="shared" si="58"/>
        <v>#REF!</v>
      </c>
      <c r="AO89" t="e">
        <f t="shared" si="59"/>
        <v>#REF!</v>
      </c>
      <c r="AP89" t="e">
        <f t="shared" si="60"/>
        <v>#REF!</v>
      </c>
      <c r="AQ89" t="e">
        <f t="shared" si="61"/>
        <v>#REF!</v>
      </c>
    </row>
    <row r="90" spans="1:43" x14ac:dyDescent="0.15">
      <c r="A90" t="e">
        <f>Reflection!A90</f>
        <v>#REF!</v>
      </c>
      <c r="B90" t="e">
        <f t="shared" si="32"/>
        <v>#REF!</v>
      </c>
      <c r="C90" t="e">
        <f t="shared" si="33"/>
        <v>#REF!</v>
      </c>
      <c r="D90" t="e">
        <f t="shared" si="37"/>
        <v>#REF!</v>
      </c>
      <c r="E90" t="e">
        <f t="shared" si="38"/>
        <v>#REF!</v>
      </c>
      <c r="F90" t="e">
        <f t="shared" si="39"/>
        <v>#REF!</v>
      </c>
      <c r="G90" t="e">
        <f t="shared" si="34"/>
        <v>#REF!</v>
      </c>
      <c r="J90" t="e">
        <f>Reflection!A90</f>
        <v>#REF!</v>
      </c>
      <c r="K90" t="e">
        <f t="shared" si="40"/>
        <v>#REF!</v>
      </c>
      <c r="L90" t="e">
        <f t="shared" si="35"/>
        <v>#REF!</v>
      </c>
      <c r="M90" t="e">
        <f t="shared" si="41"/>
        <v>#REF!</v>
      </c>
      <c r="N90" t="e">
        <f t="shared" si="42"/>
        <v>#REF!</v>
      </c>
      <c r="O90" t="e">
        <f t="shared" si="43"/>
        <v>#REF!</v>
      </c>
      <c r="P90" t="e">
        <f t="shared" si="44"/>
        <v>#REF!</v>
      </c>
      <c r="S90" t="e">
        <f>Reflection!A90</f>
        <v>#REF!</v>
      </c>
      <c r="T90" t="e">
        <f t="shared" si="45"/>
        <v>#REF!</v>
      </c>
      <c r="U90" t="e">
        <f t="shared" si="46"/>
        <v>#REF!</v>
      </c>
      <c r="V90" t="e">
        <f t="shared" si="47"/>
        <v>#REF!</v>
      </c>
      <c r="W90" t="e">
        <f t="shared" si="48"/>
        <v>#REF!</v>
      </c>
      <c r="X90" t="e">
        <f t="shared" si="49"/>
        <v>#REF!</v>
      </c>
      <c r="Y90" t="e">
        <f t="shared" si="50"/>
        <v>#REF!</v>
      </c>
      <c r="AB90" t="e">
        <f>Reflection!A90</f>
        <v>#REF!</v>
      </c>
      <c r="AC90" t="e">
        <f t="shared" si="51"/>
        <v>#REF!</v>
      </c>
      <c r="AD90" t="e">
        <f t="shared" si="52"/>
        <v>#REF!</v>
      </c>
      <c r="AE90" t="e">
        <f t="shared" si="53"/>
        <v>#REF!</v>
      </c>
      <c r="AF90" t="e">
        <f t="shared" si="54"/>
        <v>#REF!</v>
      </c>
      <c r="AG90" t="e">
        <f t="shared" si="55"/>
        <v>#REF!</v>
      </c>
      <c r="AH90" t="e">
        <f t="shared" si="56"/>
        <v>#REF!</v>
      </c>
      <c r="AK90" t="e">
        <f>Reflection!A90</f>
        <v>#REF!</v>
      </c>
      <c r="AL90" t="e">
        <f t="shared" si="57"/>
        <v>#REF!</v>
      </c>
      <c r="AM90" t="e">
        <f t="shared" si="36"/>
        <v>#REF!</v>
      </c>
      <c r="AN90" t="e">
        <f t="shared" si="58"/>
        <v>#REF!</v>
      </c>
      <c r="AO90" t="e">
        <f t="shared" si="59"/>
        <v>#REF!</v>
      </c>
      <c r="AP90" t="e">
        <f t="shared" si="60"/>
        <v>#REF!</v>
      </c>
      <c r="AQ90" t="e">
        <f t="shared" si="61"/>
        <v>#REF!</v>
      </c>
    </row>
    <row r="91" spans="1:43" x14ac:dyDescent="0.15">
      <c r="A91" t="e">
        <f>Reflection!A91</f>
        <v>#REF!</v>
      </c>
      <c r="B91" t="e">
        <f t="shared" si="32"/>
        <v>#REF!</v>
      </c>
      <c r="C91" t="e">
        <f t="shared" si="33"/>
        <v>#REF!</v>
      </c>
      <c r="D91" t="e">
        <f t="shared" si="37"/>
        <v>#REF!</v>
      </c>
      <c r="E91" t="e">
        <f t="shared" si="38"/>
        <v>#REF!</v>
      </c>
      <c r="F91" t="e">
        <f t="shared" si="39"/>
        <v>#REF!</v>
      </c>
      <c r="G91" t="e">
        <f t="shared" si="34"/>
        <v>#REF!</v>
      </c>
      <c r="J91" t="e">
        <f>Reflection!A91</f>
        <v>#REF!</v>
      </c>
      <c r="K91" t="e">
        <f t="shared" si="40"/>
        <v>#REF!</v>
      </c>
      <c r="L91" t="e">
        <f t="shared" si="35"/>
        <v>#REF!</v>
      </c>
      <c r="M91" t="e">
        <f t="shared" si="41"/>
        <v>#REF!</v>
      </c>
      <c r="N91" t="e">
        <f t="shared" si="42"/>
        <v>#REF!</v>
      </c>
      <c r="O91" t="e">
        <f t="shared" si="43"/>
        <v>#REF!</v>
      </c>
      <c r="P91" t="e">
        <f t="shared" si="44"/>
        <v>#REF!</v>
      </c>
      <c r="S91" t="e">
        <f>Reflection!A91</f>
        <v>#REF!</v>
      </c>
      <c r="T91" t="e">
        <f t="shared" si="45"/>
        <v>#REF!</v>
      </c>
      <c r="U91" t="e">
        <f t="shared" si="46"/>
        <v>#REF!</v>
      </c>
      <c r="V91" t="e">
        <f t="shared" si="47"/>
        <v>#REF!</v>
      </c>
      <c r="W91" t="e">
        <f t="shared" si="48"/>
        <v>#REF!</v>
      </c>
      <c r="X91" t="e">
        <f t="shared" si="49"/>
        <v>#REF!</v>
      </c>
      <c r="Y91" t="e">
        <f t="shared" si="50"/>
        <v>#REF!</v>
      </c>
      <c r="AB91" t="e">
        <f>Reflection!A91</f>
        <v>#REF!</v>
      </c>
      <c r="AC91" t="e">
        <f t="shared" si="51"/>
        <v>#REF!</v>
      </c>
      <c r="AD91" t="e">
        <f t="shared" si="52"/>
        <v>#REF!</v>
      </c>
      <c r="AE91" t="e">
        <f t="shared" si="53"/>
        <v>#REF!</v>
      </c>
      <c r="AF91" t="e">
        <f t="shared" si="54"/>
        <v>#REF!</v>
      </c>
      <c r="AG91" t="e">
        <f t="shared" si="55"/>
        <v>#REF!</v>
      </c>
      <c r="AH91" t="e">
        <f t="shared" si="56"/>
        <v>#REF!</v>
      </c>
      <c r="AK91" t="e">
        <f>Reflection!A91</f>
        <v>#REF!</v>
      </c>
      <c r="AL91" t="e">
        <f t="shared" si="57"/>
        <v>#REF!</v>
      </c>
      <c r="AM91" t="e">
        <f t="shared" si="36"/>
        <v>#REF!</v>
      </c>
      <c r="AN91" t="e">
        <f t="shared" si="58"/>
        <v>#REF!</v>
      </c>
      <c r="AO91" t="e">
        <f t="shared" si="59"/>
        <v>#REF!</v>
      </c>
      <c r="AP91" t="e">
        <f t="shared" si="60"/>
        <v>#REF!</v>
      </c>
      <c r="AQ91" t="e">
        <f t="shared" si="61"/>
        <v>#REF!</v>
      </c>
    </row>
    <row r="92" spans="1:43" x14ac:dyDescent="0.15">
      <c r="A92" t="e">
        <f>Reflection!A92</f>
        <v>#REF!</v>
      </c>
      <c r="B92" t="e">
        <f t="shared" si="32"/>
        <v>#REF!</v>
      </c>
      <c r="C92" t="e">
        <f t="shared" si="33"/>
        <v>#REF!</v>
      </c>
      <c r="D92" t="e">
        <f t="shared" si="37"/>
        <v>#REF!</v>
      </c>
      <c r="E92" t="e">
        <f t="shared" si="38"/>
        <v>#REF!</v>
      </c>
      <c r="F92" t="e">
        <f t="shared" si="39"/>
        <v>#REF!</v>
      </c>
      <c r="G92" t="e">
        <f t="shared" si="34"/>
        <v>#REF!</v>
      </c>
      <c r="J92" t="e">
        <f>Reflection!A92</f>
        <v>#REF!</v>
      </c>
      <c r="K92" t="e">
        <f t="shared" si="40"/>
        <v>#REF!</v>
      </c>
      <c r="L92" t="e">
        <f t="shared" si="35"/>
        <v>#REF!</v>
      </c>
      <c r="M92" t="e">
        <f t="shared" si="41"/>
        <v>#REF!</v>
      </c>
      <c r="N92" t="e">
        <f t="shared" si="42"/>
        <v>#REF!</v>
      </c>
      <c r="O92" t="e">
        <f t="shared" si="43"/>
        <v>#REF!</v>
      </c>
      <c r="P92" t="e">
        <f t="shared" si="44"/>
        <v>#REF!</v>
      </c>
      <c r="S92" t="e">
        <f>Reflection!A92</f>
        <v>#REF!</v>
      </c>
      <c r="T92" t="e">
        <f t="shared" si="45"/>
        <v>#REF!</v>
      </c>
      <c r="U92" t="e">
        <f t="shared" si="46"/>
        <v>#REF!</v>
      </c>
      <c r="V92" t="e">
        <f t="shared" si="47"/>
        <v>#REF!</v>
      </c>
      <c r="W92" t="e">
        <f t="shared" si="48"/>
        <v>#REF!</v>
      </c>
      <c r="X92" t="e">
        <f t="shared" si="49"/>
        <v>#REF!</v>
      </c>
      <c r="Y92" t="e">
        <f t="shared" si="50"/>
        <v>#REF!</v>
      </c>
      <c r="AB92" t="e">
        <f>Reflection!A92</f>
        <v>#REF!</v>
      </c>
      <c r="AC92" t="e">
        <f t="shared" si="51"/>
        <v>#REF!</v>
      </c>
      <c r="AD92" t="e">
        <f t="shared" si="52"/>
        <v>#REF!</v>
      </c>
      <c r="AE92" t="e">
        <f t="shared" si="53"/>
        <v>#REF!</v>
      </c>
      <c r="AF92" t="e">
        <f t="shared" si="54"/>
        <v>#REF!</v>
      </c>
      <c r="AG92" t="e">
        <f t="shared" si="55"/>
        <v>#REF!</v>
      </c>
      <c r="AH92" t="e">
        <f t="shared" si="56"/>
        <v>#REF!</v>
      </c>
      <c r="AK92" t="e">
        <f>Reflection!A92</f>
        <v>#REF!</v>
      </c>
      <c r="AL92" t="e">
        <f t="shared" si="57"/>
        <v>#REF!</v>
      </c>
      <c r="AM92" t="e">
        <f t="shared" si="36"/>
        <v>#REF!</v>
      </c>
      <c r="AN92" t="e">
        <f t="shared" si="58"/>
        <v>#REF!</v>
      </c>
      <c r="AO92" t="e">
        <f t="shared" si="59"/>
        <v>#REF!</v>
      </c>
      <c r="AP92" t="e">
        <f t="shared" si="60"/>
        <v>#REF!</v>
      </c>
      <c r="AQ92" t="e">
        <f t="shared" si="61"/>
        <v>#REF!</v>
      </c>
    </row>
    <row r="93" spans="1:43" x14ac:dyDescent="0.15">
      <c r="A93" t="e">
        <f>Reflection!A93</f>
        <v>#REF!</v>
      </c>
      <c r="B93" t="e">
        <f t="shared" si="32"/>
        <v>#REF!</v>
      </c>
      <c r="C93" t="e">
        <f t="shared" si="33"/>
        <v>#REF!</v>
      </c>
      <c r="D93" t="e">
        <f t="shared" si="37"/>
        <v>#REF!</v>
      </c>
      <c r="E93" t="e">
        <f t="shared" si="38"/>
        <v>#REF!</v>
      </c>
      <c r="F93" t="e">
        <f t="shared" si="39"/>
        <v>#REF!</v>
      </c>
      <c r="G93" t="e">
        <f t="shared" si="34"/>
        <v>#REF!</v>
      </c>
      <c r="J93" t="e">
        <f>Reflection!A93</f>
        <v>#REF!</v>
      </c>
      <c r="K93" t="e">
        <f t="shared" si="40"/>
        <v>#REF!</v>
      </c>
      <c r="L93" t="e">
        <f t="shared" si="35"/>
        <v>#REF!</v>
      </c>
      <c r="M93" t="e">
        <f t="shared" si="41"/>
        <v>#REF!</v>
      </c>
      <c r="N93" t="e">
        <f t="shared" si="42"/>
        <v>#REF!</v>
      </c>
      <c r="O93" t="e">
        <f t="shared" si="43"/>
        <v>#REF!</v>
      </c>
      <c r="P93" t="e">
        <f t="shared" si="44"/>
        <v>#REF!</v>
      </c>
      <c r="S93" t="e">
        <f>Reflection!A93</f>
        <v>#REF!</v>
      </c>
      <c r="T93" t="e">
        <f t="shared" si="45"/>
        <v>#REF!</v>
      </c>
      <c r="U93" t="e">
        <f t="shared" si="46"/>
        <v>#REF!</v>
      </c>
      <c r="V93" t="e">
        <f t="shared" si="47"/>
        <v>#REF!</v>
      </c>
      <c r="W93" t="e">
        <f t="shared" si="48"/>
        <v>#REF!</v>
      </c>
      <c r="X93" t="e">
        <f t="shared" si="49"/>
        <v>#REF!</v>
      </c>
      <c r="Y93" t="e">
        <f t="shared" si="50"/>
        <v>#REF!</v>
      </c>
      <c r="AB93" t="e">
        <f>Reflection!A93</f>
        <v>#REF!</v>
      </c>
      <c r="AC93" t="e">
        <f t="shared" si="51"/>
        <v>#REF!</v>
      </c>
      <c r="AD93" t="e">
        <f t="shared" si="52"/>
        <v>#REF!</v>
      </c>
      <c r="AE93" t="e">
        <f t="shared" si="53"/>
        <v>#REF!</v>
      </c>
      <c r="AF93" t="e">
        <f t="shared" si="54"/>
        <v>#REF!</v>
      </c>
      <c r="AG93" t="e">
        <f t="shared" si="55"/>
        <v>#REF!</v>
      </c>
      <c r="AH93" t="e">
        <f t="shared" si="56"/>
        <v>#REF!</v>
      </c>
      <c r="AK93" t="e">
        <f>Reflection!A93</f>
        <v>#REF!</v>
      </c>
      <c r="AL93" t="e">
        <f t="shared" si="57"/>
        <v>#REF!</v>
      </c>
      <c r="AM93" t="e">
        <f t="shared" si="36"/>
        <v>#REF!</v>
      </c>
      <c r="AN93" t="e">
        <f t="shared" si="58"/>
        <v>#REF!</v>
      </c>
      <c r="AO93" t="e">
        <f t="shared" si="59"/>
        <v>#REF!</v>
      </c>
      <c r="AP93" t="e">
        <f t="shared" si="60"/>
        <v>#REF!</v>
      </c>
      <c r="AQ93" t="e">
        <f t="shared" si="61"/>
        <v>#REF!</v>
      </c>
    </row>
    <row r="94" spans="1:43" x14ac:dyDescent="0.15">
      <c r="A94" t="e">
        <f>Reflection!A94</f>
        <v>#REF!</v>
      </c>
      <c r="B94" t="e">
        <f t="shared" si="32"/>
        <v>#REF!</v>
      </c>
      <c r="C94" t="e">
        <f t="shared" si="33"/>
        <v>#REF!</v>
      </c>
      <c r="D94" t="e">
        <f t="shared" si="37"/>
        <v>#REF!</v>
      </c>
      <c r="E94" t="e">
        <f t="shared" si="38"/>
        <v>#REF!</v>
      </c>
      <c r="F94" t="e">
        <f t="shared" si="39"/>
        <v>#REF!</v>
      </c>
      <c r="G94" t="e">
        <f t="shared" si="34"/>
        <v>#REF!</v>
      </c>
      <c r="J94" t="e">
        <f>Reflection!A94</f>
        <v>#REF!</v>
      </c>
      <c r="K94" t="e">
        <f t="shared" si="40"/>
        <v>#REF!</v>
      </c>
      <c r="L94" t="e">
        <f t="shared" si="35"/>
        <v>#REF!</v>
      </c>
      <c r="M94" t="e">
        <f t="shared" si="41"/>
        <v>#REF!</v>
      </c>
      <c r="N94" t="e">
        <f t="shared" si="42"/>
        <v>#REF!</v>
      </c>
      <c r="O94" t="e">
        <f t="shared" si="43"/>
        <v>#REF!</v>
      </c>
      <c r="P94" t="e">
        <f t="shared" si="44"/>
        <v>#REF!</v>
      </c>
      <c r="S94" t="e">
        <f>Reflection!A94</f>
        <v>#REF!</v>
      </c>
      <c r="T94" t="e">
        <f t="shared" si="45"/>
        <v>#REF!</v>
      </c>
      <c r="U94" t="e">
        <f t="shared" si="46"/>
        <v>#REF!</v>
      </c>
      <c r="V94" t="e">
        <f t="shared" si="47"/>
        <v>#REF!</v>
      </c>
      <c r="W94" t="e">
        <f t="shared" si="48"/>
        <v>#REF!</v>
      </c>
      <c r="X94" t="e">
        <f t="shared" si="49"/>
        <v>#REF!</v>
      </c>
      <c r="Y94" t="e">
        <f t="shared" si="50"/>
        <v>#REF!</v>
      </c>
      <c r="AB94" t="e">
        <f>Reflection!A94</f>
        <v>#REF!</v>
      </c>
      <c r="AC94" t="e">
        <f t="shared" si="51"/>
        <v>#REF!</v>
      </c>
      <c r="AD94" t="e">
        <f t="shared" si="52"/>
        <v>#REF!</v>
      </c>
      <c r="AE94" t="e">
        <f t="shared" si="53"/>
        <v>#REF!</v>
      </c>
      <c r="AF94" t="e">
        <f t="shared" si="54"/>
        <v>#REF!</v>
      </c>
      <c r="AG94" t="e">
        <f t="shared" si="55"/>
        <v>#REF!</v>
      </c>
      <c r="AH94" t="e">
        <f t="shared" si="56"/>
        <v>#REF!</v>
      </c>
      <c r="AK94" t="e">
        <f>Reflection!A94</f>
        <v>#REF!</v>
      </c>
      <c r="AL94" t="e">
        <f t="shared" si="57"/>
        <v>#REF!</v>
      </c>
      <c r="AM94" t="e">
        <f t="shared" si="36"/>
        <v>#REF!</v>
      </c>
      <c r="AN94" t="e">
        <f t="shared" si="58"/>
        <v>#REF!</v>
      </c>
      <c r="AO94" t="e">
        <f t="shared" si="59"/>
        <v>#REF!</v>
      </c>
      <c r="AP94" t="e">
        <f t="shared" si="60"/>
        <v>#REF!</v>
      </c>
      <c r="AQ94" t="e">
        <f t="shared" si="61"/>
        <v>#REF!</v>
      </c>
    </row>
    <row r="95" spans="1:43" x14ac:dyDescent="0.15">
      <c r="A95" t="e">
        <f>Reflection!A95</f>
        <v>#REF!</v>
      </c>
      <c r="B95" t="e">
        <f t="shared" si="32"/>
        <v>#REF!</v>
      </c>
      <c r="C95" t="e">
        <f t="shared" si="33"/>
        <v>#REF!</v>
      </c>
      <c r="D95" t="e">
        <f t="shared" si="37"/>
        <v>#REF!</v>
      </c>
      <c r="E95" t="e">
        <f t="shared" si="38"/>
        <v>#REF!</v>
      </c>
      <c r="F95" t="e">
        <f t="shared" si="39"/>
        <v>#REF!</v>
      </c>
      <c r="G95" t="e">
        <f t="shared" si="34"/>
        <v>#REF!</v>
      </c>
      <c r="J95" t="e">
        <f>Reflection!A95</f>
        <v>#REF!</v>
      </c>
      <c r="K95" t="e">
        <f t="shared" si="40"/>
        <v>#REF!</v>
      </c>
      <c r="L95" t="e">
        <f t="shared" si="35"/>
        <v>#REF!</v>
      </c>
      <c r="M95" t="e">
        <f t="shared" si="41"/>
        <v>#REF!</v>
      </c>
      <c r="N95" t="e">
        <f t="shared" si="42"/>
        <v>#REF!</v>
      </c>
      <c r="O95" t="e">
        <f t="shared" si="43"/>
        <v>#REF!</v>
      </c>
      <c r="P95" t="e">
        <f t="shared" si="44"/>
        <v>#REF!</v>
      </c>
      <c r="S95" t="e">
        <f>Reflection!A95</f>
        <v>#REF!</v>
      </c>
      <c r="T95" t="e">
        <f t="shared" si="45"/>
        <v>#REF!</v>
      </c>
      <c r="U95" t="e">
        <f t="shared" si="46"/>
        <v>#REF!</v>
      </c>
      <c r="V95" t="e">
        <f t="shared" si="47"/>
        <v>#REF!</v>
      </c>
      <c r="W95" t="e">
        <f t="shared" si="48"/>
        <v>#REF!</v>
      </c>
      <c r="X95" t="e">
        <f t="shared" si="49"/>
        <v>#REF!</v>
      </c>
      <c r="Y95" t="e">
        <f t="shared" si="50"/>
        <v>#REF!</v>
      </c>
      <c r="AB95" t="e">
        <f>Reflection!A95</f>
        <v>#REF!</v>
      </c>
      <c r="AC95" t="e">
        <f t="shared" si="51"/>
        <v>#REF!</v>
      </c>
      <c r="AD95" t="e">
        <f t="shared" si="52"/>
        <v>#REF!</v>
      </c>
      <c r="AE95" t="e">
        <f t="shared" si="53"/>
        <v>#REF!</v>
      </c>
      <c r="AF95" t="e">
        <f t="shared" si="54"/>
        <v>#REF!</v>
      </c>
      <c r="AG95" t="e">
        <f t="shared" si="55"/>
        <v>#REF!</v>
      </c>
      <c r="AH95" t="e">
        <f t="shared" si="56"/>
        <v>#REF!</v>
      </c>
      <c r="AK95" t="e">
        <f>Reflection!A95</f>
        <v>#REF!</v>
      </c>
      <c r="AL95" t="e">
        <f t="shared" si="57"/>
        <v>#REF!</v>
      </c>
      <c r="AM95" t="e">
        <f t="shared" si="36"/>
        <v>#REF!</v>
      </c>
      <c r="AN95" t="e">
        <f t="shared" si="58"/>
        <v>#REF!</v>
      </c>
      <c r="AO95" t="e">
        <f t="shared" si="59"/>
        <v>#REF!</v>
      </c>
      <c r="AP95" t="e">
        <f t="shared" si="60"/>
        <v>#REF!</v>
      </c>
      <c r="AQ95" t="e">
        <f t="shared" si="61"/>
        <v>#REF!</v>
      </c>
    </row>
    <row r="96" spans="1:43" x14ac:dyDescent="0.15">
      <c r="A96" t="e">
        <f>Reflection!A96</f>
        <v>#REF!</v>
      </c>
      <c r="B96" t="e">
        <f t="shared" si="32"/>
        <v>#REF!</v>
      </c>
      <c r="C96" t="e">
        <f t="shared" si="33"/>
        <v>#REF!</v>
      </c>
      <c r="D96" t="e">
        <f t="shared" si="37"/>
        <v>#REF!</v>
      </c>
      <c r="E96" t="e">
        <f t="shared" si="38"/>
        <v>#REF!</v>
      </c>
      <c r="F96" t="e">
        <f t="shared" si="39"/>
        <v>#REF!</v>
      </c>
      <c r="G96" t="e">
        <f t="shared" si="34"/>
        <v>#REF!</v>
      </c>
      <c r="J96" t="e">
        <f>Reflection!A96</f>
        <v>#REF!</v>
      </c>
      <c r="K96" t="e">
        <f t="shared" si="40"/>
        <v>#REF!</v>
      </c>
      <c r="L96" t="e">
        <f t="shared" si="35"/>
        <v>#REF!</v>
      </c>
      <c r="M96" t="e">
        <f t="shared" si="41"/>
        <v>#REF!</v>
      </c>
      <c r="N96" t="e">
        <f t="shared" si="42"/>
        <v>#REF!</v>
      </c>
      <c r="O96" t="e">
        <f t="shared" si="43"/>
        <v>#REF!</v>
      </c>
      <c r="P96" t="e">
        <f t="shared" si="44"/>
        <v>#REF!</v>
      </c>
      <c r="S96" t="e">
        <f>Reflection!A96</f>
        <v>#REF!</v>
      </c>
      <c r="T96" t="e">
        <f t="shared" si="45"/>
        <v>#REF!</v>
      </c>
      <c r="U96" t="e">
        <f t="shared" si="46"/>
        <v>#REF!</v>
      </c>
      <c r="V96" t="e">
        <f t="shared" si="47"/>
        <v>#REF!</v>
      </c>
      <c r="W96" t="e">
        <f t="shared" si="48"/>
        <v>#REF!</v>
      </c>
      <c r="X96" t="e">
        <f t="shared" si="49"/>
        <v>#REF!</v>
      </c>
      <c r="Y96" t="e">
        <f t="shared" si="50"/>
        <v>#REF!</v>
      </c>
      <c r="AB96" t="e">
        <f>Reflection!A96</f>
        <v>#REF!</v>
      </c>
      <c r="AC96" t="e">
        <f t="shared" si="51"/>
        <v>#REF!</v>
      </c>
      <c r="AD96" t="e">
        <f t="shared" si="52"/>
        <v>#REF!</v>
      </c>
      <c r="AE96" t="e">
        <f t="shared" si="53"/>
        <v>#REF!</v>
      </c>
      <c r="AF96" t="e">
        <f t="shared" si="54"/>
        <v>#REF!</v>
      </c>
      <c r="AG96" t="e">
        <f t="shared" si="55"/>
        <v>#REF!</v>
      </c>
      <c r="AH96" t="e">
        <f t="shared" si="56"/>
        <v>#REF!</v>
      </c>
      <c r="AK96" t="e">
        <f>Reflection!A96</f>
        <v>#REF!</v>
      </c>
      <c r="AL96" t="e">
        <f t="shared" si="57"/>
        <v>#REF!</v>
      </c>
      <c r="AM96" t="e">
        <f t="shared" si="36"/>
        <v>#REF!</v>
      </c>
      <c r="AN96" t="e">
        <f t="shared" si="58"/>
        <v>#REF!</v>
      </c>
      <c r="AO96" t="e">
        <f t="shared" si="59"/>
        <v>#REF!</v>
      </c>
      <c r="AP96" t="e">
        <f t="shared" si="60"/>
        <v>#REF!</v>
      </c>
      <c r="AQ96" t="e">
        <f t="shared" si="61"/>
        <v>#REF!</v>
      </c>
    </row>
    <row r="97" spans="1:43" x14ac:dyDescent="0.15">
      <c r="A97" t="e">
        <f>Reflection!A97</f>
        <v>#REF!</v>
      </c>
      <c r="B97" t="e">
        <f t="shared" si="32"/>
        <v>#REF!</v>
      </c>
      <c r="C97" t="e">
        <f t="shared" si="33"/>
        <v>#REF!</v>
      </c>
      <c r="D97" t="e">
        <f t="shared" si="37"/>
        <v>#REF!</v>
      </c>
      <c r="E97" t="e">
        <f t="shared" si="38"/>
        <v>#REF!</v>
      </c>
      <c r="F97" t="e">
        <f t="shared" si="39"/>
        <v>#REF!</v>
      </c>
      <c r="G97" t="e">
        <f t="shared" si="34"/>
        <v>#REF!</v>
      </c>
      <c r="J97" t="e">
        <f>Reflection!A97</f>
        <v>#REF!</v>
      </c>
      <c r="K97" t="e">
        <f t="shared" si="40"/>
        <v>#REF!</v>
      </c>
      <c r="L97" t="e">
        <f t="shared" si="35"/>
        <v>#REF!</v>
      </c>
      <c r="M97" t="e">
        <f t="shared" si="41"/>
        <v>#REF!</v>
      </c>
      <c r="N97" t="e">
        <f t="shared" si="42"/>
        <v>#REF!</v>
      </c>
      <c r="O97" t="e">
        <f t="shared" si="43"/>
        <v>#REF!</v>
      </c>
      <c r="P97" t="e">
        <f t="shared" si="44"/>
        <v>#REF!</v>
      </c>
      <c r="S97" t="e">
        <f>Reflection!A97</f>
        <v>#REF!</v>
      </c>
      <c r="T97" t="e">
        <f t="shared" si="45"/>
        <v>#REF!</v>
      </c>
      <c r="U97" t="e">
        <f t="shared" si="46"/>
        <v>#REF!</v>
      </c>
      <c r="V97" t="e">
        <f t="shared" si="47"/>
        <v>#REF!</v>
      </c>
      <c r="W97" t="e">
        <f t="shared" si="48"/>
        <v>#REF!</v>
      </c>
      <c r="X97" t="e">
        <f t="shared" si="49"/>
        <v>#REF!</v>
      </c>
      <c r="Y97" t="e">
        <f t="shared" si="50"/>
        <v>#REF!</v>
      </c>
      <c r="AB97" t="e">
        <f>Reflection!A97</f>
        <v>#REF!</v>
      </c>
      <c r="AC97" t="e">
        <f t="shared" si="51"/>
        <v>#REF!</v>
      </c>
      <c r="AD97" t="e">
        <f t="shared" si="52"/>
        <v>#REF!</v>
      </c>
      <c r="AE97" t="e">
        <f t="shared" si="53"/>
        <v>#REF!</v>
      </c>
      <c r="AF97" t="e">
        <f t="shared" si="54"/>
        <v>#REF!</v>
      </c>
      <c r="AG97" t="e">
        <f t="shared" si="55"/>
        <v>#REF!</v>
      </c>
      <c r="AH97" t="e">
        <f t="shared" si="56"/>
        <v>#REF!</v>
      </c>
      <c r="AK97" t="e">
        <f>Reflection!A97</f>
        <v>#REF!</v>
      </c>
      <c r="AL97" t="e">
        <f t="shared" si="57"/>
        <v>#REF!</v>
      </c>
      <c r="AM97" t="e">
        <f t="shared" si="36"/>
        <v>#REF!</v>
      </c>
      <c r="AN97" t="e">
        <f t="shared" si="58"/>
        <v>#REF!</v>
      </c>
      <c r="AO97" t="e">
        <f t="shared" si="59"/>
        <v>#REF!</v>
      </c>
      <c r="AP97" t="e">
        <f t="shared" si="60"/>
        <v>#REF!</v>
      </c>
      <c r="AQ97" t="e">
        <f t="shared" si="61"/>
        <v>#REF!</v>
      </c>
    </row>
    <row r="98" spans="1:43" x14ac:dyDescent="0.15">
      <c r="A98" t="e">
        <f>Reflection!A98</f>
        <v>#REF!</v>
      </c>
      <c r="B98" t="e">
        <f t="shared" si="32"/>
        <v>#REF!</v>
      </c>
      <c r="C98" t="e">
        <f t="shared" si="33"/>
        <v>#REF!</v>
      </c>
      <c r="D98" t="e">
        <f t="shared" si="37"/>
        <v>#REF!</v>
      </c>
      <c r="E98" t="e">
        <f t="shared" si="38"/>
        <v>#REF!</v>
      </c>
      <c r="F98" t="e">
        <f t="shared" si="39"/>
        <v>#REF!</v>
      </c>
      <c r="G98" t="e">
        <f t="shared" si="34"/>
        <v>#REF!</v>
      </c>
      <c r="J98" t="e">
        <f>Reflection!A98</f>
        <v>#REF!</v>
      </c>
      <c r="K98" t="e">
        <f t="shared" si="40"/>
        <v>#REF!</v>
      </c>
      <c r="L98" t="e">
        <f t="shared" si="35"/>
        <v>#REF!</v>
      </c>
      <c r="M98" t="e">
        <f t="shared" si="41"/>
        <v>#REF!</v>
      </c>
      <c r="N98" t="e">
        <f t="shared" si="42"/>
        <v>#REF!</v>
      </c>
      <c r="O98" t="e">
        <f t="shared" si="43"/>
        <v>#REF!</v>
      </c>
      <c r="P98" t="e">
        <f t="shared" si="44"/>
        <v>#REF!</v>
      </c>
      <c r="S98" t="e">
        <f>Reflection!A98</f>
        <v>#REF!</v>
      </c>
      <c r="T98" t="e">
        <f t="shared" si="45"/>
        <v>#REF!</v>
      </c>
      <c r="U98" t="e">
        <f t="shared" si="46"/>
        <v>#REF!</v>
      </c>
      <c r="V98" t="e">
        <f t="shared" si="47"/>
        <v>#REF!</v>
      </c>
      <c r="W98" t="e">
        <f t="shared" si="48"/>
        <v>#REF!</v>
      </c>
      <c r="X98" t="e">
        <f t="shared" si="49"/>
        <v>#REF!</v>
      </c>
      <c r="Y98" t="e">
        <f t="shared" si="50"/>
        <v>#REF!</v>
      </c>
      <c r="AB98" t="e">
        <f>Reflection!A98</f>
        <v>#REF!</v>
      </c>
      <c r="AC98" t="e">
        <f t="shared" si="51"/>
        <v>#REF!</v>
      </c>
      <c r="AD98" t="e">
        <f t="shared" si="52"/>
        <v>#REF!</v>
      </c>
      <c r="AE98" t="e">
        <f t="shared" si="53"/>
        <v>#REF!</v>
      </c>
      <c r="AF98" t="e">
        <f t="shared" si="54"/>
        <v>#REF!</v>
      </c>
      <c r="AG98" t="e">
        <f t="shared" si="55"/>
        <v>#REF!</v>
      </c>
      <c r="AH98" t="e">
        <f t="shared" si="56"/>
        <v>#REF!</v>
      </c>
      <c r="AK98" t="e">
        <f>Reflection!A98</f>
        <v>#REF!</v>
      </c>
      <c r="AL98" t="e">
        <f t="shared" si="57"/>
        <v>#REF!</v>
      </c>
      <c r="AM98" t="e">
        <f t="shared" si="36"/>
        <v>#REF!</v>
      </c>
      <c r="AN98" t="e">
        <f t="shared" si="58"/>
        <v>#REF!</v>
      </c>
      <c r="AO98" t="e">
        <f t="shared" si="59"/>
        <v>#REF!</v>
      </c>
      <c r="AP98" t="e">
        <f t="shared" si="60"/>
        <v>#REF!</v>
      </c>
      <c r="AQ98" t="e">
        <f t="shared" si="61"/>
        <v>#REF!</v>
      </c>
    </row>
    <row r="99" spans="1:43" x14ac:dyDescent="0.15">
      <c r="A99" t="e">
        <f>Reflection!A99</f>
        <v>#REF!</v>
      </c>
      <c r="B99" t="e">
        <f t="shared" si="32"/>
        <v>#REF!</v>
      </c>
      <c r="C99" t="e">
        <f t="shared" si="33"/>
        <v>#REF!</v>
      </c>
      <c r="D99" t="e">
        <f t="shared" si="37"/>
        <v>#REF!</v>
      </c>
      <c r="E99" t="e">
        <f t="shared" si="38"/>
        <v>#REF!</v>
      </c>
      <c r="F99" t="e">
        <f t="shared" si="39"/>
        <v>#REF!</v>
      </c>
      <c r="G99" t="e">
        <f t="shared" si="34"/>
        <v>#REF!</v>
      </c>
      <c r="J99" t="e">
        <f>Reflection!A99</f>
        <v>#REF!</v>
      </c>
      <c r="K99" t="e">
        <f t="shared" si="40"/>
        <v>#REF!</v>
      </c>
      <c r="L99" t="e">
        <f t="shared" ref="L99:L130" si="62">IMPRODUCT(IMPRODUCT(K99,$L$1),2*PI()*J99*0.0000000000088542)</f>
        <v>#REF!</v>
      </c>
      <c r="M99" t="e">
        <f t="shared" si="41"/>
        <v>#REF!</v>
      </c>
      <c r="N99" t="e">
        <f t="shared" si="42"/>
        <v>#REF!</v>
      </c>
      <c r="O99" t="e">
        <f t="shared" si="43"/>
        <v>#REF!</v>
      </c>
      <c r="P99" t="e">
        <f t="shared" si="44"/>
        <v>#REF!</v>
      </c>
      <c r="S99" t="e">
        <f>Reflection!A99</f>
        <v>#REF!</v>
      </c>
      <c r="T99" t="e">
        <f t="shared" si="45"/>
        <v>#REF!</v>
      </c>
      <c r="U99" t="e">
        <f t="shared" si="46"/>
        <v>#REF!</v>
      </c>
      <c r="V99" t="e">
        <f t="shared" si="47"/>
        <v>#REF!</v>
      </c>
      <c r="W99" t="e">
        <f t="shared" si="48"/>
        <v>#REF!</v>
      </c>
      <c r="X99" t="e">
        <f t="shared" si="49"/>
        <v>#REF!</v>
      </c>
      <c r="Y99" t="e">
        <f t="shared" si="50"/>
        <v>#REF!</v>
      </c>
      <c r="AB99" t="e">
        <f>Reflection!A99</f>
        <v>#REF!</v>
      </c>
      <c r="AC99" t="e">
        <f t="shared" si="51"/>
        <v>#REF!</v>
      </c>
      <c r="AD99" t="e">
        <f t="shared" si="52"/>
        <v>#REF!</v>
      </c>
      <c r="AE99" t="e">
        <f t="shared" si="53"/>
        <v>#REF!</v>
      </c>
      <c r="AF99" t="e">
        <f t="shared" si="54"/>
        <v>#REF!</v>
      </c>
      <c r="AG99" t="e">
        <f t="shared" si="55"/>
        <v>#REF!</v>
      </c>
      <c r="AH99" t="e">
        <f t="shared" si="56"/>
        <v>#REF!</v>
      </c>
      <c r="AK99" t="e">
        <f>Reflection!A99</f>
        <v>#REF!</v>
      </c>
      <c r="AL99" t="e">
        <f t="shared" si="57"/>
        <v>#REF!</v>
      </c>
      <c r="AM99" t="e">
        <f t="shared" ref="AM99:AM130" si="63">IMPRODUCT(IMPRODUCT(AL99,$AM$1),2*PI()*AK99*0.000000000008854)</f>
        <v>#REF!</v>
      </c>
      <c r="AN99" t="e">
        <f t="shared" si="58"/>
        <v>#REF!</v>
      </c>
      <c r="AO99" t="e">
        <f t="shared" si="59"/>
        <v>#REF!</v>
      </c>
      <c r="AP99" t="e">
        <f t="shared" si="60"/>
        <v>#REF!</v>
      </c>
      <c r="AQ99" t="e">
        <f t="shared" si="61"/>
        <v>#REF!</v>
      </c>
    </row>
    <row r="100" spans="1:43" x14ac:dyDescent="0.15">
      <c r="A100" t="e">
        <f>Reflection!A100</f>
        <v>#REF!</v>
      </c>
      <c r="B100" t="e">
        <f t="shared" si="32"/>
        <v>#REF!</v>
      </c>
      <c r="C100" t="e">
        <f t="shared" si="33"/>
        <v>#REF!</v>
      </c>
      <c r="D100" t="e">
        <f t="shared" si="37"/>
        <v>#REF!</v>
      </c>
      <c r="E100" t="e">
        <f t="shared" si="38"/>
        <v>#REF!</v>
      </c>
      <c r="F100" t="e">
        <f t="shared" si="39"/>
        <v>#REF!</v>
      </c>
      <c r="G100" t="e">
        <f t="shared" si="34"/>
        <v>#REF!</v>
      </c>
      <c r="J100" t="e">
        <f>Reflection!A100</f>
        <v>#REF!</v>
      </c>
      <c r="K100" t="e">
        <f t="shared" si="40"/>
        <v>#REF!</v>
      </c>
      <c r="L100" t="e">
        <f t="shared" si="62"/>
        <v>#REF!</v>
      </c>
      <c r="M100" t="e">
        <f t="shared" si="41"/>
        <v>#REF!</v>
      </c>
      <c r="N100" t="e">
        <f t="shared" si="42"/>
        <v>#REF!</v>
      </c>
      <c r="O100" t="e">
        <f t="shared" si="43"/>
        <v>#REF!</v>
      </c>
      <c r="P100" t="e">
        <f t="shared" si="44"/>
        <v>#REF!</v>
      </c>
      <c r="S100" t="e">
        <f>Reflection!A100</f>
        <v>#REF!</v>
      </c>
      <c r="T100" t="e">
        <f t="shared" si="45"/>
        <v>#REF!</v>
      </c>
      <c r="U100" t="e">
        <f t="shared" si="46"/>
        <v>#REF!</v>
      </c>
      <c r="V100" t="e">
        <f t="shared" si="47"/>
        <v>#REF!</v>
      </c>
      <c r="W100" t="e">
        <f t="shared" si="48"/>
        <v>#REF!</v>
      </c>
      <c r="X100" t="e">
        <f t="shared" si="49"/>
        <v>#REF!</v>
      </c>
      <c r="Y100" t="e">
        <f t="shared" si="50"/>
        <v>#REF!</v>
      </c>
      <c r="AB100" t="e">
        <f>Reflection!A100</f>
        <v>#REF!</v>
      </c>
      <c r="AC100" t="e">
        <f t="shared" si="51"/>
        <v>#REF!</v>
      </c>
      <c r="AD100" t="e">
        <f t="shared" si="52"/>
        <v>#REF!</v>
      </c>
      <c r="AE100" t="e">
        <f t="shared" si="53"/>
        <v>#REF!</v>
      </c>
      <c r="AF100" t="e">
        <f t="shared" si="54"/>
        <v>#REF!</v>
      </c>
      <c r="AG100" t="e">
        <f t="shared" si="55"/>
        <v>#REF!</v>
      </c>
      <c r="AH100" t="e">
        <f t="shared" si="56"/>
        <v>#REF!</v>
      </c>
      <c r="AK100" t="e">
        <f>Reflection!A100</f>
        <v>#REF!</v>
      </c>
      <c r="AL100" t="e">
        <f t="shared" si="57"/>
        <v>#REF!</v>
      </c>
      <c r="AM100" t="e">
        <f t="shared" si="63"/>
        <v>#REF!</v>
      </c>
      <c r="AN100" t="e">
        <f t="shared" si="58"/>
        <v>#REF!</v>
      </c>
      <c r="AO100" t="e">
        <f t="shared" si="59"/>
        <v>#REF!</v>
      </c>
      <c r="AP100" t="e">
        <f t="shared" si="60"/>
        <v>#REF!</v>
      </c>
      <c r="AQ100" t="e">
        <f t="shared" si="61"/>
        <v>#REF!</v>
      </c>
    </row>
    <row r="101" spans="1:43" x14ac:dyDescent="0.15">
      <c r="A101" t="e">
        <f>Reflection!A101</f>
        <v>#REF!</v>
      </c>
      <c r="B101" t="e">
        <f t="shared" si="32"/>
        <v>#REF!</v>
      </c>
      <c r="C101" t="e">
        <f t="shared" si="33"/>
        <v>#REF!</v>
      </c>
      <c r="D101" t="e">
        <f t="shared" si="37"/>
        <v>#REF!</v>
      </c>
      <c r="E101" t="e">
        <f t="shared" si="38"/>
        <v>#REF!</v>
      </c>
      <c r="F101" t="e">
        <f t="shared" si="39"/>
        <v>#REF!</v>
      </c>
      <c r="G101" t="e">
        <f t="shared" si="34"/>
        <v>#REF!</v>
      </c>
      <c r="J101" t="e">
        <f>Reflection!A101</f>
        <v>#REF!</v>
      </c>
      <c r="K101" t="e">
        <f t="shared" si="40"/>
        <v>#REF!</v>
      </c>
      <c r="L101" t="e">
        <f t="shared" si="62"/>
        <v>#REF!</v>
      </c>
      <c r="M101" t="e">
        <f t="shared" si="41"/>
        <v>#REF!</v>
      </c>
      <c r="N101" t="e">
        <f t="shared" si="42"/>
        <v>#REF!</v>
      </c>
      <c r="O101" t="e">
        <f t="shared" si="43"/>
        <v>#REF!</v>
      </c>
      <c r="P101" t="e">
        <f t="shared" si="44"/>
        <v>#REF!</v>
      </c>
      <c r="S101" t="e">
        <f>Reflection!A101</f>
        <v>#REF!</v>
      </c>
      <c r="T101" t="e">
        <f t="shared" si="45"/>
        <v>#REF!</v>
      </c>
      <c r="U101" t="e">
        <f t="shared" si="46"/>
        <v>#REF!</v>
      </c>
      <c r="V101" t="e">
        <f t="shared" si="47"/>
        <v>#REF!</v>
      </c>
      <c r="W101" t="e">
        <f t="shared" si="48"/>
        <v>#REF!</v>
      </c>
      <c r="X101" t="e">
        <f t="shared" si="49"/>
        <v>#REF!</v>
      </c>
      <c r="Y101" t="e">
        <f t="shared" si="50"/>
        <v>#REF!</v>
      </c>
      <c r="AB101" t="e">
        <f>Reflection!A101</f>
        <v>#REF!</v>
      </c>
      <c r="AC101" t="e">
        <f t="shared" si="51"/>
        <v>#REF!</v>
      </c>
      <c r="AD101" t="e">
        <f t="shared" si="52"/>
        <v>#REF!</v>
      </c>
      <c r="AE101" t="e">
        <f t="shared" si="53"/>
        <v>#REF!</v>
      </c>
      <c r="AF101" t="e">
        <f t="shared" si="54"/>
        <v>#REF!</v>
      </c>
      <c r="AG101" t="e">
        <f t="shared" si="55"/>
        <v>#REF!</v>
      </c>
      <c r="AH101" t="e">
        <f t="shared" si="56"/>
        <v>#REF!</v>
      </c>
      <c r="AK101" t="e">
        <f>Reflection!A101</f>
        <v>#REF!</v>
      </c>
      <c r="AL101" t="e">
        <f t="shared" si="57"/>
        <v>#REF!</v>
      </c>
      <c r="AM101" t="e">
        <f t="shared" si="63"/>
        <v>#REF!</v>
      </c>
      <c r="AN101" t="e">
        <f t="shared" si="58"/>
        <v>#REF!</v>
      </c>
      <c r="AO101" t="e">
        <f t="shared" si="59"/>
        <v>#REF!</v>
      </c>
      <c r="AP101" t="e">
        <f t="shared" si="60"/>
        <v>#REF!</v>
      </c>
      <c r="AQ101" t="e">
        <f t="shared" si="61"/>
        <v>#REF!</v>
      </c>
    </row>
    <row r="102" spans="1:43" x14ac:dyDescent="0.15">
      <c r="A102" t="e">
        <f>Reflection!A102</f>
        <v>#REF!</v>
      </c>
      <c r="B102" t="e">
        <f t="shared" si="32"/>
        <v>#REF!</v>
      </c>
      <c r="C102" t="e">
        <f t="shared" si="33"/>
        <v>#REF!</v>
      </c>
      <c r="D102" t="e">
        <f t="shared" si="37"/>
        <v>#REF!</v>
      </c>
      <c r="E102" t="e">
        <f t="shared" si="38"/>
        <v>#REF!</v>
      </c>
      <c r="F102" t="e">
        <f t="shared" si="39"/>
        <v>#REF!</v>
      </c>
      <c r="G102" t="e">
        <f t="shared" si="34"/>
        <v>#REF!</v>
      </c>
      <c r="J102" t="e">
        <f>Reflection!A102</f>
        <v>#REF!</v>
      </c>
      <c r="K102" t="e">
        <f t="shared" si="40"/>
        <v>#REF!</v>
      </c>
      <c r="L102" t="e">
        <f t="shared" si="62"/>
        <v>#REF!</v>
      </c>
      <c r="M102" t="e">
        <f t="shared" si="41"/>
        <v>#REF!</v>
      </c>
      <c r="N102" t="e">
        <f t="shared" si="42"/>
        <v>#REF!</v>
      </c>
      <c r="O102" t="e">
        <f t="shared" si="43"/>
        <v>#REF!</v>
      </c>
      <c r="P102" t="e">
        <f t="shared" si="44"/>
        <v>#REF!</v>
      </c>
      <c r="S102" t="e">
        <f>Reflection!A102</f>
        <v>#REF!</v>
      </c>
      <c r="T102" t="e">
        <f t="shared" si="45"/>
        <v>#REF!</v>
      </c>
      <c r="U102" t="e">
        <f t="shared" si="46"/>
        <v>#REF!</v>
      </c>
      <c r="V102" t="e">
        <f t="shared" si="47"/>
        <v>#REF!</v>
      </c>
      <c r="W102" t="e">
        <f t="shared" si="48"/>
        <v>#REF!</v>
      </c>
      <c r="X102" t="e">
        <f t="shared" si="49"/>
        <v>#REF!</v>
      </c>
      <c r="Y102" t="e">
        <f t="shared" si="50"/>
        <v>#REF!</v>
      </c>
      <c r="AB102" t="e">
        <f>Reflection!A102</f>
        <v>#REF!</v>
      </c>
      <c r="AC102" t="e">
        <f t="shared" si="51"/>
        <v>#REF!</v>
      </c>
      <c r="AD102" t="e">
        <f t="shared" si="52"/>
        <v>#REF!</v>
      </c>
      <c r="AE102" t="e">
        <f t="shared" si="53"/>
        <v>#REF!</v>
      </c>
      <c r="AF102" t="e">
        <f t="shared" si="54"/>
        <v>#REF!</v>
      </c>
      <c r="AG102" t="e">
        <f t="shared" si="55"/>
        <v>#REF!</v>
      </c>
      <c r="AH102" t="e">
        <f t="shared" si="56"/>
        <v>#REF!</v>
      </c>
      <c r="AK102" t="e">
        <f>Reflection!A102</f>
        <v>#REF!</v>
      </c>
      <c r="AL102" t="e">
        <f t="shared" si="57"/>
        <v>#REF!</v>
      </c>
      <c r="AM102" t="e">
        <f t="shared" si="63"/>
        <v>#REF!</v>
      </c>
      <c r="AN102" t="e">
        <f t="shared" si="58"/>
        <v>#REF!</v>
      </c>
      <c r="AO102" t="e">
        <f t="shared" si="59"/>
        <v>#REF!</v>
      </c>
      <c r="AP102" t="e">
        <f t="shared" si="60"/>
        <v>#REF!</v>
      </c>
      <c r="AQ102" t="e">
        <f t="shared" si="61"/>
        <v>#REF!</v>
      </c>
    </row>
    <row r="103" spans="1:43" x14ac:dyDescent="0.15">
      <c r="A103" t="e">
        <f>Reflection!A103</f>
        <v>#REF!</v>
      </c>
      <c r="B103" t="e">
        <f t="shared" si="32"/>
        <v>#REF!</v>
      </c>
      <c r="C103" t="e">
        <f t="shared" si="33"/>
        <v>#REF!</v>
      </c>
      <c r="D103" t="e">
        <f t="shared" si="37"/>
        <v>#REF!</v>
      </c>
      <c r="E103" t="e">
        <f t="shared" si="38"/>
        <v>#REF!</v>
      </c>
      <c r="F103" t="e">
        <f t="shared" si="39"/>
        <v>#REF!</v>
      </c>
      <c r="G103" t="e">
        <f t="shared" si="34"/>
        <v>#REF!</v>
      </c>
      <c r="J103" t="e">
        <f>Reflection!A103</f>
        <v>#REF!</v>
      </c>
      <c r="K103" t="e">
        <f t="shared" si="40"/>
        <v>#REF!</v>
      </c>
      <c r="L103" t="e">
        <f t="shared" si="62"/>
        <v>#REF!</v>
      </c>
      <c r="M103" t="e">
        <f t="shared" si="41"/>
        <v>#REF!</v>
      </c>
      <c r="N103" t="e">
        <f t="shared" si="42"/>
        <v>#REF!</v>
      </c>
      <c r="O103" t="e">
        <f t="shared" si="43"/>
        <v>#REF!</v>
      </c>
      <c r="P103" t="e">
        <f t="shared" si="44"/>
        <v>#REF!</v>
      </c>
      <c r="S103" t="e">
        <f>Reflection!A103</f>
        <v>#REF!</v>
      </c>
      <c r="T103" t="e">
        <f t="shared" si="45"/>
        <v>#REF!</v>
      </c>
      <c r="U103" t="e">
        <f t="shared" si="46"/>
        <v>#REF!</v>
      </c>
      <c r="V103" t="e">
        <f t="shared" si="47"/>
        <v>#REF!</v>
      </c>
      <c r="W103" t="e">
        <f t="shared" si="48"/>
        <v>#REF!</v>
      </c>
      <c r="X103" t="e">
        <f t="shared" si="49"/>
        <v>#REF!</v>
      </c>
      <c r="Y103" t="e">
        <f t="shared" si="50"/>
        <v>#REF!</v>
      </c>
      <c r="AB103" t="e">
        <f>Reflection!A103</f>
        <v>#REF!</v>
      </c>
      <c r="AC103" t="e">
        <f t="shared" si="51"/>
        <v>#REF!</v>
      </c>
      <c r="AD103" t="e">
        <f t="shared" si="52"/>
        <v>#REF!</v>
      </c>
      <c r="AE103" t="e">
        <f t="shared" si="53"/>
        <v>#REF!</v>
      </c>
      <c r="AF103" t="e">
        <f t="shared" si="54"/>
        <v>#REF!</v>
      </c>
      <c r="AG103" t="e">
        <f t="shared" si="55"/>
        <v>#REF!</v>
      </c>
      <c r="AH103" t="e">
        <f t="shared" si="56"/>
        <v>#REF!</v>
      </c>
      <c r="AK103" t="e">
        <f>Reflection!A103</f>
        <v>#REF!</v>
      </c>
      <c r="AL103" t="e">
        <f t="shared" si="57"/>
        <v>#REF!</v>
      </c>
      <c r="AM103" t="e">
        <f t="shared" si="63"/>
        <v>#REF!</v>
      </c>
      <c r="AN103" t="e">
        <f t="shared" si="58"/>
        <v>#REF!</v>
      </c>
      <c r="AO103" t="e">
        <f t="shared" si="59"/>
        <v>#REF!</v>
      </c>
      <c r="AP103" t="e">
        <f t="shared" si="60"/>
        <v>#REF!</v>
      </c>
      <c r="AQ103" t="e">
        <f t="shared" si="61"/>
        <v>#REF!</v>
      </c>
    </row>
    <row r="104" spans="1:43" x14ac:dyDescent="0.15">
      <c r="A104" t="e">
        <f>Reflection!A104</f>
        <v>#REF!</v>
      </c>
      <c r="B104" t="e">
        <f t="shared" si="32"/>
        <v>#REF!</v>
      </c>
      <c r="C104" t="e">
        <f t="shared" si="33"/>
        <v>#REF!</v>
      </c>
      <c r="D104" t="e">
        <f t="shared" si="37"/>
        <v>#REF!</v>
      </c>
      <c r="E104" t="e">
        <f t="shared" si="38"/>
        <v>#REF!</v>
      </c>
      <c r="F104" t="e">
        <f t="shared" si="39"/>
        <v>#REF!</v>
      </c>
      <c r="G104" t="e">
        <f t="shared" si="34"/>
        <v>#REF!</v>
      </c>
      <c r="J104" t="e">
        <f>Reflection!A104</f>
        <v>#REF!</v>
      </c>
      <c r="K104" t="e">
        <f t="shared" si="40"/>
        <v>#REF!</v>
      </c>
      <c r="L104" t="e">
        <f t="shared" si="62"/>
        <v>#REF!</v>
      </c>
      <c r="M104" t="e">
        <f t="shared" si="41"/>
        <v>#REF!</v>
      </c>
      <c r="N104" t="e">
        <f t="shared" si="42"/>
        <v>#REF!</v>
      </c>
      <c r="O104" t="e">
        <f t="shared" si="43"/>
        <v>#REF!</v>
      </c>
      <c r="P104" t="e">
        <f t="shared" si="44"/>
        <v>#REF!</v>
      </c>
      <c r="S104" t="e">
        <f>Reflection!A104</f>
        <v>#REF!</v>
      </c>
      <c r="T104" t="e">
        <f t="shared" si="45"/>
        <v>#REF!</v>
      </c>
      <c r="U104" t="e">
        <f t="shared" si="46"/>
        <v>#REF!</v>
      </c>
      <c r="V104" t="e">
        <f t="shared" si="47"/>
        <v>#REF!</v>
      </c>
      <c r="W104" t="e">
        <f t="shared" si="48"/>
        <v>#REF!</v>
      </c>
      <c r="X104" t="e">
        <f t="shared" si="49"/>
        <v>#REF!</v>
      </c>
      <c r="Y104" t="e">
        <f t="shared" si="50"/>
        <v>#REF!</v>
      </c>
      <c r="AB104" t="e">
        <f>Reflection!A104</f>
        <v>#REF!</v>
      </c>
      <c r="AC104" t="e">
        <f t="shared" si="51"/>
        <v>#REF!</v>
      </c>
      <c r="AD104" t="e">
        <f t="shared" si="52"/>
        <v>#REF!</v>
      </c>
      <c r="AE104" t="e">
        <f t="shared" si="53"/>
        <v>#REF!</v>
      </c>
      <c r="AF104" t="e">
        <f t="shared" si="54"/>
        <v>#REF!</v>
      </c>
      <c r="AG104" t="e">
        <f t="shared" si="55"/>
        <v>#REF!</v>
      </c>
      <c r="AH104" t="e">
        <f t="shared" si="56"/>
        <v>#REF!</v>
      </c>
      <c r="AK104" t="e">
        <f>Reflection!A104</f>
        <v>#REF!</v>
      </c>
      <c r="AL104" t="e">
        <f t="shared" si="57"/>
        <v>#REF!</v>
      </c>
      <c r="AM104" t="e">
        <f t="shared" si="63"/>
        <v>#REF!</v>
      </c>
      <c r="AN104" t="e">
        <f t="shared" si="58"/>
        <v>#REF!</v>
      </c>
      <c r="AO104" t="e">
        <f t="shared" si="59"/>
        <v>#REF!</v>
      </c>
      <c r="AP104" t="e">
        <f t="shared" si="60"/>
        <v>#REF!</v>
      </c>
      <c r="AQ104" t="e">
        <f t="shared" si="61"/>
        <v>#REF!</v>
      </c>
    </row>
    <row r="105" spans="1:43" x14ac:dyDescent="0.15">
      <c r="A105" t="e">
        <f>Reflection!A105</f>
        <v>#REF!</v>
      </c>
      <c r="B105" t="e">
        <f t="shared" si="32"/>
        <v>#REF!</v>
      </c>
      <c r="C105" t="e">
        <f t="shared" si="33"/>
        <v>#REF!</v>
      </c>
      <c r="D105" t="e">
        <f t="shared" si="37"/>
        <v>#REF!</v>
      </c>
      <c r="E105" t="e">
        <f t="shared" si="38"/>
        <v>#REF!</v>
      </c>
      <c r="F105" t="e">
        <f t="shared" si="39"/>
        <v>#REF!</v>
      </c>
      <c r="G105" t="e">
        <f t="shared" si="34"/>
        <v>#REF!</v>
      </c>
      <c r="J105" t="e">
        <f>Reflection!A105</f>
        <v>#REF!</v>
      </c>
      <c r="K105" t="e">
        <f t="shared" si="40"/>
        <v>#REF!</v>
      </c>
      <c r="L105" t="e">
        <f t="shared" si="62"/>
        <v>#REF!</v>
      </c>
      <c r="M105" t="e">
        <f t="shared" si="41"/>
        <v>#REF!</v>
      </c>
      <c r="N105" t="e">
        <f t="shared" si="42"/>
        <v>#REF!</v>
      </c>
      <c r="O105" t="e">
        <f t="shared" si="43"/>
        <v>#REF!</v>
      </c>
      <c r="P105" t="e">
        <f t="shared" si="44"/>
        <v>#REF!</v>
      </c>
      <c r="S105" t="e">
        <f>Reflection!A105</f>
        <v>#REF!</v>
      </c>
      <c r="T105" t="e">
        <f t="shared" si="45"/>
        <v>#REF!</v>
      </c>
      <c r="U105" t="e">
        <f t="shared" si="46"/>
        <v>#REF!</v>
      </c>
      <c r="V105" t="e">
        <f t="shared" si="47"/>
        <v>#REF!</v>
      </c>
      <c r="W105" t="e">
        <f t="shared" si="48"/>
        <v>#REF!</v>
      </c>
      <c r="X105" t="e">
        <f t="shared" si="49"/>
        <v>#REF!</v>
      </c>
      <c r="Y105" t="e">
        <f t="shared" si="50"/>
        <v>#REF!</v>
      </c>
      <c r="AB105" t="e">
        <f>Reflection!A105</f>
        <v>#REF!</v>
      </c>
      <c r="AC105" t="e">
        <f t="shared" si="51"/>
        <v>#REF!</v>
      </c>
      <c r="AD105" t="e">
        <f t="shared" si="52"/>
        <v>#REF!</v>
      </c>
      <c r="AE105" t="e">
        <f t="shared" si="53"/>
        <v>#REF!</v>
      </c>
      <c r="AF105" t="e">
        <f t="shared" si="54"/>
        <v>#REF!</v>
      </c>
      <c r="AG105" t="e">
        <f t="shared" si="55"/>
        <v>#REF!</v>
      </c>
      <c r="AH105" t="e">
        <f t="shared" si="56"/>
        <v>#REF!</v>
      </c>
      <c r="AK105" t="e">
        <f>Reflection!A105</f>
        <v>#REF!</v>
      </c>
      <c r="AL105" t="e">
        <f t="shared" si="57"/>
        <v>#REF!</v>
      </c>
      <c r="AM105" t="e">
        <f t="shared" si="63"/>
        <v>#REF!</v>
      </c>
      <c r="AN105" t="e">
        <f t="shared" si="58"/>
        <v>#REF!</v>
      </c>
      <c r="AO105" t="e">
        <f t="shared" si="59"/>
        <v>#REF!</v>
      </c>
      <c r="AP105" t="e">
        <f t="shared" si="60"/>
        <v>#REF!</v>
      </c>
      <c r="AQ105" t="e">
        <f t="shared" si="61"/>
        <v>#REF!</v>
      </c>
    </row>
    <row r="106" spans="1:43" x14ac:dyDescent="0.15">
      <c r="A106" t="e">
        <f>Reflection!A106</f>
        <v>#REF!</v>
      </c>
      <c r="B106" t="e">
        <f t="shared" si="32"/>
        <v>#REF!</v>
      </c>
      <c r="C106" t="e">
        <f t="shared" si="33"/>
        <v>#REF!</v>
      </c>
      <c r="D106" t="e">
        <f t="shared" si="37"/>
        <v>#REF!</v>
      </c>
      <c r="E106" t="e">
        <f t="shared" si="38"/>
        <v>#REF!</v>
      </c>
      <c r="F106" t="e">
        <f t="shared" si="39"/>
        <v>#REF!</v>
      </c>
      <c r="G106" t="e">
        <f t="shared" si="34"/>
        <v>#REF!</v>
      </c>
      <c r="J106" t="e">
        <f>Reflection!A106</f>
        <v>#REF!</v>
      </c>
      <c r="K106" t="e">
        <f t="shared" si="40"/>
        <v>#REF!</v>
      </c>
      <c r="L106" t="e">
        <f t="shared" si="62"/>
        <v>#REF!</v>
      </c>
      <c r="M106" t="e">
        <f t="shared" si="41"/>
        <v>#REF!</v>
      </c>
      <c r="N106" t="e">
        <f t="shared" si="42"/>
        <v>#REF!</v>
      </c>
      <c r="O106" t="e">
        <f t="shared" si="43"/>
        <v>#REF!</v>
      </c>
      <c r="P106" t="e">
        <f t="shared" si="44"/>
        <v>#REF!</v>
      </c>
      <c r="S106" t="e">
        <f>Reflection!A106</f>
        <v>#REF!</v>
      </c>
      <c r="T106" t="e">
        <f t="shared" si="45"/>
        <v>#REF!</v>
      </c>
      <c r="U106" t="e">
        <f t="shared" si="46"/>
        <v>#REF!</v>
      </c>
      <c r="V106" t="e">
        <f t="shared" si="47"/>
        <v>#REF!</v>
      </c>
      <c r="W106" t="e">
        <f t="shared" si="48"/>
        <v>#REF!</v>
      </c>
      <c r="X106" t="e">
        <f t="shared" si="49"/>
        <v>#REF!</v>
      </c>
      <c r="Y106" t="e">
        <f t="shared" si="50"/>
        <v>#REF!</v>
      </c>
      <c r="AB106" t="e">
        <f>Reflection!A106</f>
        <v>#REF!</v>
      </c>
      <c r="AC106" t="e">
        <f t="shared" si="51"/>
        <v>#REF!</v>
      </c>
      <c r="AD106" t="e">
        <f t="shared" si="52"/>
        <v>#REF!</v>
      </c>
      <c r="AE106" t="e">
        <f t="shared" si="53"/>
        <v>#REF!</v>
      </c>
      <c r="AF106" t="e">
        <f t="shared" si="54"/>
        <v>#REF!</v>
      </c>
      <c r="AG106" t="e">
        <f t="shared" si="55"/>
        <v>#REF!</v>
      </c>
      <c r="AH106" t="e">
        <f t="shared" si="56"/>
        <v>#REF!</v>
      </c>
      <c r="AK106" t="e">
        <f>Reflection!A106</f>
        <v>#REF!</v>
      </c>
      <c r="AL106" t="e">
        <f t="shared" si="57"/>
        <v>#REF!</v>
      </c>
      <c r="AM106" t="e">
        <f t="shared" si="63"/>
        <v>#REF!</v>
      </c>
      <c r="AN106" t="e">
        <f t="shared" si="58"/>
        <v>#REF!</v>
      </c>
      <c r="AO106" t="e">
        <f t="shared" si="59"/>
        <v>#REF!</v>
      </c>
      <c r="AP106" t="e">
        <f t="shared" si="60"/>
        <v>#REF!</v>
      </c>
      <c r="AQ106" t="e">
        <f t="shared" si="61"/>
        <v>#REF!</v>
      </c>
    </row>
    <row r="107" spans="1:43" x14ac:dyDescent="0.15">
      <c r="A107" t="e">
        <f>Reflection!A107</f>
        <v>#REF!</v>
      </c>
      <c r="B107" t="e">
        <f t="shared" si="32"/>
        <v>#REF!</v>
      </c>
      <c r="C107" t="e">
        <f t="shared" si="33"/>
        <v>#REF!</v>
      </c>
      <c r="D107" t="e">
        <f t="shared" si="37"/>
        <v>#REF!</v>
      </c>
      <c r="E107" t="e">
        <f t="shared" si="38"/>
        <v>#REF!</v>
      </c>
      <c r="F107" t="e">
        <f t="shared" si="39"/>
        <v>#REF!</v>
      </c>
      <c r="G107" t="e">
        <f t="shared" si="34"/>
        <v>#REF!</v>
      </c>
      <c r="J107" t="e">
        <f>Reflection!A107</f>
        <v>#REF!</v>
      </c>
      <c r="K107" t="e">
        <f t="shared" si="40"/>
        <v>#REF!</v>
      </c>
      <c r="L107" t="e">
        <f t="shared" si="62"/>
        <v>#REF!</v>
      </c>
      <c r="M107" t="e">
        <f t="shared" si="41"/>
        <v>#REF!</v>
      </c>
      <c r="N107" t="e">
        <f t="shared" si="42"/>
        <v>#REF!</v>
      </c>
      <c r="O107" t="e">
        <f t="shared" si="43"/>
        <v>#REF!</v>
      </c>
      <c r="P107" t="e">
        <f t="shared" si="44"/>
        <v>#REF!</v>
      </c>
      <c r="S107" t="e">
        <f>Reflection!A107</f>
        <v>#REF!</v>
      </c>
      <c r="T107" t="e">
        <f t="shared" si="45"/>
        <v>#REF!</v>
      </c>
      <c r="U107" t="e">
        <f t="shared" si="46"/>
        <v>#REF!</v>
      </c>
      <c r="V107" t="e">
        <f t="shared" si="47"/>
        <v>#REF!</v>
      </c>
      <c r="W107" t="e">
        <f t="shared" si="48"/>
        <v>#REF!</v>
      </c>
      <c r="X107" t="e">
        <f t="shared" si="49"/>
        <v>#REF!</v>
      </c>
      <c r="Y107" t="e">
        <f t="shared" si="50"/>
        <v>#REF!</v>
      </c>
      <c r="AB107" t="e">
        <f>Reflection!A107</f>
        <v>#REF!</v>
      </c>
      <c r="AC107" t="e">
        <f t="shared" si="51"/>
        <v>#REF!</v>
      </c>
      <c r="AD107" t="e">
        <f t="shared" si="52"/>
        <v>#REF!</v>
      </c>
      <c r="AE107" t="e">
        <f t="shared" si="53"/>
        <v>#REF!</v>
      </c>
      <c r="AF107" t="e">
        <f t="shared" si="54"/>
        <v>#REF!</v>
      </c>
      <c r="AG107" t="e">
        <f t="shared" si="55"/>
        <v>#REF!</v>
      </c>
      <c r="AH107" t="e">
        <f t="shared" si="56"/>
        <v>#REF!</v>
      </c>
      <c r="AK107" t="e">
        <f>Reflection!A107</f>
        <v>#REF!</v>
      </c>
      <c r="AL107" t="e">
        <f t="shared" si="57"/>
        <v>#REF!</v>
      </c>
      <c r="AM107" t="e">
        <f t="shared" si="63"/>
        <v>#REF!</v>
      </c>
      <c r="AN107" t="e">
        <f t="shared" si="58"/>
        <v>#REF!</v>
      </c>
      <c r="AO107" t="e">
        <f t="shared" si="59"/>
        <v>#REF!</v>
      </c>
      <c r="AP107" t="e">
        <f t="shared" si="60"/>
        <v>#REF!</v>
      </c>
      <c r="AQ107" t="e">
        <f t="shared" si="61"/>
        <v>#REF!</v>
      </c>
    </row>
    <row r="108" spans="1:43" x14ac:dyDescent="0.15">
      <c r="A108" t="e">
        <f>Reflection!A108</f>
        <v>#REF!</v>
      </c>
      <c r="B108" t="e">
        <f t="shared" si="32"/>
        <v>#REF!</v>
      </c>
      <c r="C108" t="e">
        <f t="shared" si="33"/>
        <v>#REF!</v>
      </c>
      <c r="D108" t="e">
        <f t="shared" si="37"/>
        <v>#REF!</v>
      </c>
      <c r="E108" t="e">
        <f t="shared" si="38"/>
        <v>#REF!</v>
      </c>
      <c r="F108" t="e">
        <f t="shared" si="39"/>
        <v>#REF!</v>
      </c>
      <c r="G108" t="e">
        <f t="shared" si="34"/>
        <v>#REF!</v>
      </c>
      <c r="J108" t="e">
        <f>Reflection!A108</f>
        <v>#REF!</v>
      </c>
      <c r="K108" t="e">
        <f t="shared" si="40"/>
        <v>#REF!</v>
      </c>
      <c r="L108" t="e">
        <f t="shared" si="62"/>
        <v>#REF!</v>
      </c>
      <c r="M108" t="e">
        <f t="shared" si="41"/>
        <v>#REF!</v>
      </c>
      <c r="N108" t="e">
        <f t="shared" si="42"/>
        <v>#REF!</v>
      </c>
      <c r="O108" t="e">
        <f t="shared" si="43"/>
        <v>#REF!</v>
      </c>
      <c r="P108" t="e">
        <f t="shared" si="44"/>
        <v>#REF!</v>
      </c>
      <c r="S108" t="e">
        <f>Reflection!A108</f>
        <v>#REF!</v>
      </c>
      <c r="T108" t="e">
        <f t="shared" si="45"/>
        <v>#REF!</v>
      </c>
      <c r="U108" t="e">
        <f t="shared" si="46"/>
        <v>#REF!</v>
      </c>
      <c r="V108" t="e">
        <f t="shared" si="47"/>
        <v>#REF!</v>
      </c>
      <c r="W108" t="e">
        <f t="shared" si="48"/>
        <v>#REF!</v>
      </c>
      <c r="X108" t="e">
        <f t="shared" si="49"/>
        <v>#REF!</v>
      </c>
      <c r="Y108" t="e">
        <f t="shared" si="50"/>
        <v>#REF!</v>
      </c>
      <c r="AB108" t="e">
        <f>Reflection!A108</f>
        <v>#REF!</v>
      </c>
      <c r="AC108" t="e">
        <f t="shared" si="51"/>
        <v>#REF!</v>
      </c>
      <c r="AD108" t="e">
        <f t="shared" si="52"/>
        <v>#REF!</v>
      </c>
      <c r="AE108" t="e">
        <f t="shared" si="53"/>
        <v>#REF!</v>
      </c>
      <c r="AF108" t="e">
        <f t="shared" si="54"/>
        <v>#REF!</v>
      </c>
      <c r="AG108" t="e">
        <f t="shared" si="55"/>
        <v>#REF!</v>
      </c>
      <c r="AH108" t="e">
        <f t="shared" si="56"/>
        <v>#REF!</v>
      </c>
      <c r="AK108" t="e">
        <f>Reflection!A108</f>
        <v>#REF!</v>
      </c>
      <c r="AL108" t="e">
        <f t="shared" si="57"/>
        <v>#REF!</v>
      </c>
      <c r="AM108" t="e">
        <f t="shared" si="63"/>
        <v>#REF!</v>
      </c>
      <c r="AN108" t="e">
        <f t="shared" si="58"/>
        <v>#REF!</v>
      </c>
      <c r="AO108" t="e">
        <f t="shared" si="59"/>
        <v>#REF!</v>
      </c>
      <c r="AP108" t="e">
        <f t="shared" si="60"/>
        <v>#REF!</v>
      </c>
      <c r="AQ108" t="e">
        <f t="shared" si="61"/>
        <v>#REF!</v>
      </c>
    </row>
    <row r="109" spans="1:43" x14ac:dyDescent="0.15">
      <c r="A109" t="e">
        <f>Reflection!A109</f>
        <v>#REF!</v>
      </c>
      <c r="B109" t="e">
        <f t="shared" si="32"/>
        <v>#REF!</v>
      </c>
      <c r="C109" t="e">
        <f t="shared" si="33"/>
        <v>#REF!</v>
      </c>
      <c r="D109" t="e">
        <f t="shared" si="37"/>
        <v>#REF!</v>
      </c>
      <c r="E109" t="e">
        <f t="shared" si="38"/>
        <v>#REF!</v>
      </c>
      <c r="F109" t="e">
        <f t="shared" si="39"/>
        <v>#REF!</v>
      </c>
      <c r="G109" t="e">
        <f t="shared" si="34"/>
        <v>#REF!</v>
      </c>
      <c r="J109" t="e">
        <f>Reflection!A109</f>
        <v>#REF!</v>
      </c>
      <c r="K109" t="e">
        <f t="shared" si="40"/>
        <v>#REF!</v>
      </c>
      <c r="L109" t="e">
        <f t="shared" si="62"/>
        <v>#REF!</v>
      </c>
      <c r="M109" t="e">
        <f t="shared" si="41"/>
        <v>#REF!</v>
      </c>
      <c r="N109" t="e">
        <f t="shared" si="42"/>
        <v>#REF!</v>
      </c>
      <c r="O109" t="e">
        <f t="shared" si="43"/>
        <v>#REF!</v>
      </c>
      <c r="P109" t="e">
        <f t="shared" si="44"/>
        <v>#REF!</v>
      </c>
      <c r="S109" t="e">
        <f>Reflection!A109</f>
        <v>#REF!</v>
      </c>
      <c r="T109" t="e">
        <f t="shared" si="45"/>
        <v>#REF!</v>
      </c>
      <c r="U109" t="e">
        <f t="shared" si="46"/>
        <v>#REF!</v>
      </c>
      <c r="V109" t="e">
        <f t="shared" si="47"/>
        <v>#REF!</v>
      </c>
      <c r="W109" t="e">
        <f t="shared" si="48"/>
        <v>#REF!</v>
      </c>
      <c r="X109" t="e">
        <f t="shared" si="49"/>
        <v>#REF!</v>
      </c>
      <c r="Y109" t="e">
        <f t="shared" si="50"/>
        <v>#REF!</v>
      </c>
      <c r="AB109" t="e">
        <f>Reflection!A109</f>
        <v>#REF!</v>
      </c>
      <c r="AC109" t="e">
        <f t="shared" si="51"/>
        <v>#REF!</v>
      </c>
      <c r="AD109" t="e">
        <f t="shared" si="52"/>
        <v>#REF!</v>
      </c>
      <c r="AE109" t="e">
        <f t="shared" si="53"/>
        <v>#REF!</v>
      </c>
      <c r="AF109" t="e">
        <f t="shared" si="54"/>
        <v>#REF!</v>
      </c>
      <c r="AG109" t="e">
        <f t="shared" si="55"/>
        <v>#REF!</v>
      </c>
      <c r="AH109" t="e">
        <f t="shared" si="56"/>
        <v>#REF!</v>
      </c>
      <c r="AK109" t="e">
        <f>Reflection!A109</f>
        <v>#REF!</v>
      </c>
      <c r="AL109" t="e">
        <f t="shared" si="57"/>
        <v>#REF!</v>
      </c>
      <c r="AM109" t="e">
        <f t="shared" si="63"/>
        <v>#REF!</v>
      </c>
      <c r="AN109" t="e">
        <f t="shared" si="58"/>
        <v>#REF!</v>
      </c>
      <c r="AO109" t="e">
        <f t="shared" si="59"/>
        <v>#REF!</v>
      </c>
      <c r="AP109" t="e">
        <f t="shared" si="60"/>
        <v>#REF!</v>
      </c>
      <c r="AQ109" t="e">
        <f t="shared" si="61"/>
        <v>#REF!</v>
      </c>
    </row>
    <row r="110" spans="1:43" x14ac:dyDescent="0.15">
      <c r="A110" t="e">
        <f>Reflection!A110</f>
        <v>#REF!</v>
      </c>
      <c r="B110" t="e">
        <f t="shared" si="32"/>
        <v>#REF!</v>
      </c>
      <c r="C110" t="e">
        <f t="shared" si="33"/>
        <v>#REF!</v>
      </c>
      <c r="D110" t="e">
        <f t="shared" si="37"/>
        <v>#REF!</v>
      </c>
      <c r="E110" t="e">
        <f t="shared" si="38"/>
        <v>#REF!</v>
      </c>
      <c r="F110" t="e">
        <f t="shared" si="39"/>
        <v>#REF!</v>
      </c>
      <c r="G110" t="e">
        <f t="shared" si="34"/>
        <v>#REF!</v>
      </c>
      <c r="J110" t="e">
        <f>Reflection!A110</f>
        <v>#REF!</v>
      </c>
      <c r="K110" t="e">
        <f t="shared" si="40"/>
        <v>#REF!</v>
      </c>
      <c r="L110" t="e">
        <f t="shared" si="62"/>
        <v>#REF!</v>
      </c>
      <c r="M110" t="e">
        <f t="shared" si="41"/>
        <v>#REF!</v>
      </c>
      <c r="N110" t="e">
        <f t="shared" si="42"/>
        <v>#REF!</v>
      </c>
      <c r="O110" t="e">
        <f t="shared" si="43"/>
        <v>#REF!</v>
      </c>
      <c r="P110" t="e">
        <f t="shared" si="44"/>
        <v>#REF!</v>
      </c>
      <c r="S110" t="e">
        <f>Reflection!A110</f>
        <v>#REF!</v>
      </c>
      <c r="T110" t="e">
        <f t="shared" si="45"/>
        <v>#REF!</v>
      </c>
      <c r="U110" t="e">
        <f t="shared" si="46"/>
        <v>#REF!</v>
      </c>
      <c r="V110" t="e">
        <f t="shared" si="47"/>
        <v>#REF!</v>
      </c>
      <c r="W110" t="e">
        <f t="shared" si="48"/>
        <v>#REF!</v>
      </c>
      <c r="X110" t="e">
        <f t="shared" si="49"/>
        <v>#REF!</v>
      </c>
      <c r="Y110" t="e">
        <f t="shared" si="50"/>
        <v>#REF!</v>
      </c>
      <c r="AB110" t="e">
        <f>Reflection!A110</f>
        <v>#REF!</v>
      </c>
      <c r="AC110" t="e">
        <f t="shared" si="51"/>
        <v>#REF!</v>
      </c>
      <c r="AD110" t="e">
        <f t="shared" si="52"/>
        <v>#REF!</v>
      </c>
      <c r="AE110" t="e">
        <f t="shared" si="53"/>
        <v>#REF!</v>
      </c>
      <c r="AF110" t="e">
        <f t="shared" si="54"/>
        <v>#REF!</v>
      </c>
      <c r="AG110" t="e">
        <f t="shared" si="55"/>
        <v>#REF!</v>
      </c>
      <c r="AH110" t="e">
        <f t="shared" si="56"/>
        <v>#REF!</v>
      </c>
      <c r="AK110" t="e">
        <f>Reflection!A110</f>
        <v>#REF!</v>
      </c>
      <c r="AL110" t="e">
        <f t="shared" si="57"/>
        <v>#REF!</v>
      </c>
      <c r="AM110" t="e">
        <f t="shared" si="63"/>
        <v>#REF!</v>
      </c>
      <c r="AN110" t="e">
        <f t="shared" si="58"/>
        <v>#REF!</v>
      </c>
      <c r="AO110" t="e">
        <f t="shared" si="59"/>
        <v>#REF!</v>
      </c>
      <c r="AP110" t="e">
        <f t="shared" si="60"/>
        <v>#REF!</v>
      </c>
      <c r="AQ110" t="e">
        <f t="shared" si="61"/>
        <v>#REF!</v>
      </c>
    </row>
    <row r="111" spans="1:43" x14ac:dyDescent="0.15">
      <c r="A111" t="e">
        <f>Reflection!A111</f>
        <v>#REF!</v>
      </c>
      <c r="B111" t="e">
        <f t="shared" si="32"/>
        <v>#REF!</v>
      </c>
      <c r="C111" t="e">
        <f t="shared" si="33"/>
        <v>#REF!</v>
      </c>
      <c r="D111" t="e">
        <f t="shared" si="37"/>
        <v>#REF!</v>
      </c>
      <c r="E111" t="e">
        <f t="shared" si="38"/>
        <v>#REF!</v>
      </c>
      <c r="F111" t="e">
        <f t="shared" si="39"/>
        <v>#REF!</v>
      </c>
      <c r="G111" t="e">
        <f t="shared" si="34"/>
        <v>#REF!</v>
      </c>
      <c r="J111" t="e">
        <f>Reflection!A111</f>
        <v>#REF!</v>
      </c>
      <c r="K111" t="e">
        <f t="shared" si="40"/>
        <v>#REF!</v>
      </c>
      <c r="L111" t="e">
        <f t="shared" si="62"/>
        <v>#REF!</v>
      </c>
      <c r="M111" t="e">
        <f t="shared" si="41"/>
        <v>#REF!</v>
      </c>
      <c r="N111" t="e">
        <f t="shared" si="42"/>
        <v>#REF!</v>
      </c>
      <c r="O111" t="e">
        <f t="shared" si="43"/>
        <v>#REF!</v>
      </c>
      <c r="P111" t="e">
        <f t="shared" si="44"/>
        <v>#REF!</v>
      </c>
      <c r="S111" t="e">
        <f>Reflection!A111</f>
        <v>#REF!</v>
      </c>
      <c r="T111" t="e">
        <f t="shared" si="45"/>
        <v>#REF!</v>
      </c>
      <c r="U111" t="e">
        <f t="shared" si="46"/>
        <v>#REF!</v>
      </c>
      <c r="V111" t="e">
        <f t="shared" si="47"/>
        <v>#REF!</v>
      </c>
      <c r="W111" t="e">
        <f t="shared" si="48"/>
        <v>#REF!</v>
      </c>
      <c r="X111" t="e">
        <f t="shared" si="49"/>
        <v>#REF!</v>
      </c>
      <c r="Y111" t="e">
        <f t="shared" si="50"/>
        <v>#REF!</v>
      </c>
      <c r="AB111" t="e">
        <f>Reflection!A111</f>
        <v>#REF!</v>
      </c>
      <c r="AC111" t="e">
        <f t="shared" si="51"/>
        <v>#REF!</v>
      </c>
      <c r="AD111" t="e">
        <f t="shared" si="52"/>
        <v>#REF!</v>
      </c>
      <c r="AE111" t="e">
        <f t="shared" si="53"/>
        <v>#REF!</v>
      </c>
      <c r="AF111" t="e">
        <f t="shared" si="54"/>
        <v>#REF!</v>
      </c>
      <c r="AG111" t="e">
        <f t="shared" si="55"/>
        <v>#REF!</v>
      </c>
      <c r="AH111" t="e">
        <f t="shared" si="56"/>
        <v>#REF!</v>
      </c>
      <c r="AK111" t="e">
        <f>Reflection!A111</f>
        <v>#REF!</v>
      </c>
      <c r="AL111" t="e">
        <f t="shared" si="57"/>
        <v>#REF!</v>
      </c>
      <c r="AM111" t="e">
        <f t="shared" si="63"/>
        <v>#REF!</v>
      </c>
      <c r="AN111" t="e">
        <f t="shared" si="58"/>
        <v>#REF!</v>
      </c>
      <c r="AO111" t="e">
        <f t="shared" si="59"/>
        <v>#REF!</v>
      </c>
      <c r="AP111" t="e">
        <f t="shared" si="60"/>
        <v>#REF!</v>
      </c>
      <c r="AQ111" t="e">
        <f t="shared" si="61"/>
        <v>#REF!</v>
      </c>
    </row>
    <row r="112" spans="1:43" x14ac:dyDescent="0.15">
      <c r="A112" t="e">
        <f>Reflection!A112</f>
        <v>#REF!</v>
      </c>
      <c r="B112" t="e">
        <f t="shared" si="32"/>
        <v>#REF!</v>
      </c>
      <c r="C112" t="e">
        <f t="shared" si="33"/>
        <v>#REF!</v>
      </c>
      <c r="D112" t="e">
        <f t="shared" si="37"/>
        <v>#REF!</v>
      </c>
      <c r="E112" t="e">
        <f t="shared" si="38"/>
        <v>#REF!</v>
      </c>
      <c r="F112" t="e">
        <f t="shared" si="39"/>
        <v>#REF!</v>
      </c>
      <c r="G112" t="e">
        <f t="shared" si="34"/>
        <v>#REF!</v>
      </c>
      <c r="J112" t="e">
        <f>Reflection!A112</f>
        <v>#REF!</v>
      </c>
      <c r="K112" t="e">
        <f t="shared" si="40"/>
        <v>#REF!</v>
      </c>
      <c r="L112" t="e">
        <f t="shared" si="62"/>
        <v>#REF!</v>
      </c>
      <c r="M112" t="e">
        <f t="shared" si="41"/>
        <v>#REF!</v>
      </c>
      <c r="N112" t="e">
        <f t="shared" si="42"/>
        <v>#REF!</v>
      </c>
      <c r="O112" t="e">
        <f t="shared" si="43"/>
        <v>#REF!</v>
      </c>
      <c r="P112" t="e">
        <f t="shared" si="44"/>
        <v>#REF!</v>
      </c>
      <c r="S112" t="e">
        <f>Reflection!A112</f>
        <v>#REF!</v>
      </c>
      <c r="T112" t="e">
        <f t="shared" si="45"/>
        <v>#REF!</v>
      </c>
      <c r="U112" t="e">
        <f t="shared" si="46"/>
        <v>#REF!</v>
      </c>
      <c r="V112" t="e">
        <f t="shared" si="47"/>
        <v>#REF!</v>
      </c>
      <c r="W112" t="e">
        <f t="shared" si="48"/>
        <v>#REF!</v>
      </c>
      <c r="X112" t="e">
        <f t="shared" si="49"/>
        <v>#REF!</v>
      </c>
      <c r="Y112" t="e">
        <f t="shared" si="50"/>
        <v>#REF!</v>
      </c>
      <c r="AB112" t="e">
        <f>Reflection!A112</f>
        <v>#REF!</v>
      </c>
      <c r="AC112" t="e">
        <f t="shared" si="51"/>
        <v>#REF!</v>
      </c>
      <c r="AD112" t="e">
        <f t="shared" si="52"/>
        <v>#REF!</v>
      </c>
      <c r="AE112" t="e">
        <f t="shared" si="53"/>
        <v>#REF!</v>
      </c>
      <c r="AF112" t="e">
        <f t="shared" si="54"/>
        <v>#REF!</v>
      </c>
      <c r="AG112" t="e">
        <f t="shared" si="55"/>
        <v>#REF!</v>
      </c>
      <c r="AH112" t="e">
        <f t="shared" si="56"/>
        <v>#REF!</v>
      </c>
      <c r="AK112" t="e">
        <f>Reflection!A112</f>
        <v>#REF!</v>
      </c>
      <c r="AL112" t="e">
        <f t="shared" si="57"/>
        <v>#REF!</v>
      </c>
      <c r="AM112" t="e">
        <f t="shared" si="63"/>
        <v>#REF!</v>
      </c>
      <c r="AN112" t="e">
        <f t="shared" si="58"/>
        <v>#REF!</v>
      </c>
      <c r="AO112" t="e">
        <f t="shared" si="59"/>
        <v>#REF!</v>
      </c>
      <c r="AP112" t="e">
        <f t="shared" si="60"/>
        <v>#REF!</v>
      </c>
      <c r="AQ112" t="e">
        <f t="shared" si="61"/>
        <v>#REF!</v>
      </c>
    </row>
    <row r="113" spans="1:43" x14ac:dyDescent="0.15">
      <c r="A113" t="e">
        <f>Reflection!A113</f>
        <v>#REF!</v>
      </c>
      <c r="B113" t="e">
        <f t="shared" si="32"/>
        <v>#REF!</v>
      </c>
      <c r="C113" t="e">
        <f t="shared" si="33"/>
        <v>#REF!</v>
      </c>
      <c r="D113" t="e">
        <f t="shared" si="37"/>
        <v>#REF!</v>
      </c>
      <c r="E113" t="e">
        <f t="shared" si="38"/>
        <v>#REF!</v>
      </c>
      <c r="F113" t="e">
        <f t="shared" si="39"/>
        <v>#REF!</v>
      </c>
      <c r="G113" t="e">
        <f t="shared" si="34"/>
        <v>#REF!</v>
      </c>
      <c r="J113" t="e">
        <f>Reflection!A113</f>
        <v>#REF!</v>
      </c>
      <c r="K113" t="e">
        <f t="shared" si="40"/>
        <v>#REF!</v>
      </c>
      <c r="L113" t="e">
        <f t="shared" si="62"/>
        <v>#REF!</v>
      </c>
      <c r="M113" t="e">
        <f t="shared" si="41"/>
        <v>#REF!</v>
      </c>
      <c r="N113" t="e">
        <f t="shared" si="42"/>
        <v>#REF!</v>
      </c>
      <c r="O113" t="e">
        <f t="shared" si="43"/>
        <v>#REF!</v>
      </c>
      <c r="P113" t="e">
        <f t="shared" si="44"/>
        <v>#REF!</v>
      </c>
      <c r="S113" t="e">
        <f>Reflection!A113</f>
        <v>#REF!</v>
      </c>
      <c r="T113" t="e">
        <f t="shared" si="45"/>
        <v>#REF!</v>
      </c>
      <c r="U113" t="e">
        <f t="shared" si="46"/>
        <v>#REF!</v>
      </c>
      <c r="V113" t="e">
        <f t="shared" si="47"/>
        <v>#REF!</v>
      </c>
      <c r="W113" t="e">
        <f t="shared" si="48"/>
        <v>#REF!</v>
      </c>
      <c r="X113" t="e">
        <f t="shared" si="49"/>
        <v>#REF!</v>
      </c>
      <c r="Y113" t="e">
        <f t="shared" si="50"/>
        <v>#REF!</v>
      </c>
      <c r="AB113" t="e">
        <f>Reflection!A113</f>
        <v>#REF!</v>
      </c>
      <c r="AC113" t="e">
        <f t="shared" si="51"/>
        <v>#REF!</v>
      </c>
      <c r="AD113" t="e">
        <f t="shared" si="52"/>
        <v>#REF!</v>
      </c>
      <c r="AE113" t="e">
        <f t="shared" si="53"/>
        <v>#REF!</v>
      </c>
      <c r="AF113" t="e">
        <f t="shared" si="54"/>
        <v>#REF!</v>
      </c>
      <c r="AG113" t="e">
        <f t="shared" si="55"/>
        <v>#REF!</v>
      </c>
      <c r="AH113" t="e">
        <f t="shared" si="56"/>
        <v>#REF!</v>
      </c>
      <c r="AK113" t="e">
        <f>Reflection!A113</f>
        <v>#REF!</v>
      </c>
      <c r="AL113" t="e">
        <f t="shared" si="57"/>
        <v>#REF!</v>
      </c>
      <c r="AM113" t="e">
        <f t="shared" si="63"/>
        <v>#REF!</v>
      </c>
      <c r="AN113" t="e">
        <f t="shared" si="58"/>
        <v>#REF!</v>
      </c>
      <c r="AO113" t="e">
        <f t="shared" si="59"/>
        <v>#REF!</v>
      </c>
      <c r="AP113" t="e">
        <f t="shared" si="60"/>
        <v>#REF!</v>
      </c>
      <c r="AQ113" t="e">
        <f t="shared" si="61"/>
        <v>#REF!</v>
      </c>
    </row>
    <row r="114" spans="1:43" x14ac:dyDescent="0.15">
      <c r="A114" t="e">
        <f>Reflection!A114</f>
        <v>#REF!</v>
      </c>
      <c r="B114" t="e">
        <f t="shared" si="32"/>
        <v>#REF!</v>
      </c>
      <c r="C114" t="e">
        <f t="shared" si="33"/>
        <v>#REF!</v>
      </c>
      <c r="D114" t="e">
        <f t="shared" si="37"/>
        <v>#REF!</v>
      </c>
      <c r="E114" t="e">
        <f t="shared" si="38"/>
        <v>#REF!</v>
      </c>
      <c r="F114" t="e">
        <f t="shared" si="39"/>
        <v>#REF!</v>
      </c>
      <c r="G114" t="e">
        <f t="shared" si="34"/>
        <v>#REF!</v>
      </c>
      <c r="J114" t="e">
        <f>Reflection!A114</f>
        <v>#REF!</v>
      </c>
      <c r="K114" t="e">
        <f t="shared" si="40"/>
        <v>#REF!</v>
      </c>
      <c r="L114" t="e">
        <f t="shared" si="62"/>
        <v>#REF!</v>
      </c>
      <c r="M114" t="e">
        <f t="shared" si="41"/>
        <v>#REF!</v>
      </c>
      <c r="N114" t="e">
        <f t="shared" si="42"/>
        <v>#REF!</v>
      </c>
      <c r="O114" t="e">
        <f t="shared" si="43"/>
        <v>#REF!</v>
      </c>
      <c r="P114" t="e">
        <f t="shared" si="44"/>
        <v>#REF!</v>
      </c>
      <c r="S114" t="e">
        <f>Reflection!A114</f>
        <v>#REF!</v>
      </c>
      <c r="T114" t="e">
        <f t="shared" si="45"/>
        <v>#REF!</v>
      </c>
      <c r="U114" t="e">
        <f t="shared" si="46"/>
        <v>#REF!</v>
      </c>
      <c r="V114" t="e">
        <f t="shared" si="47"/>
        <v>#REF!</v>
      </c>
      <c r="W114" t="e">
        <f t="shared" si="48"/>
        <v>#REF!</v>
      </c>
      <c r="X114" t="e">
        <f t="shared" si="49"/>
        <v>#REF!</v>
      </c>
      <c r="Y114" t="e">
        <f t="shared" si="50"/>
        <v>#REF!</v>
      </c>
      <c r="AB114" t="e">
        <f>Reflection!A114</f>
        <v>#REF!</v>
      </c>
      <c r="AC114" t="e">
        <f t="shared" si="51"/>
        <v>#REF!</v>
      </c>
      <c r="AD114" t="e">
        <f t="shared" si="52"/>
        <v>#REF!</v>
      </c>
      <c r="AE114" t="e">
        <f t="shared" si="53"/>
        <v>#REF!</v>
      </c>
      <c r="AF114" t="e">
        <f t="shared" si="54"/>
        <v>#REF!</v>
      </c>
      <c r="AG114" t="e">
        <f t="shared" si="55"/>
        <v>#REF!</v>
      </c>
      <c r="AH114" t="e">
        <f t="shared" si="56"/>
        <v>#REF!</v>
      </c>
      <c r="AK114" t="e">
        <f>Reflection!A114</f>
        <v>#REF!</v>
      </c>
      <c r="AL114" t="e">
        <f t="shared" si="57"/>
        <v>#REF!</v>
      </c>
      <c r="AM114" t="e">
        <f t="shared" si="63"/>
        <v>#REF!</v>
      </c>
      <c r="AN114" t="e">
        <f t="shared" si="58"/>
        <v>#REF!</v>
      </c>
      <c r="AO114" t="e">
        <f t="shared" si="59"/>
        <v>#REF!</v>
      </c>
      <c r="AP114" t="e">
        <f t="shared" si="60"/>
        <v>#REF!</v>
      </c>
      <c r="AQ114" t="e">
        <f t="shared" si="61"/>
        <v>#REF!</v>
      </c>
    </row>
    <row r="115" spans="1:43" x14ac:dyDescent="0.15">
      <c r="A115" t="e">
        <f>Reflection!A115</f>
        <v>#REF!</v>
      </c>
      <c r="B115" t="e">
        <f t="shared" si="32"/>
        <v>#REF!</v>
      </c>
      <c r="C115" t="e">
        <f t="shared" si="33"/>
        <v>#REF!</v>
      </c>
      <c r="D115" t="e">
        <f t="shared" si="37"/>
        <v>#REF!</v>
      </c>
      <c r="E115" t="e">
        <f t="shared" si="38"/>
        <v>#REF!</v>
      </c>
      <c r="F115" t="e">
        <f t="shared" si="39"/>
        <v>#REF!</v>
      </c>
      <c r="G115" t="e">
        <f t="shared" si="34"/>
        <v>#REF!</v>
      </c>
      <c r="J115" t="e">
        <f>Reflection!A115</f>
        <v>#REF!</v>
      </c>
      <c r="K115" t="e">
        <f t="shared" si="40"/>
        <v>#REF!</v>
      </c>
      <c r="L115" t="e">
        <f t="shared" si="62"/>
        <v>#REF!</v>
      </c>
      <c r="M115" t="e">
        <f t="shared" si="41"/>
        <v>#REF!</v>
      </c>
      <c r="N115" t="e">
        <f t="shared" si="42"/>
        <v>#REF!</v>
      </c>
      <c r="O115" t="e">
        <f t="shared" si="43"/>
        <v>#REF!</v>
      </c>
      <c r="P115" t="e">
        <f t="shared" si="44"/>
        <v>#REF!</v>
      </c>
      <c r="S115" t="e">
        <f>Reflection!A115</f>
        <v>#REF!</v>
      </c>
      <c r="T115" t="e">
        <f t="shared" si="45"/>
        <v>#REF!</v>
      </c>
      <c r="U115" t="e">
        <f t="shared" si="46"/>
        <v>#REF!</v>
      </c>
      <c r="V115" t="e">
        <f t="shared" si="47"/>
        <v>#REF!</v>
      </c>
      <c r="W115" t="e">
        <f t="shared" si="48"/>
        <v>#REF!</v>
      </c>
      <c r="X115" t="e">
        <f t="shared" si="49"/>
        <v>#REF!</v>
      </c>
      <c r="Y115" t="e">
        <f t="shared" si="50"/>
        <v>#REF!</v>
      </c>
      <c r="AB115" t="e">
        <f>Reflection!A115</f>
        <v>#REF!</v>
      </c>
      <c r="AC115" t="e">
        <f t="shared" si="51"/>
        <v>#REF!</v>
      </c>
      <c r="AD115" t="e">
        <f t="shared" si="52"/>
        <v>#REF!</v>
      </c>
      <c r="AE115" t="e">
        <f t="shared" si="53"/>
        <v>#REF!</v>
      </c>
      <c r="AF115" t="e">
        <f t="shared" si="54"/>
        <v>#REF!</v>
      </c>
      <c r="AG115" t="e">
        <f t="shared" si="55"/>
        <v>#REF!</v>
      </c>
      <c r="AH115" t="e">
        <f t="shared" si="56"/>
        <v>#REF!</v>
      </c>
      <c r="AK115" t="e">
        <f>Reflection!A115</f>
        <v>#REF!</v>
      </c>
      <c r="AL115" t="e">
        <f t="shared" si="57"/>
        <v>#REF!</v>
      </c>
      <c r="AM115" t="e">
        <f t="shared" si="63"/>
        <v>#REF!</v>
      </c>
      <c r="AN115" t="e">
        <f t="shared" si="58"/>
        <v>#REF!</v>
      </c>
      <c r="AO115" t="e">
        <f t="shared" si="59"/>
        <v>#REF!</v>
      </c>
      <c r="AP115" t="e">
        <f t="shared" si="60"/>
        <v>#REF!</v>
      </c>
      <c r="AQ115" t="e">
        <f t="shared" si="61"/>
        <v>#REF!</v>
      </c>
    </row>
    <row r="116" spans="1:43" x14ac:dyDescent="0.15">
      <c r="A116" t="e">
        <f>Reflection!A116</f>
        <v>#REF!</v>
      </c>
      <c r="B116" t="e">
        <f t="shared" si="32"/>
        <v>#REF!</v>
      </c>
      <c r="C116" t="e">
        <f t="shared" si="33"/>
        <v>#REF!</v>
      </c>
      <c r="D116" t="e">
        <f t="shared" si="37"/>
        <v>#REF!</v>
      </c>
      <c r="E116" t="e">
        <f t="shared" si="38"/>
        <v>#REF!</v>
      </c>
      <c r="F116" t="e">
        <f t="shared" si="39"/>
        <v>#REF!</v>
      </c>
      <c r="G116" t="e">
        <f t="shared" si="34"/>
        <v>#REF!</v>
      </c>
      <c r="J116" t="e">
        <f>Reflection!A116</f>
        <v>#REF!</v>
      </c>
      <c r="K116" t="e">
        <f t="shared" si="40"/>
        <v>#REF!</v>
      </c>
      <c r="L116" t="e">
        <f t="shared" si="62"/>
        <v>#REF!</v>
      </c>
      <c r="M116" t="e">
        <f t="shared" si="41"/>
        <v>#REF!</v>
      </c>
      <c r="N116" t="e">
        <f t="shared" si="42"/>
        <v>#REF!</v>
      </c>
      <c r="O116" t="e">
        <f t="shared" si="43"/>
        <v>#REF!</v>
      </c>
      <c r="P116" t="e">
        <f t="shared" si="44"/>
        <v>#REF!</v>
      </c>
      <c r="S116" t="e">
        <f>Reflection!A116</f>
        <v>#REF!</v>
      </c>
      <c r="T116" t="e">
        <f t="shared" si="45"/>
        <v>#REF!</v>
      </c>
      <c r="U116" t="e">
        <f t="shared" si="46"/>
        <v>#REF!</v>
      </c>
      <c r="V116" t="e">
        <f t="shared" si="47"/>
        <v>#REF!</v>
      </c>
      <c r="W116" t="e">
        <f t="shared" si="48"/>
        <v>#REF!</v>
      </c>
      <c r="X116" t="e">
        <f t="shared" si="49"/>
        <v>#REF!</v>
      </c>
      <c r="Y116" t="e">
        <f t="shared" si="50"/>
        <v>#REF!</v>
      </c>
      <c r="AB116" t="e">
        <f>Reflection!A116</f>
        <v>#REF!</v>
      </c>
      <c r="AC116" t="e">
        <f t="shared" si="51"/>
        <v>#REF!</v>
      </c>
      <c r="AD116" t="e">
        <f t="shared" si="52"/>
        <v>#REF!</v>
      </c>
      <c r="AE116" t="e">
        <f t="shared" si="53"/>
        <v>#REF!</v>
      </c>
      <c r="AF116" t="e">
        <f t="shared" si="54"/>
        <v>#REF!</v>
      </c>
      <c r="AG116" t="e">
        <f t="shared" si="55"/>
        <v>#REF!</v>
      </c>
      <c r="AH116" t="e">
        <f t="shared" si="56"/>
        <v>#REF!</v>
      </c>
      <c r="AK116" t="e">
        <f>Reflection!A116</f>
        <v>#REF!</v>
      </c>
      <c r="AL116" t="e">
        <f t="shared" si="57"/>
        <v>#REF!</v>
      </c>
      <c r="AM116" t="e">
        <f t="shared" si="63"/>
        <v>#REF!</v>
      </c>
      <c r="AN116" t="e">
        <f t="shared" si="58"/>
        <v>#REF!</v>
      </c>
      <c r="AO116" t="e">
        <f t="shared" si="59"/>
        <v>#REF!</v>
      </c>
      <c r="AP116" t="e">
        <f t="shared" si="60"/>
        <v>#REF!</v>
      </c>
      <c r="AQ116" t="e">
        <f t="shared" si="61"/>
        <v>#REF!</v>
      </c>
    </row>
    <row r="117" spans="1:43" x14ac:dyDescent="0.15">
      <c r="A117" t="e">
        <f>Reflection!A117</f>
        <v>#REF!</v>
      </c>
      <c r="B117" t="e">
        <f t="shared" si="32"/>
        <v>#REF!</v>
      </c>
      <c r="C117" t="e">
        <f t="shared" si="33"/>
        <v>#REF!</v>
      </c>
      <c r="D117" t="e">
        <f t="shared" si="37"/>
        <v>#REF!</v>
      </c>
      <c r="E117" t="e">
        <f t="shared" si="38"/>
        <v>#REF!</v>
      </c>
      <c r="F117" t="e">
        <f t="shared" si="39"/>
        <v>#REF!</v>
      </c>
      <c r="G117" t="e">
        <f t="shared" si="34"/>
        <v>#REF!</v>
      </c>
      <c r="J117" t="e">
        <f>Reflection!A117</f>
        <v>#REF!</v>
      </c>
      <c r="K117" t="e">
        <f t="shared" si="40"/>
        <v>#REF!</v>
      </c>
      <c r="L117" t="e">
        <f t="shared" si="62"/>
        <v>#REF!</v>
      </c>
      <c r="M117" t="e">
        <f t="shared" si="41"/>
        <v>#REF!</v>
      </c>
      <c r="N117" t="e">
        <f t="shared" si="42"/>
        <v>#REF!</v>
      </c>
      <c r="O117" t="e">
        <f t="shared" si="43"/>
        <v>#REF!</v>
      </c>
      <c r="P117" t="e">
        <f t="shared" si="44"/>
        <v>#REF!</v>
      </c>
      <c r="S117" t="e">
        <f>Reflection!A117</f>
        <v>#REF!</v>
      </c>
      <c r="T117" t="e">
        <f t="shared" si="45"/>
        <v>#REF!</v>
      </c>
      <c r="U117" t="e">
        <f t="shared" si="46"/>
        <v>#REF!</v>
      </c>
      <c r="V117" t="e">
        <f t="shared" si="47"/>
        <v>#REF!</v>
      </c>
      <c r="W117" t="e">
        <f t="shared" si="48"/>
        <v>#REF!</v>
      </c>
      <c r="X117" t="e">
        <f t="shared" si="49"/>
        <v>#REF!</v>
      </c>
      <c r="Y117" t="e">
        <f t="shared" si="50"/>
        <v>#REF!</v>
      </c>
      <c r="AB117" t="e">
        <f>Reflection!A117</f>
        <v>#REF!</v>
      </c>
      <c r="AC117" t="e">
        <f t="shared" si="51"/>
        <v>#REF!</v>
      </c>
      <c r="AD117" t="e">
        <f t="shared" si="52"/>
        <v>#REF!</v>
      </c>
      <c r="AE117" t="e">
        <f t="shared" si="53"/>
        <v>#REF!</v>
      </c>
      <c r="AF117" t="e">
        <f t="shared" si="54"/>
        <v>#REF!</v>
      </c>
      <c r="AG117" t="e">
        <f t="shared" si="55"/>
        <v>#REF!</v>
      </c>
      <c r="AH117" t="e">
        <f t="shared" si="56"/>
        <v>#REF!</v>
      </c>
      <c r="AK117" t="e">
        <f>Reflection!A117</f>
        <v>#REF!</v>
      </c>
      <c r="AL117" t="e">
        <f t="shared" si="57"/>
        <v>#REF!</v>
      </c>
      <c r="AM117" t="e">
        <f t="shared" si="63"/>
        <v>#REF!</v>
      </c>
      <c r="AN117" t="e">
        <f t="shared" si="58"/>
        <v>#REF!</v>
      </c>
      <c r="AO117" t="e">
        <f t="shared" si="59"/>
        <v>#REF!</v>
      </c>
      <c r="AP117" t="e">
        <f t="shared" si="60"/>
        <v>#REF!</v>
      </c>
      <c r="AQ117" t="e">
        <f t="shared" si="61"/>
        <v>#REF!</v>
      </c>
    </row>
    <row r="118" spans="1:43" x14ac:dyDescent="0.15">
      <c r="A118" t="e">
        <f>Reflection!A118</f>
        <v>#REF!</v>
      </c>
      <c r="B118" t="e">
        <f t="shared" si="32"/>
        <v>#REF!</v>
      </c>
      <c r="C118" t="e">
        <f t="shared" si="33"/>
        <v>#REF!</v>
      </c>
      <c r="D118" t="e">
        <f t="shared" si="37"/>
        <v>#REF!</v>
      </c>
      <c r="E118" t="e">
        <f t="shared" si="38"/>
        <v>#REF!</v>
      </c>
      <c r="F118" t="e">
        <f t="shared" si="39"/>
        <v>#REF!</v>
      </c>
      <c r="G118" t="e">
        <f t="shared" si="34"/>
        <v>#REF!</v>
      </c>
      <c r="J118" t="e">
        <f>Reflection!A118</f>
        <v>#REF!</v>
      </c>
      <c r="K118" t="e">
        <f t="shared" si="40"/>
        <v>#REF!</v>
      </c>
      <c r="L118" t="e">
        <f t="shared" si="62"/>
        <v>#REF!</v>
      </c>
      <c r="M118" t="e">
        <f t="shared" si="41"/>
        <v>#REF!</v>
      </c>
      <c r="N118" t="e">
        <f t="shared" si="42"/>
        <v>#REF!</v>
      </c>
      <c r="O118" t="e">
        <f t="shared" si="43"/>
        <v>#REF!</v>
      </c>
      <c r="P118" t="e">
        <f t="shared" si="44"/>
        <v>#REF!</v>
      </c>
      <c r="S118" t="e">
        <f>Reflection!A118</f>
        <v>#REF!</v>
      </c>
      <c r="T118" t="e">
        <f t="shared" si="45"/>
        <v>#REF!</v>
      </c>
      <c r="U118" t="e">
        <f t="shared" si="46"/>
        <v>#REF!</v>
      </c>
      <c r="V118" t="e">
        <f t="shared" si="47"/>
        <v>#REF!</v>
      </c>
      <c r="W118" t="e">
        <f t="shared" si="48"/>
        <v>#REF!</v>
      </c>
      <c r="X118" t="e">
        <f t="shared" si="49"/>
        <v>#REF!</v>
      </c>
      <c r="Y118" t="e">
        <f t="shared" si="50"/>
        <v>#REF!</v>
      </c>
      <c r="AB118" t="e">
        <f>Reflection!A118</f>
        <v>#REF!</v>
      </c>
      <c r="AC118" t="e">
        <f t="shared" si="51"/>
        <v>#REF!</v>
      </c>
      <c r="AD118" t="e">
        <f t="shared" si="52"/>
        <v>#REF!</v>
      </c>
      <c r="AE118" t="e">
        <f t="shared" si="53"/>
        <v>#REF!</v>
      </c>
      <c r="AF118" t="e">
        <f t="shared" si="54"/>
        <v>#REF!</v>
      </c>
      <c r="AG118" t="e">
        <f t="shared" si="55"/>
        <v>#REF!</v>
      </c>
      <c r="AH118" t="e">
        <f t="shared" si="56"/>
        <v>#REF!</v>
      </c>
      <c r="AK118" t="e">
        <f>Reflection!A118</f>
        <v>#REF!</v>
      </c>
      <c r="AL118" t="e">
        <f t="shared" si="57"/>
        <v>#REF!</v>
      </c>
      <c r="AM118" t="e">
        <f t="shared" si="63"/>
        <v>#REF!</v>
      </c>
      <c r="AN118" t="e">
        <f t="shared" si="58"/>
        <v>#REF!</v>
      </c>
      <c r="AO118" t="e">
        <f t="shared" si="59"/>
        <v>#REF!</v>
      </c>
      <c r="AP118" t="e">
        <f t="shared" si="60"/>
        <v>#REF!</v>
      </c>
      <c r="AQ118" t="e">
        <f t="shared" si="61"/>
        <v>#REF!</v>
      </c>
    </row>
    <row r="119" spans="1:43" x14ac:dyDescent="0.15">
      <c r="A119" t="e">
        <f>Reflection!A119</f>
        <v>#REF!</v>
      </c>
      <c r="B119" t="e">
        <f t="shared" si="32"/>
        <v>#REF!</v>
      </c>
      <c r="C119" t="e">
        <f t="shared" si="33"/>
        <v>#REF!</v>
      </c>
      <c r="D119" t="e">
        <f t="shared" si="37"/>
        <v>#REF!</v>
      </c>
      <c r="E119" t="e">
        <f t="shared" si="38"/>
        <v>#REF!</v>
      </c>
      <c r="F119" t="e">
        <f t="shared" si="39"/>
        <v>#REF!</v>
      </c>
      <c r="G119" t="e">
        <f t="shared" si="34"/>
        <v>#REF!</v>
      </c>
      <c r="J119" t="e">
        <f>Reflection!A119</f>
        <v>#REF!</v>
      </c>
      <c r="K119" t="e">
        <f t="shared" si="40"/>
        <v>#REF!</v>
      </c>
      <c r="L119" t="e">
        <f t="shared" si="62"/>
        <v>#REF!</v>
      </c>
      <c r="M119" t="e">
        <f t="shared" si="41"/>
        <v>#REF!</v>
      </c>
      <c r="N119" t="e">
        <f t="shared" si="42"/>
        <v>#REF!</v>
      </c>
      <c r="O119" t="e">
        <f t="shared" si="43"/>
        <v>#REF!</v>
      </c>
      <c r="P119" t="e">
        <f t="shared" si="44"/>
        <v>#REF!</v>
      </c>
      <c r="S119" t="e">
        <f>Reflection!A119</f>
        <v>#REF!</v>
      </c>
      <c r="T119" t="e">
        <f t="shared" si="45"/>
        <v>#REF!</v>
      </c>
      <c r="U119" t="e">
        <f t="shared" si="46"/>
        <v>#REF!</v>
      </c>
      <c r="V119" t="e">
        <f t="shared" si="47"/>
        <v>#REF!</v>
      </c>
      <c r="W119" t="e">
        <f t="shared" si="48"/>
        <v>#REF!</v>
      </c>
      <c r="X119" t="e">
        <f t="shared" si="49"/>
        <v>#REF!</v>
      </c>
      <c r="Y119" t="e">
        <f t="shared" si="50"/>
        <v>#REF!</v>
      </c>
      <c r="AB119" t="e">
        <f>Reflection!A119</f>
        <v>#REF!</v>
      </c>
      <c r="AC119" t="e">
        <f t="shared" si="51"/>
        <v>#REF!</v>
      </c>
      <c r="AD119" t="e">
        <f t="shared" si="52"/>
        <v>#REF!</v>
      </c>
      <c r="AE119" t="e">
        <f t="shared" si="53"/>
        <v>#REF!</v>
      </c>
      <c r="AF119" t="e">
        <f t="shared" si="54"/>
        <v>#REF!</v>
      </c>
      <c r="AG119" t="e">
        <f t="shared" si="55"/>
        <v>#REF!</v>
      </c>
      <c r="AH119" t="e">
        <f t="shared" si="56"/>
        <v>#REF!</v>
      </c>
      <c r="AK119" t="e">
        <f>Reflection!A119</f>
        <v>#REF!</v>
      </c>
      <c r="AL119" t="e">
        <f t="shared" si="57"/>
        <v>#REF!</v>
      </c>
      <c r="AM119" t="e">
        <f t="shared" si="63"/>
        <v>#REF!</v>
      </c>
      <c r="AN119" t="e">
        <f t="shared" si="58"/>
        <v>#REF!</v>
      </c>
      <c r="AO119" t="e">
        <f t="shared" si="59"/>
        <v>#REF!</v>
      </c>
      <c r="AP119" t="e">
        <f t="shared" si="60"/>
        <v>#REF!</v>
      </c>
      <c r="AQ119" t="e">
        <f t="shared" si="61"/>
        <v>#REF!</v>
      </c>
    </row>
    <row r="120" spans="1:43" x14ac:dyDescent="0.15">
      <c r="A120" t="e">
        <f>Reflection!A120</f>
        <v>#REF!</v>
      </c>
      <c r="B120" t="e">
        <f t="shared" si="32"/>
        <v>#REF!</v>
      </c>
      <c r="C120" t="e">
        <f t="shared" si="33"/>
        <v>#REF!</v>
      </c>
      <c r="D120" t="e">
        <f t="shared" si="37"/>
        <v>#REF!</v>
      </c>
      <c r="E120" t="e">
        <f t="shared" si="38"/>
        <v>#REF!</v>
      </c>
      <c r="F120" t="e">
        <f t="shared" si="39"/>
        <v>#REF!</v>
      </c>
      <c r="G120" t="e">
        <f t="shared" si="34"/>
        <v>#REF!</v>
      </c>
      <c r="J120" t="e">
        <f>Reflection!A120</f>
        <v>#REF!</v>
      </c>
      <c r="K120" t="e">
        <f t="shared" si="40"/>
        <v>#REF!</v>
      </c>
      <c r="L120" t="e">
        <f t="shared" si="62"/>
        <v>#REF!</v>
      </c>
      <c r="M120" t="e">
        <f t="shared" si="41"/>
        <v>#REF!</v>
      </c>
      <c r="N120" t="e">
        <f t="shared" si="42"/>
        <v>#REF!</v>
      </c>
      <c r="O120" t="e">
        <f t="shared" si="43"/>
        <v>#REF!</v>
      </c>
      <c r="P120" t="e">
        <f t="shared" si="44"/>
        <v>#REF!</v>
      </c>
      <c r="S120" t="e">
        <f>Reflection!A120</f>
        <v>#REF!</v>
      </c>
      <c r="T120" t="e">
        <f t="shared" si="45"/>
        <v>#REF!</v>
      </c>
      <c r="U120" t="e">
        <f t="shared" si="46"/>
        <v>#REF!</v>
      </c>
      <c r="V120" t="e">
        <f t="shared" si="47"/>
        <v>#REF!</v>
      </c>
      <c r="W120" t="e">
        <f t="shared" si="48"/>
        <v>#REF!</v>
      </c>
      <c r="X120" t="e">
        <f t="shared" si="49"/>
        <v>#REF!</v>
      </c>
      <c r="Y120" t="e">
        <f t="shared" si="50"/>
        <v>#REF!</v>
      </c>
      <c r="AB120" t="e">
        <f>Reflection!A120</f>
        <v>#REF!</v>
      </c>
      <c r="AC120" t="e">
        <f t="shared" si="51"/>
        <v>#REF!</v>
      </c>
      <c r="AD120" t="e">
        <f t="shared" si="52"/>
        <v>#REF!</v>
      </c>
      <c r="AE120" t="e">
        <f t="shared" si="53"/>
        <v>#REF!</v>
      </c>
      <c r="AF120" t="e">
        <f t="shared" si="54"/>
        <v>#REF!</v>
      </c>
      <c r="AG120" t="e">
        <f t="shared" si="55"/>
        <v>#REF!</v>
      </c>
      <c r="AH120" t="e">
        <f t="shared" si="56"/>
        <v>#REF!</v>
      </c>
      <c r="AK120" t="e">
        <f>Reflection!A120</f>
        <v>#REF!</v>
      </c>
      <c r="AL120" t="e">
        <f t="shared" si="57"/>
        <v>#REF!</v>
      </c>
      <c r="AM120" t="e">
        <f t="shared" si="63"/>
        <v>#REF!</v>
      </c>
      <c r="AN120" t="e">
        <f t="shared" si="58"/>
        <v>#REF!</v>
      </c>
      <c r="AO120" t="e">
        <f t="shared" si="59"/>
        <v>#REF!</v>
      </c>
      <c r="AP120" t="e">
        <f t="shared" si="60"/>
        <v>#REF!</v>
      </c>
      <c r="AQ120" t="e">
        <f t="shared" si="61"/>
        <v>#REF!</v>
      </c>
    </row>
    <row r="121" spans="1:43" x14ac:dyDescent="0.15">
      <c r="A121" t="e">
        <f>Reflection!A121</f>
        <v>#REF!</v>
      </c>
      <c r="B121" t="e">
        <f t="shared" si="32"/>
        <v>#REF!</v>
      </c>
      <c r="C121" t="e">
        <f t="shared" si="33"/>
        <v>#REF!</v>
      </c>
      <c r="D121" t="e">
        <f t="shared" si="37"/>
        <v>#REF!</v>
      </c>
      <c r="E121" t="e">
        <f t="shared" si="38"/>
        <v>#REF!</v>
      </c>
      <c r="F121" t="e">
        <f t="shared" si="39"/>
        <v>#REF!</v>
      </c>
      <c r="G121" t="e">
        <f t="shared" si="34"/>
        <v>#REF!</v>
      </c>
      <c r="J121" t="e">
        <f>Reflection!A121</f>
        <v>#REF!</v>
      </c>
      <c r="K121" t="e">
        <f t="shared" si="40"/>
        <v>#REF!</v>
      </c>
      <c r="L121" t="e">
        <f t="shared" si="62"/>
        <v>#REF!</v>
      </c>
      <c r="M121" t="e">
        <f t="shared" si="41"/>
        <v>#REF!</v>
      </c>
      <c r="N121" t="e">
        <f t="shared" si="42"/>
        <v>#REF!</v>
      </c>
      <c r="O121" t="e">
        <f t="shared" si="43"/>
        <v>#REF!</v>
      </c>
      <c r="P121" t="e">
        <f t="shared" si="44"/>
        <v>#REF!</v>
      </c>
      <c r="S121" t="e">
        <f>Reflection!A121</f>
        <v>#REF!</v>
      </c>
      <c r="T121" t="e">
        <f t="shared" si="45"/>
        <v>#REF!</v>
      </c>
      <c r="U121" t="e">
        <f t="shared" si="46"/>
        <v>#REF!</v>
      </c>
      <c r="V121" t="e">
        <f t="shared" si="47"/>
        <v>#REF!</v>
      </c>
      <c r="W121" t="e">
        <f t="shared" si="48"/>
        <v>#REF!</v>
      </c>
      <c r="X121" t="e">
        <f t="shared" si="49"/>
        <v>#REF!</v>
      </c>
      <c r="Y121" t="e">
        <f t="shared" si="50"/>
        <v>#REF!</v>
      </c>
      <c r="AB121" t="e">
        <f>Reflection!A121</f>
        <v>#REF!</v>
      </c>
      <c r="AC121" t="e">
        <f t="shared" si="51"/>
        <v>#REF!</v>
      </c>
      <c r="AD121" t="e">
        <f t="shared" si="52"/>
        <v>#REF!</v>
      </c>
      <c r="AE121" t="e">
        <f t="shared" si="53"/>
        <v>#REF!</v>
      </c>
      <c r="AF121" t="e">
        <f t="shared" si="54"/>
        <v>#REF!</v>
      </c>
      <c r="AG121" t="e">
        <f t="shared" si="55"/>
        <v>#REF!</v>
      </c>
      <c r="AH121" t="e">
        <f t="shared" si="56"/>
        <v>#REF!</v>
      </c>
      <c r="AK121" t="e">
        <f>Reflection!A121</f>
        <v>#REF!</v>
      </c>
      <c r="AL121" t="e">
        <f t="shared" si="57"/>
        <v>#REF!</v>
      </c>
      <c r="AM121" t="e">
        <f t="shared" si="63"/>
        <v>#REF!</v>
      </c>
      <c r="AN121" t="e">
        <f t="shared" si="58"/>
        <v>#REF!</v>
      </c>
      <c r="AO121" t="e">
        <f t="shared" si="59"/>
        <v>#REF!</v>
      </c>
      <c r="AP121" t="e">
        <f t="shared" si="60"/>
        <v>#REF!</v>
      </c>
      <c r="AQ121" t="e">
        <f t="shared" si="61"/>
        <v>#REF!</v>
      </c>
    </row>
    <row r="122" spans="1:43" x14ac:dyDescent="0.15">
      <c r="A122" t="e">
        <f>Reflection!A122</f>
        <v>#REF!</v>
      </c>
      <c r="B122" t="e">
        <f t="shared" si="32"/>
        <v>#REF!</v>
      </c>
      <c r="C122" t="e">
        <f t="shared" si="33"/>
        <v>#REF!</v>
      </c>
      <c r="D122" t="e">
        <f t="shared" si="37"/>
        <v>#REF!</v>
      </c>
      <c r="E122" t="e">
        <f t="shared" si="38"/>
        <v>#REF!</v>
      </c>
      <c r="F122" t="e">
        <f t="shared" si="39"/>
        <v>#REF!</v>
      </c>
      <c r="G122" t="e">
        <f t="shared" si="34"/>
        <v>#REF!</v>
      </c>
      <c r="J122" t="e">
        <f>Reflection!A122</f>
        <v>#REF!</v>
      </c>
      <c r="K122" t="e">
        <f t="shared" si="40"/>
        <v>#REF!</v>
      </c>
      <c r="L122" t="e">
        <f t="shared" si="62"/>
        <v>#REF!</v>
      </c>
      <c r="M122" t="e">
        <f t="shared" si="41"/>
        <v>#REF!</v>
      </c>
      <c r="N122" t="e">
        <f t="shared" si="42"/>
        <v>#REF!</v>
      </c>
      <c r="O122" t="e">
        <f t="shared" si="43"/>
        <v>#REF!</v>
      </c>
      <c r="P122" t="e">
        <f t="shared" si="44"/>
        <v>#REF!</v>
      </c>
      <c r="S122" t="e">
        <f>Reflection!A122</f>
        <v>#REF!</v>
      </c>
      <c r="T122" t="e">
        <f t="shared" si="45"/>
        <v>#REF!</v>
      </c>
      <c r="U122" t="e">
        <f t="shared" si="46"/>
        <v>#REF!</v>
      </c>
      <c r="V122" t="e">
        <f t="shared" si="47"/>
        <v>#REF!</v>
      </c>
      <c r="W122" t="e">
        <f t="shared" si="48"/>
        <v>#REF!</v>
      </c>
      <c r="X122" t="e">
        <f t="shared" si="49"/>
        <v>#REF!</v>
      </c>
      <c r="Y122" t="e">
        <f t="shared" si="50"/>
        <v>#REF!</v>
      </c>
      <c r="AB122" t="e">
        <f>Reflection!A122</f>
        <v>#REF!</v>
      </c>
      <c r="AC122" t="e">
        <f t="shared" si="51"/>
        <v>#REF!</v>
      </c>
      <c r="AD122" t="e">
        <f t="shared" si="52"/>
        <v>#REF!</v>
      </c>
      <c r="AE122" t="e">
        <f t="shared" si="53"/>
        <v>#REF!</v>
      </c>
      <c r="AF122" t="e">
        <f t="shared" si="54"/>
        <v>#REF!</v>
      </c>
      <c r="AG122" t="e">
        <f t="shared" si="55"/>
        <v>#REF!</v>
      </c>
      <c r="AH122" t="e">
        <f t="shared" si="56"/>
        <v>#REF!</v>
      </c>
      <c r="AK122" t="e">
        <f>Reflection!A122</f>
        <v>#REF!</v>
      </c>
      <c r="AL122" t="e">
        <f t="shared" si="57"/>
        <v>#REF!</v>
      </c>
      <c r="AM122" t="e">
        <f t="shared" si="63"/>
        <v>#REF!</v>
      </c>
      <c r="AN122" t="e">
        <f t="shared" si="58"/>
        <v>#REF!</v>
      </c>
      <c r="AO122" t="e">
        <f t="shared" si="59"/>
        <v>#REF!</v>
      </c>
      <c r="AP122" t="e">
        <f t="shared" si="60"/>
        <v>#REF!</v>
      </c>
      <c r="AQ122" t="e">
        <f t="shared" si="61"/>
        <v>#REF!</v>
      </c>
    </row>
    <row r="123" spans="1:43" x14ac:dyDescent="0.15">
      <c r="A123" t="e">
        <f>Reflection!A123</f>
        <v>#REF!</v>
      </c>
      <c r="B123" t="e">
        <f t="shared" si="32"/>
        <v>#REF!</v>
      </c>
      <c r="C123" t="e">
        <f t="shared" si="33"/>
        <v>#REF!</v>
      </c>
      <c r="D123" t="e">
        <f t="shared" si="37"/>
        <v>#REF!</v>
      </c>
      <c r="E123" t="e">
        <f t="shared" si="38"/>
        <v>#REF!</v>
      </c>
      <c r="F123" t="e">
        <f t="shared" si="39"/>
        <v>#REF!</v>
      </c>
      <c r="G123" t="e">
        <f t="shared" si="34"/>
        <v>#REF!</v>
      </c>
      <c r="J123" t="e">
        <f>Reflection!A123</f>
        <v>#REF!</v>
      </c>
      <c r="K123" t="e">
        <f t="shared" si="40"/>
        <v>#REF!</v>
      </c>
      <c r="L123" t="e">
        <f t="shared" si="62"/>
        <v>#REF!</v>
      </c>
      <c r="M123" t="e">
        <f t="shared" si="41"/>
        <v>#REF!</v>
      </c>
      <c r="N123" t="e">
        <f t="shared" si="42"/>
        <v>#REF!</v>
      </c>
      <c r="O123" t="e">
        <f t="shared" si="43"/>
        <v>#REF!</v>
      </c>
      <c r="P123" t="e">
        <f t="shared" si="44"/>
        <v>#REF!</v>
      </c>
      <c r="S123" t="e">
        <f>Reflection!A123</f>
        <v>#REF!</v>
      </c>
      <c r="T123" t="e">
        <f t="shared" si="45"/>
        <v>#REF!</v>
      </c>
      <c r="U123" t="e">
        <f t="shared" si="46"/>
        <v>#REF!</v>
      </c>
      <c r="V123" t="e">
        <f t="shared" si="47"/>
        <v>#REF!</v>
      </c>
      <c r="W123" t="e">
        <f t="shared" si="48"/>
        <v>#REF!</v>
      </c>
      <c r="X123" t="e">
        <f t="shared" si="49"/>
        <v>#REF!</v>
      </c>
      <c r="Y123" t="e">
        <f t="shared" si="50"/>
        <v>#REF!</v>
      </c>
      <c r="AB123" t="e">
        <f>Reflection!A123</f>
        <v>#REF!</v>
      </c>
      <c r="AC123" t="e">
        <f t="shared" si="51"/>
        <v>#REF!</v>
      </c>
      <c r="AD123" t="e">
        <f t="shared" si="52"/>
        <v>#REF!</v>
      </c>
      <c r="AE123" t="e">
        <f t="shared" si="53"/>
        <v>#REF!</v>
      </c>
      <c r="AF123" t="e">
        <f t="shared" si="54"/>
        <v>#REF!</v>
      </c>
      <c r="AG123" t="e">
        <f t="shared" si="55"/>
        <v>#REF!</v>
      </c>
      <c r="AH123" t="e">
        <f t="shared" si="56"/>
        <v>#REF!</v>
      </c>
      <c r="AK123" t="e">
        <f>Reflection!A123</f>
        <v>#REF!</v>
      </c>
      <c r="AL123" t="e">
        <f t="shared" si="57"/>
        <v>#REF!</v>
      </c>
      <c r="AM123" t="e">
        <f t="shared" si="63"/>
        <v>#REF!</v>
      </c>
      <c r="AN123" t="e">
        <f t="shared" si="58"/>
        <v>#REF!</v>
      </c>
      <c r="AO123" t="e">
        <f t="shared" si="59"/>
        <v>#REF!</v>
      </c>
      <c r="AP123" t="e">
        <f t="shared" si="60"/>
        <v>#REF!</v>
      </c>
      <c r="AQ123" t="e">
        <f t="shared" si="61"/>
        <v>#REF!</v>
      </c>
    </row>
    <row r="124" spans="1:43" x14ac:dyDescent="0.15">
      <c r="A124" t="e">
        <f>Reflection!A124</f>
        <v>#REF!</v>
      </c>
      <c r="B124" t="e">
        <f t="shared" si="32"/>
        <v>#REF!</v>
      </c>
      <c r="C124" t="e">
        <f t="shared" si="33"/>
        <v>#REF!</v>
      </c>
      <c r="D124" t="e">
        <f t="shared" si="37"/>
        <v>#REF!</v>
      </c>
      <c r="E124" t="e">
        <f t="shared" si="38"/>
        <v>#REF!</v>
      </c>
      <c r="F124" t="e">
        <f t="shared" si="39"/>
        <v>#REF!</v>
      </c>
      <c r="G124" t="e">
        <f t="shared" si="34"/>
        <v>#REF!</v>
      </c>
      <c r="J124" t="e">
        <f>Reflection!A124</f>
        <v>#REF!</v>
      </c>
      <c r="K124" t="e">
        <f t="shared" si="40"/>
        <v>#REF!</v>
      </c>
      <c r="L124" t="e">
        <f t="shared" si="62"/>
        <v>#REF!</v>
      </c>
      <c r="M124" t="e">
        <f t="shared" si="41"/>
        <v>#REF!</v>
      </c>
      <c r="N124" t="e">
        <f t="shared" si="42"/>
        <v>#REF!</v>
      </c>
      <c r="O124" t="e">
        <f t="shared" si="43"/>
        <v>#REF!</v>
      </c>
      <c r="P124" t="e">
        <f t="shared" si="44"/>
        <v>#REF!</v>
      </c>
      <c r="S124" t="e">
        <f>Reflection!A124</f>
        <v>#REF!</v>
      </c>
      <c r="T124" t="e">
        <f t="shared" si="45"/>
        <v>#REF!</v>
      </c>
      <c r="U124" t="e">
        <f t="shared" si="46"/>
        <v>#REF!</v>
      </c>
      <c r="V124" t="e">
        <f t="shared" si="47"/>
        <v>#REF!</v>
      </c>
      <c r="W124" t="e">
        <f t="shared" si="48"/>
        <v>#REF!</v>
      </c>
      <c r="X124" t="e">
        <f t="shared" si="49"/>
        <v>#REF!</v>
      </c>
      <c r="Y124" t="e">
        <f t="shared" si="50"/>
        <v>#REF!</v>
      </c>
      <c r="AB124" t="e">
        <f>Reflection!A124</f>
        <v>#REF!</v>
      </c>
      <c r="AC124" t="e">
        <f t="shared" si="51"/>
        <v>#REF!</v>
      </c>
      <c r="AD124" t="e">
        <f t="shared" si="52"/>
        <v>#REF!</v>
      </c>
      <c r="AE124" t="e">
        <f t="shared" si="53"/>
        <v>#REF!</v>
      </c>
      <c r="AF124" t="e">
        <f t="shared" si="54"/>
        <v>#REF!</v>
      </c>
      <c r="AG124" t="e">
        <f t="shared" si="55"/>
        <v>#REF!</v>
      </c>
      <c r="AH124" t="e">
        <f t="shared" si="56"/>
        <v>#REF!</v>
      </c>
      <c r="AK124" t="e">
        <f>Reflection!A124</f>
        <v>#REF!</v>
      </c>
      <c r="AL124" t="e">
        <f t="shared" si="57"/>
        <v>#REF!</v>
      </c>
      <c r="AM124" t="e">
        <f t="shared" si="63"/>
        <v>#REF!</v>
      </c>
      <c r="AN124" t="e">
        <f t="shared" si="58"/>
        <v>#REF!</v>
      </c>
      <c r="AO124" t="e">
        <f t="shared" si="59"/>
        <v>#REF!</v>
      </c>
      <c r="AP124" t="e">
        <f t="shared" si="60"/>
        <v>#REF!</v>
      </c>
      <c r="AQ124" t="e">
        <f t="shared" si="61"/>
        <v>#REF!</v>
      </c>
    </row>
    <row r="125" spans="1:43" x14ac:dyDescent="0.15">
      <c r="A125" t="e">
        <f>Reflection!A125</f>
        <v>#REF!</v>
      </c>
      <c r="B125" t="e">
        <f t="shared" si="32"/>
        <v>#REF!</v>
      </c>
      <c r="C125" t="e">
        <f t="shared" si="33"/>
        <v>#REF!</v>
      </c>
      <c r="D125" t="e">
        <f t="shared" si="37"/>
        <v>#REF!</v>
      </c>
      <c r="E125" t="e">
        <f t="shared" si="38"/>
        <v>#REF!</v>
      </c>
      <c r="F125" t="e">
        <f t="shared" si="39"/>
        <v>#REF!</v>
      </c>
      <c r="G125" t="e">
        <f t="shared" si="34"/>
        <v>#REF!</v>
      </c>
      <c r="J125" t="e">
        <f>Reflection!A125</f>
        <v>#REF!</v>
      </c>
      <c r="K125" t="e">
        <f t="shared" si="40"/>
        <v>#REF!</v>
      </c>
      <c r="L125" t="e">
        <f t="shared" si="62"/>
        <v>#REF!</v>
      </c>
      <c r="M125" t="e">
        <f t="shared" si="41"/>
        <v>#REF!</v>
      </c>
      <c r="N125" t="e">
        <f t="shared" si="42"/>
        <v>#REF!</v>
      </c>
      <c r="O125" t="e">
        <f t="shared" si="43"/>
        <v>#REF!</v>
      </c>
      <c r="P125" t="e">
        <f t="shared" si="44"/>
        <v>#REF!</v>
      </c>
      <c r="S125" t="e">
        <f>Reflection!A125</f>
        <v>#REF!</v>
      </c>
      <c r="T125" t="e">
        <f t="shared" si="45"/>
        <v>#REF!</v>
      </c>
      <c r="U125" t="e">
        <f t="shared" si="46"/>
        <v>#REF!</v>
      </c>
      <c r="V125" t="e">
        <f t="shared" si="47"/>
        <v>#REF!</v>
      </c>
      <c r="W125" t="e">
        <f t="shared" si="48"/>
        <v>#REF!</v>
      </c>
      <c r="X125" t="e">
        <f t="shared" si="49"/>
        <v>#REF!</v>
      </c>
      <c r="Y125" t="e">
        <f t="shared" si="50"/>
        <v>#REF!</v>
      </c>
      <c r="AB125" t="e">
        <f>Reflection!A125</f>
        <v>#REF!</v>
      </c>
      <c r="AC125" t="e">
        <f t="shared" si="51"/>
        <v>#REF!</v>
      </c>
      <c r="AD125" t="e">
        <f t="shared" si="52"/>
        <v>#REF!</v>
      </c>
      <c r="AE125" t="e">
        <f t="shared" si="53"/>
        <v>#REF!</v>
      </c>
      <c r="AF125" t="e">
        <f t="shared" si="54"/>
        <v>#REF!</v>
      </c>
      <c r="AG125" t="e">
        <f t="shared" si="55"/>
        <v>#REF!</v>
      </c>
      <c r="AH125" t="e">
        <f t="shared" si="56"/>
        <v>#REF!</v>
      </c>
      <c r="AK125" t="e">
        <f>Reflection!A125</f>
        <v>#REF!</v>
      </c>
      <c r="AL125" t="e">
        <f t="shared" si="57"/>
        <v>#REF!</v>
      </c>
      <c r="AM125" t="e">
        <f t="shared" si="63"/>
        <v>#REF!</v>
      </c>
      <c r="AN125" t="e">
        <f t="shared" si="58"/>
        <v>#REF!</v>
      </c>
      <c r="AO125" t="e">
        <f t="shared" si="59"/>
        <v>#REF!</v>
      </c>
      <c r="AP125" t="e">
        <f t="shared" si="60"/>
        <v>#REF!</v>
      </c>
      <c r="AQ125" t="e">
        <f t="shared" si="61"/>
        <v>#REF!</v>
      </c>
    </row>
    <row r="126" spans="1:43" x14ac:dyDescent="0.15">
      <c r="A126" t="e">
        <f>Reflection!A126</f>
        <v>#REF!</v>
      </c>
      <c r="B126" t="e">
        <f t="shared" si="32"/>
        <v>#REF!</v>
      </c>
      <c r="C126" t="e">
        <f t="shared" si="33"/>
        <v>#REF!</v>
      </c>
      <c r="D126" t="e">
        <f t="shared" si="37"/>
        <v>#REF!</v>
      </c>
      <c r="E126" t="e">
        <f t="shared" si="38"/>
        <v>#REF!</v>
      </c>
      <c r="F126" t="e">
        <f t="shared" si="39"/>
        <v>#REF!</v>
      </c>
      <c r="G126" t="e">
        <f t="shared" si="34"/>
        <v>#REF!</v>
      </c>
      <c r="J126" t="e">
        <f>Reflection!A126</f>
        <v>#REF!</v>
      </c>
      <c r="K126" t="e">
        <f t="shared" si="40"/>
        <v>#REF!</v>
      </c>
      <c r="L126" t="e">
        <f t="shared" si="62"/>
        <v>#REF!</v>
      </c>
      <c r="M126" t="e">
        <f t="shared" si="41"/>
        <v>#REF!</v>
      </c>
      <c r="N126" t="e">
        <f t="shared" si="42"/>
        <v>#REF!</v>
      </c>
      <c r="O126" t="e">
        <f t="shared" si="43"/>
        <v>#REF!</v>
      </c>
      <c r="P126" t="e">
        <f t="shared" si="44"/>
        <v>#REF!</v>
      </c>
      <c r="S126" t="e">
        <f>Reflection!A126</f>
        <v>#REF!</v>
      </c>
      <c r="T126" t="e">
        <f t="shared" si="45"/>
        <v>#REF!</v>
      </c>
      <c r="U126" t="e">
        <f t="shared" si="46"/>
        <v>#REF!</v>
      </c>
      <c r="V126" t="e">
        <f t="shared" si="47"/>
        <v>#REF!</v>
      </c>
      <c r="W126" t="e">
        <f t="shared" si="48"/>
        <v>#REF!</v>
      </c>
      <c r="X126" t="e">
        <f t="shared" si="49"/>
        <v>#REF!</v>
      </c>
      <c r="Y126" t="e">
        <f t="shared" si="50"/>
        <v>#REF!</v>
      </c>
      <c r="AB126" t="e">
        <f>Reflection!A126</f>
        <v>#REF!</v>
      </c>
      <c r="AC126" t="e">
        <f t="shared" si="51"/>
        <v>#REF!</v>
      </c>
      <c r="AD126" t="e">
        <f t="shared" si="52"/>
        <v>#REF!</v>
      </c>
      <c r="AE126" t="e">
        <f t="shared" si="53"/>
        <v>#REF!</v>
      </c>
      <c r="AF126" t="e">
        <f t="shared" si="54"/>
        <v>#REF!</v>
      </c>
      <c r="AG126" t="e">
        <f t="shared" si="55"/>
        <v>#REF!</v>
      </c>
      <c r="AH126" t="e">
        <f t="shared" si="56"/>
        <v>#REF!</v>
      </c>
      <c r="AK126" t="e">
        <f>Reflection!A126</f>
        <v>#REF!</v>
      </c>
      <c r="AL126" t="e">
        <f t="shared" si="57"/>
        <v>#REF!</v>
      </c>
      <c r="AM126" t="e">
        <f t="shared" si="63"/>
        <v>#REF!</v>
      </c>
      <c r="AN126" t="e">
        <f t="shared" si="58"/>
        <v>#REF!</v>
      </c>
      <c r="AO126" t="e">
        <f t="shared" si="59"/>
        <v>#REF!</v>
      </c>
      <c r="AP126" t="e">
        <f t="shared" si="60"/>
        <v>#REF!</v>
      </c>
      <c r="AQ126" t="e">
        <f t="shared" si="61"/>
        <v>#REF!</v>
      </c>
    </row>
    <row r="127" spans="1:43" x14ac:dyDescent="0.15">
      <c r="A127" t="e">
        <f>Reflection!A127</f>
        <v>#REF!</v>
      </c>
      <c r="B127" t="e">
        <f t="shared" si="32"/>
        <v>#REF!</v>
      </c>
      <c r="C127" t="e">
        <f t="shared" si="33"/>
        <v>#REF!</v>
      </c>
      <c r="D127" t="e">
        <f t="shared" si="37"/>
        <v>#REF!</v>
      </c>
      <c r="E127" t="e">
        <f t="shared" si="38"/>
        <v>#REF!</v>
      </c>
      <c r="F127" t="e">
        <f t="shared" si="39"/>
        <v>#REF!</v>
      </c>
      <c r="G127" t="e">
        <f t="shared" si="34"/>
        <v>#REF!</v>
      </c>
      <c r="J127" t="e">
        <f>Reflection!A127</f>
        <v>#REF!</v>
      </c>
      <c r="K127" t="e">
        <f t="shared" si="40"/>
        <v>#REF!</v>
      </c>
      <c r="L127" t="e">
        <f t="shared" si="62"/>
        <v>#REF!</v>
      </c>
      <c r="M127" t="e">
        <f t="shared" si="41"/>
        <v>#REF!</v>
      </c>
      <c r="N127" t="e">
        <f t="shared" si="42"/>
        <v>#REF!</v>
      </c>
      <c r="O127" t="e">
        <f t="shared" si="43"/>
        <v>#REF!</v>
      </c>
      <c r="P127" t="e">
        <f t="shared" si="44"/>
        <v>#REF!</v>
      </c>
      <c r="S127" t="e">
        <f>Reflection!A127</f>
        <v>#REF!</v>
      </c>
      <c r="T127" t="e">
        <f t="shared" si="45"/>
        <v>#REF!</v>
      </c>
      <c r="U127" t="e">
        <f t="shared" si="46"/>
        <v>#REF!</v>
      </c>
      <c r="V127" t="e">
        <f t="shared" si="47"/>
        <v>#REF!</v>
      </c>
      <c r="W127" t="e">
        <f t="shared" si="48"/>
        <v>#REF!</v>
      </c>
      <c r="X127" t="e">
        <f t="shared" si="49"/>
        <v>#REF!</v>
      </c>
      <c r="Y127" t="e">
        <f t="shared" si="50"/>
        <v>#REF!</v>
      </c>
      <c r="AB127" t="e">
        <f>Reflection!A127</f>
        <v>#REF!</v>
      </c>
      <c r="AC127" t="e">
        <f t="shared" si="51"/>
        <v>#REF!</v>
      </c>
      <c r="AD127" t="e">
        <f t="shared" si="52"/>
        <v>#REF!</v>
      </c>
      <c r="AE127" t="e">
        <f t="shared" si="53"/>
        <v>#REF!</v>
      </c>
      <c r="AF127" t="e">
        <f t="shared" si="54"/>
        <v>#REF!</v>
      </c>
      <c r="AG127" t="e">
        <f t="shared" si="55"/>
        <v>#REF!</v>
      </c>
      <c r="AH127" t="e">
        <f t="shared" si="56"/>
        <v>#REF!</v>
      </c>
      <c r="AK127" t="e">
        <f>Reflection!A127</f>
        <v>#REF!</v>
      </c>
      <c r="AL127" t="e">
        <f t="shared" si="57"/>
        <v>#REF!</v>
      </c>
      <c r="AM127" t="e">
        <f t="shared" si="63"/>
        <v>#REF!</v>
      </c>
      <c r="AN127" t="e">
        <f t="shared" si="58"/>
        <v>#REF!</v>
      </c>
      <c r="AO127" t="e">
        <f t="shared" si="59"/>
        <v>#REF!</v>
      </c>
      <c r="AP127" t="e">
        <f t="shared" si="60"/>
        <v>#REF!</v>
      </c>
      <c r="AQ127" t="e">
        <f t="shared" si="61"/>
        <v>#REF!</v>
      </c>
    </row>
    <row r="128" spans="1:43" x14ac:dyDescent="0.15">
      <c r="A128" t="e">
        <f>Reflection!A128</f>
        <v>#REF!</v>
      </c>
      <c r="B128" t="e">
        <f t="shared" si="32"/>
        <v>#REF!</v>
      </c>
      <c r="C128" t="e">
        <f t="shared" si="33"/>
        <v>#REF!</v>
      </c>
      <c r="D128" t="e">
        <f t="shared" si="37"/>
        <v>#REF!</v>
      </c>
      <c r="E128" t="e">
        <f t="shared" si="38"/>
        <v>#REF!</v>
      </c>
      <c r="F128" t="e">
        <f t="shared" si="39"/>
        <v>#REF!</v>
      </c>
      <c r="G128" t="e">
        <f t="shared" si="34"/>
        <v>#REF!</v>
      </c>
      <c r="J128" t="e">
        <f>Reflection!A128</f>
        <v>#REF!</v>
      </c>
      <c r="K128" t="e">
        <f t="shared" si="40"/>
        <v>#REF!</v>
      </c>
      <c r="L128" t="e">
        <f t="shared" si="62"/>
        <v>#REF!</v>
      </c>
      <c r="M128" t="e">
        <f t="shared" si="41"/>
        <v>#REF!</v>
      </c>
      <c r="N128" t="e">
        <f t="shared" si="42"/>
        <v>#REF!</v>
      </c>
      <c r="O128" t="e">
        <f t="shared" si="43"/>
        <v>#REF!</v>
      </c>
      <c r="P128" t="e">
        <f t="shared" si="44"/>
        <v>#REF!</v>
      </c>
      <c r="S128" t="e">
        <f>Reflection!A128</f>
        <v>#REF!</v>
      </c>
      <c r="T128" t="e">
        <f t="shared" si="45"/>
        <v>#REF!</v>
      </c>
      <c r="U128" t="e">
        <f t="shared" si="46"/>
        <v>#REF!</v>
      </c>
      <c r="V128" t="e">
        <f t="shared" si="47"/>
        <v>#REF!</v>
      </c>
      <c r="W128" t="e">
        <f t="shared" si="48"/>
        <v>#REF!</v>
      </c>
      <c r="X128" t="e">
        <f t="shared" si="49"/>
        <v>#REF!</v>
      </c>
      <c r="Y128" t="e">
        <f t="shared" si="50"/>
        <v>#REF!</v>
      </c>
      <c r="AB128" t="e">
        <f>Reflection!A128</f>
        <v>#REF!</v>
      </c>
      <c r="AC128" t="e">
        <f t="shared" si="51"/>
        <v>#REF!</v>
      </c>
      <c r="AD128" t="e">
        <f t="shared" si="52"/>
        <v>#REF!</v>
      </c>
      <c r="AE128" t="e">
        <f t="shared" si="53"/>
        <v>#REF!</v>
      </c>
      <c r="AF128" t="e">
        <f t="shared" si="54"/>
        <v>#REF!</v>
      </c>
      <c r="AG128" t="e">
        <f t="shared" si="55"/>
        <v>#REF!</v>
      </c>
      <c r="AH128" t="e">
        <f t="shared" si="56"/>
        <v>#REF!</v>
      </c>
      <c r="AK128" t="e">
        <f>Reflection!A128</f>
        <v>#REF!</v>
      </c>
      <c r="AL128" t="e">
        <f t="shared" si="57"/>
        <v>#REF!</v>
      </c>
      <c r="AM128" t="e">
        <f t="shared" si="63"/>
        <v>#REF!</v>
      </c>
      <c r="AN128" t="e">
        <f t="shared" si="58"/>
        <v>#REF!</v>
      </c>
      <c r="AO128" t="e">
        <f t="shared" si="59"/>
        <v>#REF!</v>
      </c>
      <c r="AP128" t="e">
        <f t="shared" si="60"/>
        <v>#REF!</v>
      </c>
      <c r="AQ128" t="e">
        <f t="shared" si="61"/>
        <v>#REF!</v>
      </c>
    </row>
    <row r="129" spans="1:43" x14ac:dyDescent="0.15">
      <c r="A129" t="e">
        <f>Reflection!A129</f>
        <v>#REF!</v>
      </c>
      <c r="B129" t="e">
        <f t="shared" si="32"/>
        <v>#REF!</v>
      </c>
      <c r="C129" t="e">
        <f t="shared" si="33"/>
        <v>#REF!</v>
      </c>
      <c r="D129" t="e">
        <f t="shared" si="37"/>
        <v>#REF!</v>
      </c>
      <c r="E129" t="e">
        <f t="shared" si="38"/>
        <v>#REF!</v>
      </c>
      <c r="F129" t="e">
        <f t="shared" si="39"/>
        <v>#REF!</v>
      </c>
      <c r="G129" t="e">
        <f t="shared" si="34"/>
        <v>#REF!</v>
      </c>
      <c r="J129" t="e">
        <f>Reflection!A129</f>
        <v>#REF!</v>
      </c>
      <c r="K129" t="e">
        <f t="shared" si="40"/>
        <v>#REF!</v>
      </c>
      <c r="L129" t="e">
        <f t="shared" si="62"/>
        <v>#REF!</v>
      </c>
      <c r="M129" t="e">
        <f t="shared" si="41"/>
        <v>#REF!</v>
      </c>
      <c r="N129" t="e">
        <f t="shared" si="42"/>
        <v>#REF!</v>
      </c>
      <c r="O129" t="e">
        <f t="shared" si="43"/>
        <v>#REF!</v>
      </c>
      <c r="P129" t="e">
        <f t="shared" si="44"/>
        <v>#REF!</v>
      </c>
      <c r="S129" t="e">
        <f>Reflection!A129</f>
        <v>#REF!</v>
      </c>
      <c r="T129" t="e">
        <f t="shared" si="45"/>
        <v>#REF!</v>
      </c>
      <c r="U129" t="e">
        <f t="shared" si="46"/>
        <v>#REF!</v>
      </c>
      <c r="V129" t="e">
        <f t="shared" si="47"/>
        <v>#REF!</v>
      </c>
      <c r="W129" t="e">
        <f t="shared" si="48"/>
        <v>#REF!</v>
      </c>
      <c r="X129" t="e">
        <f t="shared" si="49"/>
        <v>#REF!</v>
      </c>
      <c r="Y129" t="e">
        <f t="shared" si="50"/>
        <v>#REF!</v>
      </c>
      <c r="AB129" t="e">
        <f>Reflection!A129</f>
        <v>#REF!</v>
      </c>
      <c r="AC129" t="e">
        <f t="shared" si="51"/>
        <v>#REF!</v>
      </c>
      <c r="AD129" t="e">
        <f t="shared" si="52"/>
        <v>#REF!</v>
      </c>
      <c r="AE129" t="e">
        <f t="shared" si="53"/>
        <v>#REF!</v>
      </c>
      <c r="AF129" t="e">
        <f t="shared" si="54"/>
        <v>#REF!</v>
      </c>
      <c r="AG129" t="e">
        <f t="shared" si="55"/>
        <v>#REF!</v>
      </c>
      <c r="AH129" t="e">
        <f t="shared" si="56"/>
        <v>#REF!</v>
      </c>
      <c r="AK129" t="e">
        <f>Reflection!A129</f>
        <v>#REF!</v>
      </c>
      <c r="AL129" t="e">
        <f t="shared" si="57"/>
        <v>#REF!</v>
      </c>
      <c r="AM129" t="e">
        <f t="shared" si="63"/>
        <v>#REF!</v>
      </c>
      <c r="AN129" t="e">
        <f t="shared" si="58"/>
        <v>#REF!</v>
      </c>
      <c r="AO129" t="e">
        <f t="shared" si="59"/>
        <v>#REF!</v>
      </c>
      <c r="AP129" t="e">
        <f t="shared" si="60"/>
        <v>#REF!</v>
      </c>
      <c r="AQ129" t="e">
        <f t="shared" si="61"/>
        <v>#REF!</v>
      </c>
    </row>
    <row r="130" spans="1:43" x14ac:dyDescent="0.15">
      <c r="A130" t="e">
        <f>Reflection!A130</f>
        <v>#REF!</v>
      </c>
      <c r="B130" t="e">
        <f t="shared" si="32"/>
        <v>#REF!</v>
      </c>
      <c r="C130" t="e">
        <f t="shared" si="33"/>
        <v>#REF!</v>
      </c>
      <c r="D130" t="e">
        <f t="shared" si="37"/>
        <v>#REF!</v>
      </c>
      <c r="E130" t="e">
        <f t="shared" si="38"/>
        <v>#REF!</v>
      </c>
      <c r="F130" t="e">
        <f t="shared" si="39"/>
        <v>#REF!</v>
      </c>
      <c r="G130" t="e">
        <f t="shared" si="34"/>
        <v>#REF!</v>
      </c>
      <c r="J130" t="e">
        <f>Reflection!A130</f>
        <v>#REF!</v>
      </c>
      <c r="K130" t="e">
        <f t="shared" si="40"/>
        <v>#REF!</v>
      </c>
      <c r="L130" t="e">
        <f t="shared" si="62"/>
        <v>#REF!</v>
      </c>
      <c r="M130" t="e">
        <f t="shared" si="41"/>
        <v>#REF!</v>
      </c>
      <c r="N130" t="e">
        <f t="shared" si="42"/>
        <v>#REF!</v>
      </c>
      <c r="O130" t="e">
        <f t="shared" si="43"/>
        <v>#REF!</v>
      </c>
      <c r="P130" t="e">
        <f t="shared" si="44"/>
        <v>#REF!</v>
      </c>
      <c r="S130" t="e">
        <f>Reflection!A130</f>
        <v>#REF!</v>
      </c>
      <c r="T130" t="e">
        <f t="shared" si="45"/>
        <v>#REF!</v>
      </c>
      <c r="U130" t="e">
        <f t="shared" si="46"/>
        <v>#REF!</v>
      </c>
      <c r="V130" t="e">
        <f t="shared" si="47"/>
        <v>#REF!</v>
      </c>
      <c r="W130" t="e">
        <f t="shared" si="48"/>
        <v>#REF!</v>
      </c>
      <c r="X130" t="e">
        <f t="shared" si="49"/>
        <v>#REF!</v>
      </c>
      <c r="Y130" t="e">
        <f t="shared" si="50"/>
        <v>#REF!</v>
      </c>
      <c r="AB130" t="e">
        <f>Reflection!A130</f>
        <v>#REF!</v>
      </c>
      <c r="AC130" t="e">
        <f t="shared" si="51"/>
        <v>#REF!</v>
      </c>
      <c r="AD130" t="e">
        <f t="shared" si="52"/>
        <v>#REF!</v>
      </c>
      <c r="AE130" t="e">
        <f t="shared" si="53"/>
        <v>#REF!</v>
      </c>
      <c r="AF130" t="e">
        <f t="shared" si="54"/>
        <v>#REF!</v>
      </c>
      <c r="AG130" t="e">
        <f t="shared" si="55"/>
        <v>#REF!</v>
      </c>
      <c r="AH130" t="e">
        <f t="shared" si="56"/>
        <v>#REF!</v>
      </c>
      <c r="AK130" t="e">
        <f>Reflection!A130</f>
        <v>#REF!</v>
      </c>
      <c r="AL130" t="e">
        <f t="shared" si="57"/>
        <v>#REF!</v>
      </c>
      <c r="AM130" t="e">
        <f t="shared" si="63"/>
        <v>#REF!</v>
      </c>
      <c r="AN130" t="e">
        <f t="shared" si="58"/>
        <v>#REF!</v>
      </c>
      <c r="AO130" t="e">
        <f t="shared" si="59"/>
        <v>#REF!</v>
      </c>
      <c r="AP130" t="e">
        <f t="shared" si="60"/>
        <v>#REF!</v>
      </c>
      <c r="AQ130" t="e">
        <f t="shared" si="61"/>
        <v>#REF!</v>
      </c>
    </row>
    <row r="131" spans="1:43" x14ac:dyDescent="0.15">
      <c r="A131" t="e">
        <f>Reflection!A131</f>
        <v>#REF!</v>
      </c>
      <c r="B131" t="e">
        <f t="shared" ref="B131:B194" si="64">IMSUM(4.1,IMDIV((78.4-4.1),IMSUM(IMPRODUCT($C$1,2*PI()*A131*0.0000000000083),1)))</f>
        <v>#REF!</v>
      </c>
      <c r="C131" t="e">
        <f t="shared" ref="C131:C194" si="65">IMPRODUCT(IMPRODUCT(B131,$C$1),2*PI()*A131*0.000000000008854)</f>
        <v>#REF!</v>
      </c>
      <c r="D131" t="e">
        <f t="shared" si="37"/>
        <v>#REF!</v>
      </c>
      <c r="E131" t="e">
        <f t="shared" si="38"/>
        <v>#REF!</v>
      </c>
      <c r="F131" t="e">
        <f t="shared" si="39"/>
        <v>#REF!</v>
      </c>
      <c r="G131" t="e">
        <f t="shared" ref="G131:G194" si="66">IMAGINARY(C131)</f>
        <v>#REF!</v>
      </c>
      <c r="J131" t="e">
        <f>Reflection!A131</f>
        <v>#REF!</v>
      </c>
      <c r="K131" t="e">
        <f t="shared" si="40"/>
        <v>#REF!</v>
      </c>
      <c r="L131" t="e">
        <f t="shared" ref="L131:L162" si="67">IMPRODUCT(IMPRODUCT(K131,$L$1),2*PI()*J131*0.0000000000088542)</f>
        <v>#REF!</v>
      </c>
      <c r="M131" t="e">
        <f t="shared" si="41"/>
        <v>#REF!</v>
      </c>
      <c r="N131" t="e">
        <f t="shared" si="42"/>
        <v>#REF!</v>
      </c>
      <c r="O131" t="e">
        <f t="shared" si="43"/>
        <v>#REF!</v>
      </c>
      <c r="P131" t="e">
        <f t="shared" si="44"/>
        <v>#REF!</v>
      </c>
      <c r="S131" t="e">
        <f>Reflection!A131</f>
        <v>#REF!</v>
      </c>
      <c r="T131" t="e">
        <f t="shared" si="45"/>
        <v>#REF!</v>
      </c>
      <c r="U131" t="e">
        <f t="shared" si="46"/>
        <v>#REF!</v>
      </c>
      <c r="V131" t="e">
        <f t="shared" si="47"/>
        <v>#REF!</v>
      </c>
      <c r="W131" t="e">
        <f t="shared" si="48"/>
        <v>#REF!</v>
      </c>
      <c r="X131" t="e">
        <f t="shared" si="49"/>
        <v>#REF!</v>
      </c>
      <c r="Y131" t="e">
        <f t="shared" si="50"/>
        <v>#REF!</v>
      </c>
      <c r="AB131" t="e">
        <f>Reflection!A131</f>
        <v>#REF!</v>
      </c>
      <c r="AC131" t="e">
        <f t="shared" si="51"/>
        <v>#REF!</v>
      </c>
      <c r="AD131" t="e">
        <f t="shared" si="52"/>
        <v>#REF!</v>
      </c>
      <c r="AE131" t="e">
        <f t="shared" si="53"/>
        <v>#REF!</v>
      </c>
      <c r="AF131" t="e">
        <f t="shared" si="54"/>
        <v>#REF!</v>
      </c>
      <c r="AG131" t="e">
        <f t="shared" si="55"/>
        <v>#REF!</v>
      </c>
      <c r="AH131" t="e">
        <f t="shared" si="56"/>
        <v>#REF!</v>
      </c>
      <c r="AK131" t="e">
        <f>Reflection!A131</f>
        <v>#REF!</v>
      </c>
      <c r="AL131" t="e">
        <f t="shared" si="57"/>
        <v>#REF!</v>
      </c>
      <c r="AM131" t="e">
        <f t="shared" ref="AM131:AM162" si="68">IMPRODUCT(IMPRODUCT(AL131,$AM$1),2*PI()*AK131*0.000000000008854)</f>
        <v>#REF!</v>
      </c>
      <c r="AN131" t="e">
        <f t="shared" si="58"/>
        <v>#REF!</v>
      </c>
      <c r="AO131" t="e">
        <f t="shared" si="59"/>
        <v>#REF!</v>
      </c>
      <c r="AP131" t="e">
        <f t="shared" si="60"/>
        <v>#REF!</v>
      </c>
      <c r="AQ131" t="e">
        <f t="shared" si="61"/>
        <v>#REF!</v>
      </c>
    </row>
    <row r="132" spans="1:43" x14ac:dyDescent="0.15">
      <c r="A132" t="e">
        <f>Reflection!A132</f>
        <v>#REF!</v>
      </c>
      <c r="B132" t="e">
        <f t="shared" si="64"/>
        <v>#REF!</v>
      </c>
      <c r="C132" t="e">
        <f t="shared" si="65"/>
        <v>#REF!</v>
      </c>
      <c r="D132" t="e">
        <f t="shared" ref="D132:D195" si="69">IMREAL(B132)</f>
        <v>#REF!</v>
      </c>
      <c r="E132" t="e">
        <f t="shared" ref="E132:E195" si="70">-IMAGINARY(B132)</f>
        <v>#REF!</v>
      </c>
      <c r="F132" t="e">
        <f t="shared" ref="F132:F195" si="71">IMREAL(C132)</f>
        <v>#REF!</v>
      </c>
      <c r="G132" t="e">
        <f t="shared" si="66"/>
        <v>#REF!</v>
      </c>
      <c r="J132" t="e">
        <f>Reflection!A132</f>
        <v>#REF!</v>
      </c>
      <c r="K132" t="e">
        <f t="shared" ref="K132:K195" si="72">IMSUM(2.6,IMDIV(19.94,IMSUM(1,IMPOWER(IMPRODUCT($L$1,2*PI()*J132,0.0000000001649),1))),IMDIV(0.74,IMSUM(1,IMPRODUCT($L$1,2*PI()*J132*0.0000000000104))),IMDIV(1.19,IMSUM(1,IMPRODUCT($L$1,2*PI()*J132*0.00000000000169))))</f>
        <v>#REF!</v>
      </c>
      <c r="L132" t="e">
        <f t="shared" si="67"/>
        <v>#REF!</v>
      </c>
      <c r="M132" t="e">
        <f t="shared" ref="M132:M195" si="73">IMREAL(K132)</f>
        <v>#REF!</v>
      </c>
      <c r="N132" t="e">
        <f t="shared" ref="N132:N195" si="74">-IMAGINARY(K132)</f>
        <v>#REF!</v>
      </c>
      <c r="O132" t="e">
        <f t="shared" ref="O132:O195" si="75">IMREAL(L132)</f>
        <v>#REF!</v>
      </c>
      <c r="P132" t="e">
        <f t="shared" ref="P132:P195" si="76">IMAGINARY(L132)</f>
        <v>#REF!</v>
      </c>
      <c r="S132" t="e">
        <f>Reflection!A132</f>
        <v>#REF!</v>
      </c>
      <c r="T132" t="e">
        <f t="shared" ref="T132:T195" si="77">IMSUM(2.7,IMDIV(25.93,IMSUM(1,IMPOWER(IMPRODUCT($U$1,2*PI()*S132,0.00000000009441),0.956))),IMDIV(1.44,IMSUM(1,IMPRODUCT($U$1,2*PI()*S132*0.00000000000891))),IMDIV(1.28,IMSUM(1,IMPRODUCT($U$1,2*PI()*S132*0.00000000000139))))</f>
        <v>#REF!</v>
      </c>
      <c r="U132" t="e">
        <f t="shared" ref="U132:U195" si="78">IMPRODUCT(IMPRODUCT(T132,$U$1),2*PI()*S132*0.0000000000088542)</f>
        <v>#REF!</v>
      </c>
      <c r="V132" t="e">
        <f t="shared" ref="V132:V195" si="79">IMREAL(T132)</f>
        <v>#REF!</v>
      </c>
      <c r="W132" t="e">
        <f t="shared" ref="W132:W195" si="80">-IMAGINARY(T132)</f>
        <v>#REF!</v>
      </c>
      <c r="X132" t="e">
        <f t="shared" ref="X132:X195" si="81">IMREAL(U132)</f>
        <v>#REF!</v>
      </c>
      <c r="Y132" t="e">
        <f t="shared" ref="Y132:Y195" si="82">IMAGINARY(U132)</f>
        <v>#REF!</v>
      </c>
      <c r="AB132" t="e">
        <f>Reflection!A132</f>
        <v>#REF!</v>
      </c>
      <c r="AC132" t="e">
        <f t="shared" ref="AC132:AC195" si="83">IMSUM($AD$1,IMSUM(IMDIV(($AE$1-$AD$1),IMSUM(IMPOWER(IMPRODUCT($AJ$1,2*PI()*AB132*$AF$1),(1-$AG$1)),1)),IMDIV($AH$1,IMPRODUCT($AJ$1,2*PI()*AB132*0.000000000008854))))</f>
        <v>#REF!</v>
      </c>
      <c r="AD132" t="e">
        <f t="shared" ref="AD132:AD195" si="84">IMPRODUCT(IMPRODUCT(AC132,$AJ$1),2*PI()*AB132*0.000000000008854)</f>
        <v>#REF!</v>
      </c>
      <c r="AE132" t="e">
        <f t="shared" ref="AE132:AE195" si="85">IMREAL(AC132)</f>
        <v>#REF!</v>
      </c>
      <c r="AF132" t="e">
        <f t="shared" ref="AF132:AF195" si="86">-IMAGINARY(AC132)</f>
        <v>#REF!</v>
      </c>
      <c r="AG132" t="e">
        <f t="shared" ref="AG132:AG195" si="87">IMREAL(AD132)</f>
        <v>#REF!</v>
      </c>
      <c r="AH132" t="e">
        <f t="shared" ref="AH132:AH195" si="88">IMAGINARY(AD132)</f>
        <v>#REF!</v>
      </c>
      <c r="AK132" t="e">
        <f>Reflection!A132</f>
        <v>#REF!</v>
      </c>
      <c r="AL132" t="e">
        <f t="shared" ref="AL132:AL195" si="89">IMSUM(4.1,IMDIV((78.4-4.1),IMSUM(IMPRODUCT($AM$1,2*PI()*AK132*0.0000000000083),1)))</f>
        <v>#REF!</v>
      </c>
      <c r="AM132" t="e">
        <f t="shared" si="68"/>
        <v>#REF!</v>
      </c>
      <c r="AN132" t="e">
        <f t="shared" ref="AN132:AN195" si="90">IMREAL(AL132)</f>
        <v>#REF!</v>
      </c>
      <c r="AO132" t="e">
        <f t="shared" ref="AO132:AO195" si="91">-IMAGINARY(AL132)</f>
        <v>#REF!</v>
      </c>
      <c r="AP132" t="e">
        <f t="shared" ref="AP132:AP195" si="92">IMREAL(AM132)</f>
        <v>#REF!</v>
      </c>
      <c r="AQ132" t="e">
        <f t="shared" ref="AQ132:AQ195" si="93">IMAGINARY(AM132)</f>
        <v>#REF!</v>
      </c>
    </row>
    <row r="133" spans="1:43" x14ac:dyDescent="0.15">
      <c r="A133" t="e">
        <f>Reflection!A133</f>
        <v>#REF!</v>
      </c>
      <c r="B133" t="e">
        <f t="shared" si="64"/>
        <v>#REF!</v>
      </c>
      <c r="C133" t="e">
        <f t="shared" si="65"/>
        <v>#REF!</v>
      </c>
      <c r="D133" t="e">
        <f t="shared" si="69"/>
        <v>#REF!</v>
      </c>
      <c r="E133" t="e">
        <f t="shared" si="70"/>
        <v>#REF!</v>
      </c>
      <c r="F133" t="e">
        <f t="shared" si="71"/>
        <v>#REF!</v>
      </c>
      <c r="G133" t="e">
        <f t="shared" si="66"/>
        <v>#REF!</v>
      </c>
      <c r="J133" t="e">
        <f>Reflection!A133</f>
        <v>#REF!</v>
      </c>
      <c r="K133" t="e">
        <f t="shared" si="72"/>
        <v>#REF!</v>
      </c>
      <c r="L133" t="e">
        <f t="shared" si="67"/>
        <v>#REF!</v>
      </c>
      <c r="M133" t="e">
        <f t="shared" si="73"/>
        <v>#REF!</v>
      </c>
      <c r="N133" t="e">
        <f t="shared" si="74"/>
        <v>#REF!</v>
      </c>
      <c r="O133" t="e">
        <f t="shared" si="75"/>
        <v>#REF!</v>
      </c>
      <c r="P133" t="e">
        <f t="shared" si="76"/>
        <v>#REF!</v>
      </c>
      <c r="S133" t="e">
        <f>Reflection!A133</f>
        <v>#REF!</v>
      </c>
      <c r="T133" t="e">
        <f t="shared" si="77"/>
        <v>#REF!</v>
      </c>
      <c r="U133" t="e">
        <f t="shared" si="78"/>
        <v>#REF!</v>
      </c>
      <c r="V133" t="e">
        <f t="shared" si="79"/>
        <v>#REF!</v>
      </c>
      <c r="W133" t="e">
        <f t="shared" si="80"/>
        <v>#REF!</v>
      </c>
      <c r="X133" t="e">
        <f t="shared" si="81"/>
        <v>#REF!</v>
      </c>
      <c r="Y133" t="e">
        <f t="shared" si="82"/>
        <v>#REF!</v>
      </c>
      <c r="AB133" t="e">
        <f>Reflection!A133</f>
        <v>#REF!</v>
      </c>
      <c r="AC133" t="e">
        <f t="shared" si="83"/>
        <v>#REF!</v>
      </c>
      <c r="AD133" t="e">
        <f t="shared" si="84"/>
        <v>#REF!</v>
      </c>
      <c r="AE133" t="e">
        <f t="shared" si="85"/>
        <v>#REF!</v>
      </c>
      <c r="AF133" t="e">
        <f t="shared" si="86"/>
        <v>#REF!</v>
      </c>
      <c r="AG133" t="e">
        <f t="shared" si="87"/>
        <v>#REF!</v>
      </c>
      <c r="AH133" t="e">
        <f t="shared" si="88"/>
        <v>#REF!</v>
      </c>
      <c r="AK133" t="e">
        <f>Reflection!A133</f>
        <v>#REF!</v>
      </c>
      <c r="AL133" t="e">
        <f t="shared" si="89"/>
        <v>#REF!</v>
      </c>
      <c r="AM133" t="e">
        <f t="shared" si="68"/>
        <v>#REF!</v>
      </c>
      <c r="AN133" t="e">
        <f t="shared" si="90"/>
        <v>#REF!</v>
      </c>
      <c r="AO133" t="e">
        <f t="shared" si="91"/>
        <v>#REF!</v>
      </c>
      <c r="AP133" t="e">
        <f t="shared" si="92"/>
        <v>#REF!</v>
      </c>
      <c r="AQ133" t="e">
        <f t="shared" si="93"/>
        <v>#REF!</v>
      </c>
    </row>
    <row r="134" spans="1:43" x14ac:dyDescent="0.15">
      <c r="A134" t="e">
        <f>Reflection!A134</f>
        <v>#REF!</v>
      </c>
      <c r="B134" t="e">
        <f t="shared" si="64"/>
        <v>#REF!</v>
      </c>
      <c r="C134" t="e">
        <f t="shared" si="65"/>
        <v>#REF!</v>
      </c>
      <c r="D134" t="e">
        <f t="shared" si="69"/>
        <v>#REF!</v>
      </c>
      <c r="E134" t="e">
        <f t="shared" si="70"/>
        <v>#REF!</v>
      </c>
      <c r="F134" t="e">
        <f t="shared" si="71"/>
        <v>#REF!</v>
      </c>
      <c r="G134" t="e">
        <f t="shared" si="66"/>
        <v>#REF!</v>
      </c>
      <c r="J134" t="e">
        <f>Reflection!A134</f>
        <v>#REF!</v>
      </c>
      <c r="K134" t="e">
        <f t="shared" si="72"/>
        <v>#REF!</v>
      </c>
      <c r="L134" t="e">
        <f t="shared" si="67"/>
        <v>#REF!</v>
      </c>
      <c r="M134" t="e">
        <f t="shared" si="73"/>
        <v>#REF!</v>
      </c>
      <c r="N134" t="e">
        <f t="shared" si="74"/>
        <v>#REF!</v>
      </c>
      <c r="O134" t="e">
        <f t="shared" si="75"/>
        <v>#REF!</v>
      </c>
      <c r="P134" t="e">
        <f t="shared" si="76"/>
        <v>#REF!</v>
      </c>
      <c r="S134" t="e">
        <f>Reflection!A134</f>
        <v>#REF!</v>
      </c>
      <c r="T134" t="e">
        <f t="shared" si="77"/>
        <v>#REF!</v>
      </c>
      <c r="U134" t="e">
        <f t="shared" si="78"/>
        <v>#REF!</v>
      </c>
      <c r="V134" t="e">
        <f t="shared" si="79"/>
        <v>#REF!</v>
      </c>
      <c r="W134" t="e">
        <f t="shared" si="80"/>
        <v>#REF!</v>
      </c>
      <c r="X134" t="e">
        <f t="shared" si="81"/>
        <v>#REF!</v>
      </c>
      <c r="Y134" t="e">
        <f t="shared" si="82"/>
        <v>#REF!</v>
      </c>
      <c r="AB134" t="e">
        <f>Reflection!A134</f>
        <v>#REF!</v>
      </c>
      <c r="AC134" t="e">
        <f t="shared" si="83"/>
        <v>#REF!</v>
      </c>
      <c r="AD134" t="e">
        <f t="shared" si="84"/>
        <v>#REF!</v>
      </c>
      <c r="AE134" t="e">
        <f t="shared" si="85"/>
        <v>#REF!</v>
      </c>
      <c r="AF134" t="e">
        <f t="shared" si="86"/>
        <v>#REF!</v>
      </c>
      <c r="AG134" t="e">
        <f t="shared" si="87"/>
        <v>#REF!</v>
      </c>
      <c r="AH134" t="e">
        <f t="shared" si="88"/>
        <v>#REF!</v>
      </c>
      <c r="AK134" t="e">
        <f>Reflection!A134</f>
        <v>#REF!</v>
      </c>
      <c r="AL134" t="e">
        <f t="shared" si="89"/>
        <v>#REF!</v>
      </c>
      <c r="AM134" t="e">
        <f t="shared" si="68"/>
        <v>#REF!</v>
      </c>
      <c r="AN134" t="e">
        <f t="shared" si="90"/>
        <v>#REF!</v>
      </c>
      <c r="AO134" t="e">
        <f t="shared" si="91"/>
        <v>#REF!</v>
      </c>
      <c r="AP134" t="e">
        <f t="shared" si="92"/>
        <v>#REF!</v>
      </c>
      <c r="AQ134" t="e">
        <f t="shared" si="93"/>
        <v>#REF!</v>
      </c>
    </row>
    <row r="135" spans="1:43" x14ac:dyDescent="0.15">
      <c r="A135" t="e">
        <f>Reflection!A135</f>
        <v>#REF!</v>
      </c>
      <c r="B135" t="e">
        <f t="shared" si="64"/>
        <v>#REF!</v>
      </c>
      <c r="C135" t="e">
        <f t="shared" si="65"/>
        <v>#REF!</v>
      </c>
      <c r="D135" t="e">
        <f t="shared" si="69"/>
        <v>#REF!</v>
      </c>
      <c r="E135" t="e">
        <f t="shared" si="70"/>
        <v>#REF!</v>
      </c>
      <c r="F135" t="e">
        <f t="shared" si="71"/>
        <v>#REF!</v>
      </c>
      <c r="G135" t="e">
        <f t="shared" si="66"/>
        <v>#REF!</v>
      </c>
      <c r="J135" t="e">
        <f>Reflection!A135</f>
        <v>#REF!</v>
      </c>
      <c r="K135" t="e">
        <f t="shared" si="72"/>
        <v>#REF!</v>
      </c>
      <c r="L135" t="e">
        <f t="shared" si="67"/>
        <v>#REF!</v>
      </c>
      <c r="M135" t="e">
        <f t="shared" si="73"/>
        <v>#REF!</v>
      </c>
      <c r="N135" t="e">
        <f t="shared" si="74"/>
        <v>#REF!</v>
      </c>
      <c r="O135" t="e">
        <f t="shared" si="75"/>
        <v>#REF!</v>
      </c>
      <c r="P135" t="e">
        <f t="shared" si="76"/>
        <v>#REF!</v>
      </c>
      <c r="S135" t="e">
        <f>Reflection!A135</f>
        <v>#REF!</v>
      </c>
      <c r="T135" t="e">
        <f t="shared" si="77"/>
        <v>#REF!</v>
      </c>
      <c r="U135" t="e">
        <f t="shared" si="78"/>
        <v>#REF!</v>
      </c>
      <c r="V135" t="e">
        <f t="shared" si="79"/>
        <v>#REF!</v>
      </c>
      <c r="W135" t="e">
        <f t="shared" si="80"/>
        <v>#REF!</v>
      </c>
      <c r="X135" t="e">
        <f t="shared" si="81"/>
        <v>#REF!</v>
      </c>
      <c r="Y135" t="e">
        <f t="shared" si="82"/>
        <v>#REF!</v>
      </c>
      <c r="AB135" t="e">
        <f>Reflection!A135</f>
        <v>#REF!</v>
      </c>
      <c r="AC135" t="e">
        <f t="shared" si="83"/>
        <v>#REF!</v>
      </c>
      <c r="AD135" t="e">
        <f t="shared" si="84"/>
        <v>#REF!</v>
      </c>
      <c r="AE135" t="e">
        <f t="shared" si="85"/>
        <v>#REF!</v>
      </c>
      <c r="AF135" t="e">
        <f t="shared" si="86"/>
        <v>#REF!</v>
      </c>
      <c r="AG135" t="e">
        <f t="shared" si="87"/>
        <v>#REF!</v>
      </c>
      <c r="AH135" t="e">
        <f t="shared" si="88"/>
        <v>#REF!</v>
      </c>
      <c r="AK135" t="e">
        <f>Reflection!A135</f>
        <v>#REF!</v>
      </c>
      <c r="AL135" t="e">
        <f t="shared" si="89"/>
        <v>#REF!</v>
      </c>
      <c r="AM135" t="e">
        <f t="shared" si="68"/>
        <v>#REF!</v>
      </c>
      <c r="AN135" t="e">
        <f t="shared" si="90"/>
        <v>#REF!</v>
      </c>
      <c r="AO135" t="e">
        <f t="shared" si="91"/>
        <v>#REF!</v>
      </c>
      <c r="AP135" t="e">
        <f t="shared" si="92"/>
        <v>#REF!</v>
      </c>
      <c r="AQ135" t="e">
        <f t="shared" si="93"/>
        <v>#REF!</v>
      </c>
    </row>
    <row r="136" spans="1:43" x14ac:dyDescent="0.15">
      <c r="A136" t="e">
        <f>Reflection!A136</f>
        <v>#REF!</v>
      </c>
      <c r="B136" t="e">
        <f t="shared" si="64"/>
        <v>#REF!</v>
      </c>
      <c r="C136" t="e">
        <f t="shared" si="65"/>
        <v>#REF!</v>
      </c>
      <c r="D136" t="e">
        <f t="shared" si="69"/>
        <v>#REF!</v>
      </c>
      <c r="E136" t="e">
        <f t="shared" si="70"/>
        <v>#REF!</v>
      </c>
      <c r="F136" t="e">
        <f t="shared" si="71"/>
        <v>#REF!</v>
      </c>
      <c r="G136" t="e">
        <f t="shared" si="66"/>
        <v>#REF!</v>
      </c>
      <c r="J136" t="e">
        <f>Reflection!A136</f>
        <v>#REF!</v>
      </c>
      <c r="K136" t="e">
        <f t="shared" si="72"/>
        <v>#REF!</v>
      </c>
      <c r="L136" t="e">
        <f t="shared" si="67"/>
        <v>#REF!</v>
      </c>
      <c r="M136" t="e">
        <f t="shared" si="73"/>
        <v>#REF!</v>
      </c>
      <c r="N136" t="e">
        <f t="shared" si="74"/>
        <v>#REF!</v>
      </c>
      <c r="O136" t="e">
        <f t="shared" si="75"/>
        <v>#REF!</v>
      </c>
      <c r="P136" t="e">
        <f t="shared" si="76"/>
        <v>#REF!</v>
      </c>
      <c r="S136" t="e">
        <f>Reflection!A136</f>
        <v>#REF!</v>
      </c>
      <c r="T136" t="e">
        <f t="shared" si="77"/>
        <v>#REF!</v>
      </c>
      <c r="U136" t="e">
        <f t="shared" si="78"/>
        <v>#REF!</v>
      </c>
      <c r="V136" t="e">
        <f t="shared" si="79"/>
        <v>#REF!</v>
      </c>
      <c r="W136" t="e">
        <f t="shared" si="80"/>
        <v>#REF!</v>
      </c>
      <c r="X136" t="e">
        <f t="shared" si="81"/>
        <v>#REF!</v>
      </c>
      <c r="Y136" t="e">
        <f t="shared" si="82"/>
        <v>#REF!</v>
      </c>
      <c r="AB136" t="e">
        <f>Reflection!A136</f>
        <v>#REF!</v>
      </c>
      <c r="AC136" t="e">
        <f t="shared" si="83"/>
        <v>#REF!</v>
      </c>
      <c r="AD136" t="e">
        <f t="shared" si="84"/>
        <v>#REF!</v>
      </c>
      <c r="AE136" t="e">
        <f t="shared" si="85"/>
        <v>#REF!</v>
      </c>
      <c r="AF136" t="e">
        <f t="shared" si="86"/>
        <v>#REF!</v>
      </c>
      <c r="AG136" t="e">
        <f t="shared" si="87"/>
        <v>#REF!</v>
      </c>
      <c r="AH136" t="e">
        <f t="shared" si="88"/>
        <v>#REF!</v>
      </c>
      <c r="AK136" t="e">
        <f>Reflection!A136</f>
        <v>#REF!</v>
      </c>
      <c r="AL136" t="e">
        <f t="shared" si="89"/>
        <v>#REF!</v>
      </c>
      <c r="AM136" t="e">
        <f t="shared" si="68"/>
        <v>#REF!</v>
      </c>
      <c r="AN136" t="e">
        <f t="shared" si="90"/>
        <v>#REF!</v>
      </c>
      <c r="AO136" t="e">
        <f t="shared" si="91"/>
        <v>#REF!</v>
      </c>
      <c r="AP136" t="e">
        <f t="shared" si="92"/>
        <v>#REF!</v>
      </c>
      <c r="AQ136" t="e">
        <f t="shared" si="93"/>
        <v>#REF!</v>
      </c>
    </row>
    <row r="137" spans="1:43" x14ac:dyDescent="0.15">
      <c r="A137" t="e">
        <f>Reflection!A137</f>
        <v>#REF!</v>
      </c>
      <c r="B137" t="e">
        <f t="shared" si="64"/>
        <v>#REF!</v>
      </c>
      <c r="C137" t="e">
        <f t="shared" si="65"/>
        <v>#REF!</v>
      </c>
      <c r="D137" t="e">
        <f t="shared" si="69"/>
        <v>#REF!</v>
      </c>
      <c r="E137" t="e">
        <f t="shared" si="70"/>
        <v>#REF!</v>
      </c>
      <c r="F137" t="e">
        <f t="shared" si="71"/>
        <v>#REF!</v>
      </c>
      <c r="G137" t="e">
        <f t="shared" si="66"/>
        <v>#REF!</v>
      </c>
      <c r="J137" t="e">
        <f>Reflection!A137</f>
        <v>#REF!</v>
      </c>
      <c r="K137" t="e">
        <f t="shared" si="72"/>
        <v>#REF!</v>
      </c>
      <c r="L137" t="e">
        <f t="shared" si="67"/>
        <v>#REF!</v>
      </c>
      <c r="M137" t="e">
        <f t="shared" si="73"/>
        <v>#REF!</v>
      </c>
      <c r="N137" t="e">
        <f t="shared" si="74"/>
        <v>#REF!</v>
      </c>
      <c r="O137" t="e">
        <f t="shared" si="75"/>
        <v>#REF!</v>
      </c>
      <c r="P137" t="e">
        <f t="shared" si="76"/>
        <v>#REF!</v>
      </c>
      <c r="S137" t="e">
        <f>Reflection!A137</f>
        <v>#REF!</v>
      </c>
      <c r="T137" t="e">
        <f t="shared" si="77"/>
        <v>#REF!</v>
      </c>
      <c r="U137" t="e">
        <f t="shared" si="78"/>
        <v>#REF!</v>
      </c>
      <c r="V137" t="e">
        <f t="shared" si="79"/>
        <v>#REF!</v>
      </c>
      <c r="W137" t="e">
        <f t="shared" si="80"/>
        <v>#REF!</v>
      </c>
      <c r="X137" t="e">
        <f t="shared" si="81"/>
        <v>#REF!</v>
      </c>
      <c r="Y137" t="e">
        <f t="shared" si="82"/>
        <v>#REF!</v>
      </c>
      <c r="AB137" t="e">
        <f>Reflection!A137</f>
        <v>#REF!</v>
      </c>
      <c r="AC137" t="e">
        <f t="shared" si="83"/>
        <v>#REF!</v>
      </c>
      <c r="AD137" t="e">
        <f t="shared" si="84"/>
        <v>#REF!</v>
      </c>
      <c r="AE137" t="e">
        <f t="shared" si="85"/>
        <v>#REF!</v>
      </c>
      <c r="AF137" t="e">
        <f t="shared" si="86"/>
        <v>#REF!</v>
      </c>
      <c r="AG137" t="e">
        <f t="shared" si="87"/>
        <v>#REF!</v>
      </c>
      <c r="AH137" t="e">
        <f t="shared" si="88"/>
        <v>#REF!</v>
      </c>
      <c r="AK137" t="e">
        <f>Reflection!A137</f>
        <v>#REF!</v>
      </c>
      <c r="AL137" t="e">
        <f t="shared" si="89"/>
        <v>#REF!</v>
      </c>
      <c r="AM137" t="e">
        <f t="shared" si="68"/>
        <v>#REF!</v>
      </c>
      <c r="AN137" t="e">
        <f t="shared" si="90"/>
        <v>#REF!</v>
      </c>
      <c r="AO137" t="e">
        <f t="shared" si="91"/>
        <v>#REF!</v>
      </c>
      <c r="AP137" t="e">
        <f t="shared" si="92"/>
        <v>#REF!</v>
      </c>
      <c r="AQ137" t="e">
        <f t="shared" si="93"/>
        <v>#REF!</v>
      </c>
    </row>
    <row r="138" spans="1:43" x14ac:dyDescent="0.15">
      <c r="A138" t="e">
        <f>Reflection!A138</f>
        <v>#REF!</v>
      </c>
      <c r="B138" t="e">
        <f t="shared" si="64"/>
        <v>#REF!</v>
      </c>
      <c r="C138" t="e">
        <f t="shared" si="65"/>
        <v>#REF!</v>
      </c>
      <c r="D138" t="e">
        <f t="shared" si="69"/>
        <v>#REF!</v>
      </c>
      <c r="E138" t="e">
        <f t="shared" si="70"/>
        <v>#REF!</v>
      </c>
      <c r="F138" t="e">
        <f t="shared" si="71"/>
        <v>#REF!</v>
      </c>
      <c r="G138" t="e">
        <f t="shared" si="66"/>
        <v>#REF!</v>
      </c>
      <c r="J138" t="e">
        <f>Reflection!A138</f>
        <v>#REF!</v>
      </c>
      <c r="K138" t="e">
        <f t="shared" si="72"/>
        <v>#REF!</v>
      </c>
      <c r="L138" t="e">
        <f t="shared" si="67"/>
        <v>#REF!</v>
      </c>
      <c r="M138" t="e">
        <f t="shared" si="73"/>
        <v>#REF!</v>
      </c>
      <c r="N138" t="e">
        <f t="shared" si="74"/>
        <v>#REF!</v>
      </c>
      <c r="O138" t="e">
        <f t="shared" si="75"/>
        <v>#REF!</v>
      </c>
      <c r="P138" t="e">
        <f t="shared" si="76"/>
        <v>#REF!</v>
      </c>
      <c r="S138" t="e">
        <f>Reflection!A138</f>
        <v>#REF!</v>
      </c>
      <c r="T138" t="e">
        <f t="shared" si="77"/>
        <v>#REF!</v>
      </c>
      <c r="U138" t="e">
        <f t="shared" si="78"/>
        <v>#REF!</v>
      </c>
      <c r="V138" t="e">
        <f t="shared" si="79"/>
        <v>#REF!</v>
      </c>
      <c r="W138" t="e">
        <f t="shared" si="80"/>
        <v>#REF!</v>
      </c>
      <c r="X138" t="e">
        <f t="shared" si="81"/>
        <v>#REF!</v>
      </c>
      <c r="Y138" t="e">
        <f t="shared" si="82"/>
        <v>#REF!</v>
      </c>
      <c r="AB138" t="e">
        <f>Reflection!A138</f>
        <v>#REF!</v>
      </c>
      <c r="AC138" t="e">
        <f t="shared" si="83"/>
        <v>#REF!</v>
      </c>
      <c r="AD138" t="e">
        <f t="shared" si="84"/>
        <v>#REF!</v>
      </c>
      <c r="AE138" t="e">
        <f t="shared" si="85"/>
        <v>#REF!</v>
      </c>
      <c r="AF138" t="e">
        <f t="shared" si="86"/>
        <v>#REF!</v>
      </c>
      <c r="AG138" t="e">
        <f t="shared" si="87"/>
        <v>#REF!</v>
      </c>
      <c r="AH138" t="e">
        <f t="shared" si="88"/>
        <v>#REF!</v>
      </c>
      <c r="AK138" t="e">
        <f>Reflection!A138</f>
        <v>#REF!</v>
      </c>
      <c r="AL138" t="e">
        <f t="shared" si="89"/>
        <v>#REF!</v>
      </c>
      <c r="AM138" t="e">
        <f t="shared" si="68"/>
        <v>#REF!</v>
      </c>
      <c r="AN138" t="e">
        <f t="shared" si="90"/>
        <v>#REF!</v>
      </c>
      <c r="AO138" t="e">
        <f t="shared" si="91"/>
        <v>#REF!</v>
      </c>
      <c r="AP138" t="e">
        <f t="shared" si="92"/>
        <v>#REF!</v>
      </c>
      <c r="AQ138" t="e">
        <f t="shared" si="93"/>
        <v>#REF!</v>
      </c>
    </row>
    <row r="139" spans="1:43" x14ac:dyDescent="0.15">
      <c r="A139" t="e">
        <f>Reflection!A139</f>
        <v>#REF!</v>
      </c>
      <c r="B139" t="e">
        <f t="shared" si="64"/>
        <v>#REF!</v>
      </c>
      <c r="C139" t="e">
        <f t="shared" si="65"/>
        <v>#REF!</v>
      </c>
      <c r="D139" t="e">
        <f t="shared" si="69"/>
        <v>#REF!</v>
      </c>
      <c r="E139" t="e">
        <f t="shared" si="70"/>
        <v>#REF!</v>
      </c>
      <c r="F139" t="e">
        <f t="shared" si="71"/>
        <v>#REF!</v>
      </c>
      <c r="G139" t="e">
        <f t="shared" si="66"/>
        <v>#REF!</v>
      </c>
      <c r="J139" t="e">
        <f>Reflection!A139</f>
        <v>#REF!</v>
      </c>
      <c r="K139" t="e">
        <f t="shared" si="72"/>
        <v>#REF!</v>
      </c>
      <c r="L139" t="e">
        <f t="shared" si="67"/>
        <v>#REF!</v>
      </c>
      <c r="M139" t="e">
        <f t="shared" si="73"/>
        <v>#REF!</v>
      </c>
      <c r="N139" t="e">
        <f t="shared" si="74"/>
        <v>#REF!</v>
      </c>
      <c r="O139" t="e">
        <f t="shared" si="75"/>
        <v>#REF!</v>
      </c>
      <c r="P139" t="e">
        <f t="shared" si="76"/>
        <v>#REF!</v>
      </c>
      <c r="S139" t="e">
        <f>Reflection!A139</f>
        <v>#REF!</v>
      </c>
      <c r="T139" t="e">
        <f t="shared" si="77"/>
        <v>#REF!</v>
      </c>
      <c r="U139" t="e">
        <f t="shared" si="78"/>
        <v>#REF!</v>
      </c>
      <c r="V139" t="e">
        <f t="shared" si="79"/>
        <v>#REF!</v>
      </c>
      <c r="W139" t="e">
        <f t="shared" si="80"/>
        <v>#REF!</v>
      </c>
      <c r="X139" t="e">
        <f t="shared" si="81"/>
        <v>#REF!</v>
      </c>
      <c r="Y139" t="e">
        <f t="shared" si="82"/>
        <v>#REF!</v>
      </c>
      <c r="AB139" t="e">
        <f>Reflection!A139</f>
        <v>#REF!</v>
      </c>
      <c r="AC139" t="e">
        <f t="shared" si="83"/>
        <v>#REF!</v>
      </c>
      <c r="AD139" t="e">
        <f t="shared" si="84"/>
        <v>#REF!</v>
      </c>
      <c r="AE139" t="e">
        <f t="shared" si="85"/>
        <v>#REF!</v>
      </c>
      <c r="AF139" t="e">
        <f t="shared" si="86"/>
        <v>#REF!</v>
      </c>
      <c r="AG139" t="e">
        <f t="shared" si="87"/>
        <v>#REF!</v>
      </c>
      <c r="AH139" t="e">
        <f t="shared" si="88"/>
        <v>#REF!</v>
      </c>
      <c r="AK139" t="e">
        <f>Reflection!A139</f>
        <v>#REF!</v>
      </c>
      <c r="AL139" t="e">
        <f t="shared" si="89"/>
        <v>#REF!</v>
      </c>
      <c r="AM139" t="e">
        <f t="shared" si="68"/>
        <v>#REF!</v>
      </c>
      <c r="AN139" t="e">
        <f t="shared" si="90"/>
        <v>#REF!</v>
      </c>
      <c r="AO139" t="e">
        <f t="shared" si="91"/>
        <v>#REF!</v>
      </c>
      <c r="AP139" t="e">
        <f t="shared" si="92"/>
        <v>#REF!</v>
      </c>
      <c r="AQ139" t="e">
        <f t="shared" si="93"/>
        <v>#REF!</v>
      </c>
    </row>
    <row r="140" spans="1:43" x14ac:dyDescent="0.15">
      <c r="A140" t="e">
        <f>Reflection!A140</f>
        <v>#REF!</v>
      </c>
      <c r="B140" t="e">
        <f t="shared" si="64"/>
        <v>#REF!</v>
      </c>
      <c r="C140" t="e">
        <f t="shared" si="65"/>
        <v>#REF!</v>
      </c>
      <c r="D140" t="e">
        <f t="shared" si="69"/>
        <v>#REF!</v>
      </c>
      <c r="E140" t="e">
        <f t="shared" si="70"/>
        <v>#REF!</v>
      </c>
      <c r="F140" t="e">
        <f t="shared" si="71"/>
        <v>#REF!</v>
      </c>
      <c r="G140" t="e">
        <f t="shared" si="66"/>
        <v>#REF!</v>
      </c>
      <c r="J140" t="e">
        <f>Reflection!A140</f>
        <v>#REF!</v>
      </c>
      <c r="K140" t="e">
        <f t="shared" si="72"/>
        <v>#REF!</v>
      </c>
      <c r="L140" t="e">
        <f t="shared" si="67"/>
        <v>#REF!</v>
      </c>
      <c r="M140" t="e">
        <f t="shared" si="73"/>
        <v>#REF!</v>
      </c>
      <c r="N140" t="e">
        <f t="shared" si="74"/>
        <v>#REF!</v>
      </c>
      <c r="O140" t="e">
        <f t="shared" si="75"/>
        <v>#REF!</v>
      </c>
      <c r="P140" t="e">
        <f t="shared" si="76"/>
        <v>#REF!</v>
      </c>
      <c r="S140" t="e">
        <f>Reflection!A140</f>
        <v>#REF!</v>
      </c>
      <c r="T140" t="e">
        <f t="shared" si="77"/>
        <v>#REF!</v>
      </c>
      <c r="U140" t="e">
        <f t="shared" si="78"/>
        <v>#REF!</v>
      </c>
      <c r="V140" t="e">
        <f t="shared" si="79"/>
        <v>#REF!</v>
      </c>
      <c r="W140" t="e">
        <f t="shared" si="80"/>
        <v>#REF!</v>
      </c>
      <c r="X140" t="e">
        <f t="shared" si="81"/>
        <v>#REF!</v>
      </c>
      <c r="Y140" t="e">
        <f t="shared" si="82"/>
        <v>#REF!</v>
      </c>
      <c r="AB140" t="e">
        <f>Reflection!A140</f>
        <v>#REF!</v>
      </c>
      <c r="AC140" t="e">
        <f t="shared" si="83"/>
        <v>#REF!</v>
      </c>
      <c r="AD140" t="e">
        <f t="shared" si="84"/>
        <v>#REF!</v>
      </c>
      <c r="AE140" t="e">
        <f t="shared" si="85"/>
        <v>#REF!</v>
      </c>
      <c r="AF140" t="e">
        <f t="shared" si="86"/>
        <v>#REF!</v>
      </c>
      <c r="AG140" t="e">
        <f t="shared" si="87"/>
        <v>#REF!</v>
      </c>
      <c r="AH140" t="e">
        <f t="shared" si="88"/>
        <v>#REF!</v>
      </c>
      <c r="AK140" t="e">
        <f>Reflection!A140</f>
        <v>#REF!</v>
      </c>
      <c r="AL140" t="e">
        <f t="shared" si="89"/>
        <v>#REF!</v>
      </c>
      <c r="AM140" t="e">
        <f t="shared" si="68"/>
        <v>#REF!</v>
      </c>
      <c r="AN140" t="e">
        <f t="shared" si="90"/>
        <v>#REF!</v>
      </c>
      <c r="AO140" t="e">
        <f t="shared" si="91"/>
        <v>#REF!</v>
      </c>
      <c r="AP140" t="e">
        <f t="shared" si="92"/>
        <v>#REF!</v>
      </c>
      <c r="AQ140" t="e">
        <f t="shared" si="93"/>
        <v>#REF!</v>
      </c>
    </row>
    <row r="141" spans="1:43" x14ac:dyDescent="0.15">
      <c r="A141" t="e">
        <f>Reflection!A141</f>
        <v>#REF!</v>
      </c>
      <c r="B141" t="e">
        <f t="shared" si="64"/>
        <v>#REF!</v>
      </c>
      <c r="C141" t="e">
        <f t="shared" si="65"/>
        <v>#REF!</v>
      </c>
      <c r="D141" t="e">
        <f t="shared" si="69"/>
        <v>#REF!</v>
      </c>
      <c r="E141" t="e">
        <f t="shared" si="70"/>
        <v>#REF!</v>
      </c>
      <c r="F141" t="e">
        <f t="shared" si="71"/>
        <v>#REF!</v>
      </c>
      <c r="G141" t="e">
        <f t="shared" si="66"/>
        <v>#REF!</v>
      </c>
      <c r="J141" t="e">
        <f>Reflection!A141</f>
        <v>#REF!</v>
      </c>
      <c r="K141" t="e">
        <f t="shared" si="72"/>
        <v>#REF!</v>
      </c>
      <c r="L141" t="e">
        <f t="shared" si="67"/>
        <v>#REF!</v>
      </c>
      <c r="M141" t="e">
        <f t="shared" si="73"/>
        <v>#REF!</v>
      </c>
      <c r="N141" t="e">
        <f t="shared" si="74"/>
        <v>#REF!</v>
      </c>
      <c r="O141" t="e">
        <f t="shared" si="75"/>
        <v>#REF!</v>
      </c>
      <c r="P141" t="e">
        <f t="shared" si="76"/>
        <v>#REF!</v>
      </c>
      <c r="S141" t="e">
        <f>Reflection!A141</f>
        <v>#REF!</v>
      </c>
      <c r="T141" t="e">
        <f t="shared" si="77"/>
        <v>#REF!</v>
      </c>
      <c r="U141" t="e">
        <f t="shared" si="78"/>
        <v>#REF!</v>
      </c>
      <c r="V141" t="e">
        <f t="shared" si="79"/>
        <v>#REF!</v>
      </c>
      <c r="W141" t="e">
        <f t="shared" si="80"/>
        <v>#REF!</v>
      </c>
      <c r="X141" t="e">
        <f t="shared" si="81"/>
        <v>#REF!</v>
      </c>
      <c r="Y141" t="e">
        <f t="shared" si="82"/>
        <v>#REF!</v>
      </c>
      <c r="AB141" t="e">
        <f>Reflection!A141</f>
        <v>#REF!</v>
      </c>
      <c r="AC141" t="e">
        <f t="shared" si="83"/>
        <v>#REF!</v>
      </c>
      <c r="AD141" t="e">
        <f t="shared" si="84"/>
        <v>#REF!</v>
      </c>
      <c r="AE141" t="e">
        <f t="shared" si="85"/>
        <v>#REF!</v>
      </c>
      <c r="AF141" t="e">
        <f t="shared" si="86"/>
        <v>#REF!</v>
      </c>
      <c r="AG141" t="e">
        <f t="shared" si="87"/>
        <v>#REF!</v>
      </c>
      <c r="AH141" t="e">
        <f t="shared" si="88"/>
        <v>#REF!</v>
      </c>
      <c r="AK141" t="e">
        <f>Reflection!A141</f>
        <v>#REF!</v>
      </c>
      <c r="AL141" t="e">
        <f t="shared" si="89"/>
        <v>#REF!</v>
      </c>
      <c r="AM141" t="e">
        <f t="shared" si="68"/>
        <v>#REF!</v>
      </c>
      <c r="AN141" t="e">
        <f t="shared" si="90"/>
        <v>#REF!</v>
      </c>
      <c r="AO141" t="e">
        <f t="shared" si="91"/>
        <v>#REF!</v>
      </c>
      <c r="AP141" t="e">
        <f t="shared" si="92"/>
        <v>#REF!</v>
      </c>
      <c r="AQ141" t="e">
        <f t="shared" si="93"/>
        <v>#REF!</v>
      </c>
    </row>
    <row r="142" spans="1:43" x14ac:dyDescent="0.15">
      <c r="A142" t="e">
        <f>Reflection!A142</f>
        <v>#REF!</v>
      </c>
      <c r="B142" t="e">
        <f t="shared" si="64"/>
        <v>#REF!</v>
      </c>
      <c r="C142" t="e">
        <f t="shared" si="65"/>
        <v>#REF!</v>
      </c>
      <c r="D142" t="e">
        <f t="shared" si="69"/>
        <v>#REF!</v>
      </c>
      <c r="E142" t="e">
        <f t="shared" si="70"/>
        <v>#REF!</v>
      </c>
      <c r="F142" t="e">
        <f t="shared" si="71"/>
        <v>#REF!</v>
      </c>
      <c r="G142" t="e">
        <f t="shared" si="66"/>
        <v>#REF!</v>
      </c>
      <c r="J142" t="e">
        <f>Reflection!A142</f>
        <v>#REF!</v>
      </c>
      <c r="K142" t="e">
        <f t="shared" si="72"/>
        <v>#REF!</v>
      </c>
      <c r="L142" t="e">
        <f t="shared" si="67"/>
        <v>#REF!</v>
      </c>
      <c r="M142" t="e">
        <f t="shared" si="73"/>
        <v>#REF!</v>
      </c>
      <c r="N142" t="e">
        <f t="shared" si="74"/>
        <v>#REF!</v>
      </c>
      <c r="O142" t="e">
        <f t="shared" si="75"/>
        <v>#REF!</v>
      </c>
      <c r="P142" t="e">
        <f t="shared" si="76"/>
        <v>#REF!</v>
      </c>
      <c r="S142" t="e">
        <f>Reflection!A142</f>
        <v>#REF!</v>
      </c>
      <c r="T142" t="e">
        <f t="shared" si="77"/>
        <v>#REF!</v>
      </c>
      <c r="U142" t="e">
        <f t="shared" si="78"/>
        <v>#REF!</v>
      </c>
      <c r="V142" t="e">
        <f t="shared" si="79"/>
        <v>#REF!</v>
      </c>
      <c r="W142" t="e">
        <f t="shared" si="80"/>
        <v>#REF!</v>
      </c>
      <c r="X142" t="e">
        <f t="shared" si="81"/>
        <v>#REF!</v>
      </c>
      <c r="Y142" t="e">
        <f t="shared" si="82"/>
        <v>#REF!</v>
      </c>
      <c r="AB142" t="e">
        <f>Reflection!A142</f>
        <v>#REF!</v>
      </c>
      <c r="AC142" t="e">
        <f t="shared" si="83"/>
        <v>#REF!</v>
      </c>
      <c r="AD142" t="e">
        <f t="shared" si="84"/>
        <v>#REF!</v>
      </c>
      <c r="AE142" t="e">
        <f t="shared" si="85"/>
        <v>#REF!</v>
      </c>
      <c r="AF142" t="e">
        <f t="shared" si="86"/>
        <v>#REF!</v>
      </c>
      <c r="AG142" t="e">
        <f t="shared" si="87"/>
        <v>#REF!</v>
      </c>
      <c r="AH142" t="e">
        <f t="shared" si="88"/>
        <v>#REF!</v>
      </c>
      <c r="AK142" t="e">
        <f>Reflection!A142</f>
        <v>#REF!</v>
      </c>
      <c r="AL142" t="e">
        <f t="shared" si="89"/>
        <v>#REF!</v>
      </c>
      <c r="AM142" t="e">
        <f t="shared" si="68"/>
        <v>#REF!</v>
      </c>
      <c r="AN142" t="e">
        <f t="shared" si="90"/>
        <v>#REF!</v>
      </c>
      <c r="AO142" t="e">
        <f t="shared" si="91"/>
        <v>#REF!</v>
      </c>
      <c r="AP142" t="e">
        <f t="shared" si="92"/>
        <v>#REF!</v>
      </c>
      <c r="AQ142" t="e">
        <f t="shared" si="93"/>
        <v>#REF!</v>
      </c>
    </row>
    <row r="143" spans="1:43" x14ac:dyDescent="0.15">
      <c r="A143" t="e">
        <f>Reflection!A143</f>
        <v>#REF!</v>
      </c>
      <c r="B143" t="e">
        <f t="shared" si="64"/>
        <v>#REF!</v>
      </c>
      <c r="C143" t="e">
        <f t="shared" si="65"/>
        <v>#REF!</v>
      </c>
      <c r="D143" t="e">
        <f t="shared" si="69"/>
        <v>#REF!</v>
      </c>
      <c r="E143" t="e">
        <f t="shared" si="70"/>
        <v>#REF!</v>
      </c>
      <c r="F143" t="e">
        <f t="shared" si="71"/>
        <v>#REF!</v>
      </c>
      <c r="G143" t="e">
        <f t="shared" si="66"/>
        <v>#REF!</v>
      </c>
      <c r="J143" t="e">
        <f>Reflection!A143</f>
        <v>#REF!</v>
      </c>
      <c r="K143" t="e">
        <f t="shared" si="72"/>
        <v>#REF!</v>
      </c>
      <c r="L143" t="e">
        <f t="shared" si="67"/>
        <v>#REF!</v>
      </c>
      <c r="M143" t="e">
        <f t="shared" si="73"/>
        <v>#REF!</v>
      </c>
      <c r="N143" t="e">
        <f t="shared" si="74"/>
        <v>#REF!</v>
      </c>
      <c r="O143" t="e">
        <f t="shared" si="75"/>
        <v>#REF!</v>
      </c>
      <c r="P143" t="e">
        <f t="shared" si="76"/>
        <v>#REF!</v>
      </c>
      <c r="S143" t="e">
        <f>Reflection!A143</f>
        <v>#REF!</v>
      </c>
      <c r="T143" t="e">
        <f t="shared" si="77"/>
        <v>#REF!</v>
      </c>
      <c r="U143" t="e">
        <f t="shared" si="78"/>
        <v>#REF!</v>
      </c>
      <c r="V143" t="e">
        <f t="shared" si="79"/>
        <v>#REF!</v>
      </c>
      <c r="W143" t="e">
        <f t="shared" si="80"/>
        <v>#REF!</v>
      </c>
      <c r="X143" t="e">
        <f t="shared" si="81"/>
        <v>#REF!</v>
      </c>
      <c r="Y143" t="e">
        <f t="shared" si="82"/>
        <v>#REF!</v>
      </c>
      <c r="AB143" t="e">
        <f>Reflection!A143</f>
        <v>#REF!</v>
      </c>
      <c r="AC143" t="e">
        <f t="shared" si="83"/>
        <v>#REF!</v>
      </c>
      <c r="AD143" t="e">
        <f t="shared" si="84"/>
        <v>#REF!</v>
      </c>
      <c r="AE143" t="e">
        <f t="shared" si="85"/>
        <v>#REF!</v>
      </c>
      <c r="AF143" t="e">
        <f t="shared" si="86"/>
        <v>#REF!</v>
      </c>
      <c r="AG143" t="e">
        <f t="shared" si="87"/>
        <v>#REF!</v>
      </c>
      <c r="AH143" t="e">
        <f t="shared" si="88"/>
        <v>#REF!</v>
      </c>
      <c r="AK143" t="e">
        <f>Reflection!A143</f>
        <v>#REF!</v>
      </c>
      <c r="AL143" t="e">
        <f t="shared" si="89"/>
        <v>#REF!</v>
      </c>
      <c r="AM143" t="e">
        <f t="shared" si="68"/>
        <v>#REF!</v>
      </c>
      <c r="AN143" t="e">
        <f t="shared" si="90"/>
        <v>#REF!</v>
      </c>
      <c r="AO143" t="e">
        <f t="shared" si="91"/>
        <v>#REF!</v>
      </c>
      <c r="AP143" t="e">
        <f t="shared" si="92"/>
        <v>#REF!</v>
      </c>
      <c r="AQ143" t="e">
        <f t="shared" si="93"/>
        <v>#REF!</v>
      </c>
    </row>
    <row r="144" spans="1:43" x14ac:dyDescent="0.15">
      <c r="A144" t="e">
        <f>Reflection!A144</f>
        <v>#REF!</v>
      </c>
      <c r="B144" t="e">
        <f t="shared" si="64"/>
        <v>#REF!</v>
      </c>
      <c r="C144" t="e">
        <f t="shared" si="65"/>
        <v>#REF!</v>
      </c>
      <c r="D144" t="e">
        <f t="shared" si="69"/>
        <v>#REF!</v>
      </c>
      <c r="E144" t="e">
        <f t="shared" si="70"/>
        <v>#REF!</v>
      </c>
      <c r="F144" t="e">
        <f t="shared" si="71"/>
        <v>#REF!</v>
      </c>
      <c r="G144" t="e">
        <f t="shared" si="66"/>
        <v>#REF!</v>
      </c>
      <c r="J144" t="e">
        <f>Reflection!A144</f>
        <v>#REF!</v>
      </c>
      <c r="K144" t="e">
        <f t="shared" si="72"/>
        <v>#REF!</v>
      </c>
      <c r="L144" t="e">
        <f t="shared" si="67"/>
        <v>#REF!</v>
      </c>
      <c r="M144" t="e">
        <f t="shared" si="73"/>
        <v>#REF!</v>
      </c>
      <c r="N144" t="e">
        <f t="shared" si="74"/>
        <v>#REF!</v>
      </c>
      <c r="O144" t="e">
        <f t="shared" si="75"/>
        <v>#REF!</v>
      </c>
      <c r="P144" t="e">
        <f t="shared" si="76"/>
        <v>#REF!</v>
      </c>
      <c r="S144" t="e">
        <f>Reflection!A144</f>
        <v>#REF!</v>
      </c>
      <c r="T144" t="e">
        <f t="shared" si="77"/>
        <v>#REF!</v>
      </c>
      <c r="U144" t="e">
        <f t="shared" si="78"/>
        <v>#REF!</v>
      </c>
      <c r="V144" t="e">
        <f t="shared" si="79"/>
        <v>#REF!</v>
      </c>
      <c r="W144" t="e">
        <f t="shared" si="80"/>
        <v>#REF!</v>
      </c>
      <c r="X144" t="e">
        <f t="shared" si="81"/>
        <v>#REF!</v>
      </c>
      <c r="Y144" t="e">
        <f t="shared" si="82"/>
        <v>#REF!</v>
      </c>
      <c r="AB144" t="e">
        <f>Reflection!A144</f>
        <v>#REF!</v>
      </c>
      <c r="AC144" t="e">
        <f t="shared" si="83"/>
        <v>#REF!</v>
      </c>
      <c r="AD144" t="e">
        <f t="shared" si="84"/>
        <v>#REF!</v>
      </c>
      <c r="AE144" t="e">
        <f t="shared" si="85"/>
        <v>#REF!</v>
      </c>
      <c r="AF144" t="e">
        <f t="shared" si="86"/>
        <v>#REF!</v>
      </c>
      <c r="AG144" t="e">
        <f t="shared" si="87"/>
        <v>#REF!</v>
      </c>
      <c r="AH144" t="e">
        <f t="shared" si="88"/>
        <v>#REF!</v>
      </c>
      <c r="AK144" t="e">
        <f>Reflection!A144</f>
        <v>#REF!</v>
      </c>
      <c r="AL144" t="e">
        <f t="shared" si="89"/>
        <v>#REF!</v>
      </c>
      <c r="AM144" t="e">
        <f t="shared" si="68"/>
        <v>#REF!</v>
      </c>
      <c r="AN144" t="e">
        <f t="shared" si="90"/>
        <v>#REF!</v>
      </c>
      <c r="AO144" t="e">
        <f t="shared" si="91"/>
        <v>#REF!</v>
      </c>
      <c r="AP144" t="e">
        <f t="shared" si="92"/>
        <v>#REF!</v>
      </c>
      <c r="AQ144" t="e">
        <f t="shared" si="93"/>
        <v>#REF!</v>
      </c>
    </row>
    <row r="145" spans="1:43" x14ac:dyDescent="0.15">
      <c r="A145" t="e">
        <f>Reflection!A145</f>
        <v>#REF!</v>
      </c>
      <c r="B145" t="e">
        <f t="shared" si="64"/>
        <v>#REF!</v>
      </c>
      <c r="C145" t="e">
        <f t="shared" si="65"/>
        <v>#REF!</v>
      </c>
      <c r="D145" t="e">
        <f t="shared" si="69"/>
        <v>#REF!</v>
      </c>
      <c r="E145" t="e">
        <f t="shared" si="70"/>
        <v>#REF!</v>
      </c>
      <c r="F145" t="e">
        <f t="shared" si="71"/>
        <v>#REF!</v>
      </c>
      <c r="G145" t="e">
        <f t="shared" si="66"/>
        <v>#REF!</v>
      </c>
      <c r="J145" t="e">
        <f>Reflection!A145</f>
        <v>#REF!</v>
      </c>
      <c r="K145" t="e">
        <f t="shared" si="72"/>
        <v>#REF!</v>
      </c>
      <c r="L145" t="e">
        <f t="shared" si="67"/>
        <v>#REF!</v>
      </c>
      <c r="M145" t="e">
        <f t="shared" si="73"/>
        <v>#REF!</v>
      </c>
      <c r="N145" t="e">
        <f t="shared" si="74"/>
        <v>#REF!</v>
      </c>
      <c r="O145" t="e">
        <f t="shared" si="75"/>
        <v>#REF!</v>
      </c>
      <c r="P145" t="e">
        <f t="shared" si="76"/>
        <v>#REF!</v>
      </c>
      <c r="S145" t="e">
        <f>Reflection!A145</f>
        <v>#REF!</v>
      </c>
      <c r="T145" t="e">
        <f t="shared" si="77"/>
        <v>#REF!</v>
      </c>
      <c r="U145" t="e">
        <f t="shared" si="78"/>
        <v>#REF!</v>
      </c>
      <c r="V145" t="e">
        <f t="shared" si="79"/>
        <v>#REF!</v>
      </c>
      <c r="W145" t="e">
        <f t="shared" si="80"/>
        <v>#REF!</v>
      </c>
      <c r="X145" t="e">
        <f t="shared" si="81"/>
        <v>#REF!</v>
      </c>
      <c r="Y145" t="e">
        <f t="shared" si="82"/>
        <v>#REF!</v>
      </c>
      <c r="AB145" t="e">
        <f>Reflection!A145</f>
        <v>#REF!</v>
      </c>
      <c r="AC145" t="e">
        <f t="shared" si="83"/>
        <v>#REF!</v>
      </c>
      <c r="AD145" t="e">
        <f t="shared" si="84"/>
        <v>#REF!</v>
      </c>
      <c r="AE145" t="e">
        <f t="shared" si="85"/>
        <v>#REF!</v>
      </c>
      <c r="AF145" t="e">
        <f t="shared" si="86"/>
        <v>#REF!</v>
      </c>
      <c r="AG145" t="e">
        <f t="shared" si="87"/>
        <v>#REF!</v>
      </c>
      <c r="AH145" t="e">
        <f t="shared" si="88"/>
        <v>#REF!</v>
      </c>
      <c r="AK145" t="e">
        <f>Reflection!A145</f>
        <v>#REF!</v>
      </c>
      <c r="AL145" t="e">
        <f t="shared" si="89"/>
        <v>#REF!</v>
      </c>
      <c r="AM145" t="e">
        <f t="shared" si="68"/>
        <v>#REF!</v>
      </c>
      <c r="AN145" t="e">
        <f t="shared" si="90"/>
        <v>#REF!</v>
      </c>
      <c r="AO145" t="e">
        <f t="shared" si="91"/>
        <v>#REF!</v>
      </c>
      <c r="AP145" t="e">
        <f t="shared" si="92"/>
        <v>#REF!</v>
      </c>
      <c r="AQ145" t="e">
        <f t="shared" si="93"/>
        <v>#REF!</v>
      </c>
    </row>
    <row r="146" spans="1:43" x14ac:dyDescent="0.15">
      <c r="A146" t="e">
        <f>Reflection!A146</f>
        <v>#REF!</v>
      </c>
      <c r="B146" t="e">
        <f t="shared" si="64"/>
        <v>#REF!</v>
      </c>
      <c r="C146" t="e">
        <f t="shared" si="65"/>
        <v>#REF!</v>
      </c>
      <c r="D146" t="e">
        <f t="shared" si="69"/>
        <v>#REF!</v>
      </c>
      <c r="E146" t="e">
        <f t="shared" si="70"/>
        <v>#REF!</v>
      </c>
      <c r="F146" t="e">
        <f t="shared" si="71"/>
        <v>#REF!</v>
      </c>
      <c r="G146" t="e">
        <f t="shared" si="66"/>
        <v>#REF!</v>
      </c>
      <c r="J146" t="e">
        <f>Reflection!A146</f>
        <v>#REF!</v>
      </c>
      <c r="K146" t="e">
        <f t="shared" si="72"/>
        <v>#REF!</v>
      </c>
      <c r="L146" t="e">
        <f t="shared" si="67"/>
        <v>#REF!</v>
      </c>
      <c r="M146" t="e">
        <f t="shared" si="73"/>
        <v>#REF!</v>
      </c>
      <c r="N146" t="e">
        <f t="shared" si="74"/>
        <v>#REF!</v>
      </c>
      <c r="O146" t="e">
        <f t="shared" si="75"/>
        <v>#REF!</v>
      </c>
      <c r="P146" t="e">
        <f t="shared" si="76"/>
        <v>#REF!</v>
      </c>
      <c r="S146" t="e">
        <f>Reflection!A146</f>
        <v>#REF!</v>
      </c>
      <c r="T146" t="e">
        <f t="shared" si="77"/>
        <v>#REF!</v>
      </c>
      <c r="U146" t="e">
        <f t="shared" si="78"/>
        <v>#REF!</v>
      </c>
      <c r="V146" t="e">
        <f t="shared" si="79"/>
        <v>#REF!</v>
      </c>
      <c r="W146" t="e">
        <f t="shared" si="80"/>
        <v>#REF!</v>
      </c>
      <c r="X146" t="e">
        <f t="shared" si="81"/>
        <v>#REF!</v>
      </c>
      <c r="Y146" t="e">
        <f t="shared" si="82"/>
        <v>#REF!</v>
      </c>
      <c r="AB146" t="e">
        <f>Reflection!A146</f>
        <v>#REF!</v>
      </c>
      <c r="AC146" t="e">
        <f t="shared" si="83"/>
        <v>#REF!</v>
      </c>
      <c r="AD146" t="e">
        <f t="shared" si="84"/>
        <v>#REF!</v>
      </c>
      <c r="AE146" t="e">
        <f t="shared" si="85"/>
        <v>#REF!</v>
      </c>
      <c r="AF146" t="e">
        <f t="shared" si="86"/>
        <v>#REF!</v>
      </c>
      <c r="AG146" t="e">
        <f t="shared" si="87"/>
        <v>#REF!</v>
      </c>
      <c r="AH146" t="e">
        <f t="shared" si="88"/>
        <v>#REF!</v>
      </c>
      <c r="AK146" t="e">
        <f>Reflection!A146</f>
        <v>#REF!</v>
      </c>
      <c r="AL146" t="e">
        <f t="shared" si="89"/>
        <v>#REF!</v>
      </c>
      <c r="AM146" t="e">
        <f t="shared" si="68"/>
        <v>#REF!</v>
      </c>
      <c r="AN146" t="e">
        <f t="shared" si="90"/>
        <v>#REF!</v>
      </c>
      <c r="AO146" t="e">
        <f t="shared" si="91"/>
        <v>#REF!</v>
      </c>
      <c r="AP146" t="e">
        <f t="shared" si="92"/>
        <v>#REF!</v>
      </c>
      <c r="AQ146" t="e">
        <f t="shared" si="93"/>
        <v>#REF!</v>
      </c>
    </row>
    <row r="147" spans="1:43" x14ac:dyDescent="0.15">
      <c r="A147" t="e">
        <f>Reflection!A147</f>
        <v>#REF!</v>
      </c>
      <c r="B147" t="e">
        <f t="shared" si="64"/>
        <v>#REF!</v>
      </c>
      <c r="C147" t="e">
        <f t="shared" si="65"/>
        <v>#REF!</v>
      </c>
      <c r="D147" t="e">
        <f t="shared" si="69"/>
        <v>#REF!</v>
      </c>
      <c r="E147" t="e">
        <f t="shared" si="70"/>
        <v>#REF!</v>
      </c>
      <c r="F147" t="e">
        <f t="shared" si="71"/>
        <v>#REF!</v>
      </c>
      <c r="G147" t="e">
        <f t="shared" si="66"/>
        <v>#REF!</v>
      </c>
      <c r="J147" t="e">
        <f>Reflection!A147</f>
        <v>#REF!</v>
      </c>
      <c r="K147" t="e">
        <f t="shared" si="72"/>
        <v>#REF!</v>
      </c>
      <c r="L147" t="e">
        <f t="shared" si="67"/>
        <v>#REF!</v>
      </c>
      <c r="M147" t="e">
        <f t="shared" si="73"/>
        <v>#REF!</v>
      </c>
      <c r="N147" t="e">
        <f t="shared" si="74"/>
        <v>#REF!</v>
      </c>
      <c r="O147" t="e">
        <f t="shared" si="75"/>
        <v>#REF!</v>
      </c>
      <c r="P147" t="e">
        <f t="shared" si="76"/>
        <v>#REF!</v>
      </c>
      <c r="S147" t="e">
        <f>Reflection!A147</f>
        <v>#REF!</v>
      </c>
      <c r="T147" t="e">
        <f t="shared" si="77"/>
        <v>#REF!</v>
      </c>
      <c r="U147" t="e">
        <f t="shared" si="78"/>
        <v>#REF!</v>
      </c>
      <c r="V147" t="e">
        <f t="shared" si="79"/>
        <v>#REF!</v>
      </c>
      <c r="W147" t="e">
        <f t="shared" si="80"/>
        <v>#REF!</v>
      </c>
      <c r="X147" t="e">
        <f t="shared" si="81"/>
        <v>#REF!</v>
      </c>
      <c r="Y147" t="e">
        <f t="shared" si="82"/>
        <v>#REF!</v>
      </c>
      <c r="AB147" t="e">
        <f>Reflection!A147</f>
        <v>#REF!</v>
      </c>
      <c r="AC147" t="e">
        <f t="shared" si="83"/>
        <v>#REF!</v>
      </c>
      <c r="AD147" t="e">
        <f t="shared" si="84"/>
        <v>#REF!</v>
      </c>
      <c r="AE147" t="e">
        <f t="shared" si="85"/>
        <v>#REF!</v>
      </c>
      <c r="AF147" t="e">
        <f t="shared" si="86"/>
        <v>#REF!</v>
      </c>
      <c r="AG147" t="e">
        <f t="shared" si="87"/>
        <v>#REF!</v>
      </c>
      <c r="AH147" t="e">
        <f t="shared" si="88"/>
        <v>#REF!</v>
      </c>
      <c r="AK147" t="e">
        <f>Reflection!A147</f>
        <v>#REF!</v>
      </c>
      <c r="AL147" t="e">
        <f t="shared" si="89"/>
        <v>#REF!</v>
      </c>
      <c r="AM147" t="e">
        <f t="shared" si="68"/>
        <v>#REF!</v>
      </c>
      <c r="AN147" t="e">
        <f t="shared" si="90"/>
        <v>#REF!</v>
      </c>
      <c r="AO147" t="e">
        <f t="shared" si="91"/>
        <v>#REF!</v>
      </c>
      <c r="AP147" t="e">
        <f t="shared" si="92"/>
        <v>#REF!</v>
      </c>
      <c r="AQ147" t="e">
        <f t="shared" si="93"/>
        <v>#REF!</v>
      </c>
    </row>
    <row r="148" spans="1:43" x14ac:dyDescent="0.15">
      <c r="A148" t="e">
        <f>Reflection!A148</f>
        <v>#REF!</v>
      </c>
      <c r="B148" t="e">
        <f t="shared" si="64"/>
        <v>#REF!</v>
      </c>
      <c r="C148" t="e">
        <f t="shared" si="65"/>
        <v>#REF!</v>
      </c>
      <c r="D148" t="e">
        <f t="shared" si="69"/>
        <v>#REF!</v>
      </c>
      <c r="E148" t="e">
        <f t="shared" si="70"/>
        <v>#REF!</v>
      </c>
      <c r="F148" t="e">
        <f t="shared" si="71"/>
        <v>#REF!</v>
      </c>
      <c r="G148" t="e">
        <f t="shared" si="66"/>
        <v>#REF!</v>
      </c>
      <c r="J148" t="e">
        <f>Reflection!A148</f>
        <v>#REF!</v>
      </c>
      <c r="K148" t="e">
        <f t="shared" si="72"/>
        <v>#REF!</v>
      </c>
      <c r="L148" t="e">
        <f t="shared" si="67"/>
        <v>#REF!</v>
      </c>
      <c r="M148" t="e">
        <f t="shared" si="73"/>
        <v>#REF!</v>
      </c>
      <c r="N148" t="e">
        <f t="shared" si="74"/>
        <v>#REF!</v>
      </c>
      <c r="O148" t="e">
        <f t="shared" si="75"/>
        <v>#REF!</v>
      </c>
      <c r="P148" t="e">
        <f t="shared" si="76"/>
        <v>#REF!</v>
      </c>
      <c r="S148" t="e">
        <f>Reflection!A148</f>
        <v>#REF!</v>
      </c>
      <c r="T148" t="e">
        <f t="shared" si="77"/>
        <v>#REF!</v>
      </c>
      <c r="U148" t="e">
        <f t="shared" si="78"/>
        <v>#REF!</v>
      </c>
      <c r="V148" t="e">
        <f t="shared" si="79"/>
        <v>#REF!</v>
      </c>
      <c r="W148" t="e">
        <f t="shared" si="80"/>
        <v>#REF!</v>
      </c>
      <c r="X148" t="e">
        <f t="shared" si="81"/>
        <v>#REF!</v>
      </c>
      <c r="Y148" t="e">
        <f t="shared" si="82"/>
        <v>#REF!</v>
      </c>
      <c r="AB148" t="e">
        <f>Reflection!A148</f>
        <v>#REF!</v>
      </c>
      <c r="AC148" t="e">
        <f t="shared" si="83"/>
        <v>#REF!</v>
      </c>
      <c r="AD148" t="e">
        <f t="shared" si="84"/>
        <v>#REF!</v>
      </c>
      <c r="AE148" t="e">
        <f t="shared" si="85"/>
        <v>#REF!</v>
      </c>
      <c r="AF148" t="e">
        <f t="shared" si="86"/>
        <v>#REF!</v>
      </c>
      <c r="AG148" t="e">
        <f t="shared" si="87"/>
        <v>#REF!</v>
      </c>
      <c r="AH148" t="e">
        <f t="shared" si="88"/>
        <v>#REF!</v>
      </c>
      <c r="AK148" t="e">
        <f>Reflection!A148</f>
        <v>#REF!</v>
      </c>
      <c r="AL148" t="e">
        <f t="shared" si="89"/>
        <v>#REF!</v>
      </c>
      <c r="AM148" t="e">
        <f t="shared" si="68"/>
        <v>#REF!</v>
      </c>
      <c r="AN148" t="e">
        <f t="shared" si="90"/>
        <v>#REF!</v>
      </c>
      <c r="AO148" t="e">
        <f t="shared" si="91"/>
        <v>#REF!</v>
      </c>
      <c r="AP148" t="e">
        <f t="shared" si="92"/>
        <v>#REF!</v>
      </c>
      <c r="AQ148" t="e">
        <f t="shared" si="93"/>
        <v>#REF!</v>
      </c>
    </row>
    <row r="149" spans="1:43" x14ac:dyDescent="0.15">
      <c r="A149" t="e">
        <f>Reflection!A149</f>
        <v>#REF!</v>
      </c>
      <c r="B149" t="e">
        <f t="shared" si="64"/>
        <v>#REF!</v>
      </c>
      <c r="C149" t="e">
        <f t="shared" si="65"/>
        <v>#REF!</v>
      </c>
      <c r="D149" t="e">
        <f t="shared" si="69"/>
        <v>#REF!</v>
      </c>
      <c r="E149" t="e">
        <f t="shared" si="70"/>
        <v>#REF!</v>
      </c>
      <c r="F149" t="e">
        <f t="shared" si="71"/>
        <v>#REF!</v>
      </c>
      <c r="G149" t="e">
        <f t="shared" si="66"/>
        <v>#REF!</v>
      </c>
      <c r="J149" t="e">
        <f>Reflection!A149</f>
        <v>#REF!</v>
      </c>
      <c r="K149" t="e">
        <f t="shared" si="72"/>
        <v>#REF!</v>
      </c>
      <c r="L149" t="e">
        <f t="shared" si="67"/>
        <v>#REF!</v>
      </c>
      <c r="M149" t="e">
        <f t="shared" si="73"/>
        <v>#REF!</v>
      </c>
      <c r="N149" t="e">
        <f t="shared" si="74"/>
        <v>#REF!</v>
      </c>
      <c r="O149" t="e">
        <f t="shared" si="75"/>
        <v>#REF!</v>
      </c>
      <c r="P149" t="e">
        <f t="shared" si="76"/>
        <v>#REF!</v>
      </c>
      <c r="S149" t="e">
        <f>Reflection!A149</f>
        <v>#REF!</v>
      </c>
      <c r="T149" t="e">
        <f t="shared" si="77"/>
        <v>#REF!</v>
      </c>
      <c r="U149" t="e">
        <f t="shared" si="78"/>
        <v>#REF!</v>
      </c>
      <c r="V149" t="e">
        <f t="shared" si="79"/>
        <v>#REF!</v>
      </c>
      <c r="W149" t="e">
        <f t="shared" si="80"/>
        <v>#REF!</v>
      </c>
      <c r="X149" t="e">
        <f t="shared" si="81"/>
        <v>#REF!</v>
      </c>
      <c r="Y149" t="e">
        <f t="shared" si="82"/>
        <v>#REF!</v>
      </c>
      <c r="AB149" t="e">
        <f>Reflection!A149</f>
        <v>#REF!</v>
      </c>
      <c r="AC149" t="e">
        <f t="shared" si="83"/>
        <v>#REF!</v>
      </c>
      <c r="AD149" t="e">
        <f t="shared" si="84"/>
        <v>#REF!</v>
      </c>
      <c r="AE149" t="e">
        <f t="shared" si="85"/>
        <v>#REF!</v>
      </c>
      <c r="AF149" t="e">
        <f t="shared" si="86"/>
        <v>#REF!</v>
      </c>
      <c r="AG149" t="e">
        <f t="shared" si="87"/>
        <v>#REF!</v>
      </c>
      <c r="AH149" t="e">
        <f t="shared" si="88"/>
        <v>#REF!</v>
      </c>
      <c r="AK149" t="e">
        <f>Reflection!A149</f>
        <v>#REF!</v>
      </c>
      <c r="AL149" t="e">
        <f t="shared" si="89"/>
        <v>#REF!</v>
      </c>
      <c r="AM149" t="e">
        <f t="shared" si="68"/>
        <v>#REF!</v>
      </c>
      <c r="AN149" t="e">
        <f t="shared" si="90"/>
        <v>#REF!</v>
      </c>
      <c r="AO149" t="e">
        <f t="shared" si="91"/>
        <v>#REF!</v>
      </c>
      <c r="AP149" t="e">
        <f t="shared" si="92"/>
        <v>#REF!</v>
      </c>
      <c r="AQ149" t="e">
        <f t="shared" si="93"/>
        <v>#REF!</v>
      </c>
    </row>
    <row r="150" spans="1:43" x14ac:dyDescent="0.15">
      <c r="A150" t="e">
        <f>Reflection!A150</f>
        <v>#REF!</v>
      </c>
      <c r="B150" t="e">
        <f t="shared" si="64"/>
        <v>#REF!</v>
      </c>
      <c r="C150" t="e">
        <f t="shared" si="65"/>
        <v>#REF!</v>
      </c>
      <c r="D150" t="e">
        <f t="shared" si="69"/>
        <v>#REF!</v>
      </c>
      <c r="E150" t="e">
        <f t="shared" si="70"/>
        <v>#REF!</v>
      </c>
      <c r="F150" t="e">
        <f t="shared" si="71"/>
        <v>#REF!</v>
      </c>
      <c r="G150" t="e">
        <f t="shared" si="66"/>
        <v>#REF!</v>
      </c>
      <c r="J150" t="e">
        <f>Reflection!A150</f>
        <v>#REF!</v>
      </c>
      <c r="K150" t="e">
        <f t="shared" si="72"/>
        <v>#REF!</v>
      </c>
      <c r="L150" t="e">
        <f t="shared" si="67"/>
        <v>#REF!</v>
      </c>
      <c r="M150" t="e">
        <f t="shared" si="73"/>
        <v>#REF!</v>
      </c>
      <c r="N150" t="e">
        <f t="shared" si="74"/>
        <v>#REF!</v>
      </c>
      <c r="O150" t="e">
        <f t="shared" si="75"/>
        <v>#REF!</v>
      </c>
      <c r="P150" t="e">
        <f t="shared" si="76"/>
        <v>#REF!</v>
      </c>
      <c r="S150" t="e">
        <f>Reflection!A150</f>
        <v>#REF!</v>
      </c>
      <c r="T150" t="e">
        <f t="shared" si="77"/>
        <v>#REF!</v>
      </c>
      <c r="U150" t="e">
        <f t="shared" si="78"/>
        <v>#REF!</v>
      </c>
      <c r="V150" t="e">
        <f t="shared" si="79"/>
        <v>#REF!</v>
      </c>
      <c r="W150" t="e">
        <f t="shared" si="80"/>
        <v>#REF!</v>
      </c>
      <c r="X150" t="e">
        <f t="shared" si="81"/>
        <v>#REF!</v>
      </c>
      <c r="Y150" t="e">
        <f t="shared" si="82"/>
        <v>#REF!</v>
      </c>
      <c r="AB150" t="e">
        <f>Reflection!A150</f>
        <v>#REF!</v>
      </c>
      <c r="AC150" t="e">
        <f t="shared" si="83"/>
        <v>#REF!</v>
      </c>
      <c r="AD150" t="e">
        <f t="shared" si="84"/>
        <v>#REF!</v>
      </c>
      <c r="AE150" t="e">
        <f t="shared" si="85"/>
        <v>#REF!</v>
      </c>
      <c r="AF150" t="e">
        <f t="shared" si="86"/>
        <v>#REF!</v>
      </c>
      <c r="AG150" t="e">
        <f t="shared" si="87"/>
        <v>#REF!</v>
      </c>
      <c r="AH150" t="e">
        <f t="shared" si="88"/>
        <v>#REF!</v>
      </c>
      <c r="AK150" t="e">
        <f>Reflection!A150</f>
        <v>#REF!</v>
      </c>
      <c r="AL150" t="e">
        <f t="shared" si="89"/>
        <v>#REF!</v>
      </c>
      <c r="AM150" t="e">
        <f t="shared" si="68"/>
        <v>#REF!</v>
      </c>
      <c r="AN150" t="e">
        <f t="shared" si="90"/>
        <v>#REF!</v>
      </c>
      <c r="AO150" t="e">
        <f t="shared" si="91"/>
        <v>#REF!</v>
      </c>
      <c r="AP150" t="e">
        <f t="shared" si="92"/>
        <v>#REF!</v>
      </c>
      <c r="AQ150" t="e">
        <f t="shared" si="93"/>
        <v>#REF!</v>
      </c>
    </row>
    <row r="151" spans="1:43" x14ac:dyDescent="0.15">
      <c r="A151" t="e">
        <f>Reflection!A151</f>
        <v>#REF!</v>
      </c>
      <c r="B151" t="e">
        <f t="shared" si="64"/>
        <v>#REF!</v>
      </c>
      <c r="C151" t="e">
        <f t="shared" si="65"/>
        <v>#REF!</v>
      </c>
      <c r="D151" t="e">
        <f t="shared" si="69"/>
        <v>#REF!</v>
      </c>
      <c r="E151" t="e">
        <f t="shared" si="70"/>
        <v>#REF!</v>
      </c>
      <c r="F151" t="e">
        <f t="shared" si="71"/>
        <v>#REF!</v>
      </c>
      <c r="G151" t="e">
        <f t="shared" si="66"/>
        <v>#REF!</v>
      </c>
      <c r="J151" t="e">
        <f>Reflection!A151</f>
        <v>#REF!</v>
      </c>
      <c r="K151" t="e">
        <f t="shared" si="72"/>
        <v>#REF!</v>
      </c>
      <c r="L151" t="e">
        <f t="shared" si="67"/>
        <v>#REF!</v>
      </c>
      <c r="M151" t="e">
        <f t="shared" si="73"/>
        <v>#REF!</v>
      </c>
      <c r="N151" t="e">
        <f t="shared" si="74"/>
        <v>#REF!</v>
      </c>
      <c r="O151" t="e">
        <f t="shared" si="75"/>
        <v>#REF!</v>
      </c>
      <c r="P151" t="e">
        <f t="shared" si="76"/>
        <v>#REF!</v>
      </c>
      <c r="S151" t="e">
        <f>Reflection!A151</f>
        <v>#REF!</v>
      </c>
      <c r="T151" t="e">
        <f t="shared" si="77"/>
        <v>#REF!</v>
      </c>
      <c r="U151" t="e">
        <f t="shared" si="78"/>
        <v>#REF!</v>
      </c>
      <c r="V151" t="e">
        <f t="shared" si="79"/>
        <v>#REF!</v>
      </c>
      <c r="W151" t="e">
        <f t="shared" si="80"/>
        <v>#REF!</v>
      </c>
      <c r="X151" t="e">
        <f t="shared" si="81"/>
        <v>#REF!</v>
      </c>
      <c r="Y151" t="e">
        <f t="shared" si="82"/>
        <v>#REF!</v>
      </c>
      <c r="AB151" t="e">
        <f>Reflection!A151</f>
        <v>#REF!</v>
      </c>
      <c r="AC151" t="e">
        <f t="shared" si="83"/>
        <v>#REF!</v>
      </c>
      <c r="AD151" t="e">
        <f t="shared" si="84"/>
        <v>#REF!</v>
      </c>
      <c r="AE151" t="e">
        <f t="shared" si="85"/>
        <v>#REF!</v>
      </c>
      <c r="AF151" t="e">
        <f t="shared" si="86"/>
        <v>#REF!</v>
      </c>
      <c r="AG151" t="e">
        <f t="shared" si="87"/>
        <v>#REF!</v>
      </c>
      <c r="AH151" t="e">
        <f t="shared" si="88"/>
        <v>#REF!</v>
      </c>
      <c r="AK151" t="e">
        <f>Reflection!A151</f>
        <v>#REF!</v>
      </c>
      <c r="AL151" t="e">
        <f t="shared" si="89"/>
        <v>#REF!</v>
      </c>
      <c r="AM151" t="e">
        <f t="shared" si="68"/>
        <v>#REF!</v>
      </c>
      <c r="AN151" t="e">
        <f t="shared" si="90"/>
        <v>#REF!</v>
      </c>
      <c r="AO151" t="e">
        <f t="shared" si="91"/>
        <v>#REF!</v>
      </c>
      <c r="AP151" t="e">
        <f t="shared" si="92"/>
        <v>#REF!</v>
      </c>
      <c r="AQ151" t="e">
        <f t="shared" si="93"/>
        <v>#REF!</v>
      </c>
    </row>
    <row r="152" spans="1:43" x14ac:dyDescent="0.15">
      <c r="A152" t="e">
        <f>Reflection!A152</f>
        <v>#REF!</v>
      </c>
      <c r="B152" t="e">
        <f t="shared" si="64"/>
        <v>#REF!</v>
      </c>
      <c r="C152" t="e">
        <f t="shared" si="65"/>
        <v>#REF!</v>
      </c>
      <c r="D152" t="e">
        <f t="shared" si="69"/>
        <v>#REF!</v>
      </c>
      <c r="E152" t="e">
        <f t="shared" si="70"/>
        <v>#REF!</v>
      </c>
      <c r="F152" t="e">
        <f t="shared" si="71"/>
        <v>#REF!</v>
      </c>
      <c r="G152" t="e">
        <f t="shared" si="66"/>
        <v>#REF!</v>
      </c>
      <c r="J152" t="e">
        <f>Reflection!A152</f>
        <v>#REF!</v>
      </c>
      <c r="K152" t="e">
        <f t="shared" si="72"/>
        <v>#REF!</v>
      </c>
      <c r="L152" t="e">
        <f t="shared" si="67"/>
        <v>#REF!</v>
      </c>
      <c r="M152" t="e">
        <f t="shared" si="73"/>
        <v>#REF!</v>
      </c>
      <c r="N152" t="e">
        <f t="shared" si="74"/>
        <v>#REF!</v>
      </c>
      <c r="O152" t="e">
        <f t="shared" si="75"/>
        <v>#REF!</v>
      </c>
      <c r="P152" t="e">
        <f t="shared" si="76"/>
        <v>#REF!</v>
      </c>
      <c r="S152" t="e">
        <f>Reflection!A152</f>
        <v>#REF!</v>
      </c>
      <c r="T152" t="e">
        <f t="shared" si="77"/>
        <v>#REF!</v>
      </c>
      <c r="U152" t="e">
        <f t="shared" si="78"/>
        <v>#REF!</v>
      </c>
      <c r="V152" t="e">
        <f t="shared" si="79"/>
        <v>#REF!</v>
      </c>
      <c r="W152" t="e">
        <f t="shared" si="80"/>
        <v>#REF!</v>
      </c>
      <c r="X152" t="e">
        <f t="shared" si="81"/>
        <v>#REF!</v>
      </c>
      <c r="Y152" t="e">
        <f t="shared" si="82"/>
        <v>#REF!</v>
      </c>
      <c r="AB152" t="e">
        <f>Reflection!A152</f>
        <v>#REF!</v>
      </c>
      <c r="AC152" t="e">
        <f t="shared" si="83"/>
        <v>#REF!</v>
      </c>
      <c r="AD152" t="e">
        <f t="shared" si="84"/>
        <v>#REF!</v>
      </c>
      <c r="AE152" t="e">
        <f t="shared" si="85"/>
        <v>#REF!</v>
      </c>
      <c r="AF152" t="e">
        <f t="shared" si="86"/>
        <v>#REF!</v>
      </c>
      <c r="AG152" t="e">
        <f t="shared" si="87"/>
        <v>#REF!</v>
      </c>
      <c r="AH152" t="e">
        <f t="shared" si="88"/>
        <v>#REF!</v>
      </c>
      <c r="AK152" t="e">
        <f>Reflection!A152</f>
        <v>#REF!</v>
      </c>
      <c r="AL152" t="e">
        <f t="shared" si="89"/>
        <v>#REF!</v>
      </c>
      <c r="AM152" t="e">
        <f t="shared" si="68"/>
        <v>#REF!</v>
      </c>
      <c r="AN152" t="e">
        <f t="shared" si="90"/>
        <v>#REF!</v>
      </c>
      <c r="AO152" t="e">
        <f t="shared" si="91"/>
        <v>#REF!</v>
      </c>
      <c r="AP152" t="e">
        <f t="shared" si="92"/>
        <v>#REF!</v>
      </c>
      <c r="AQ152" t="e">
        <f t="shared" si="93"/>
        <v>#REF!</v>
      </c>
    </row>
    <row r="153" spans="1:43" x14ac:dyDescent="0.15">
      <c r="A153" t="e">
        <f>Reflection!A153</f>
        <v>#REF!</v>
      </c>
      <c r="B153" t="e">
        <f t="shared" si="64"/>
        <v>#REF!</v>
      </c>
      <c r="C153" t="e">
        <f t="shared" si="65"/>
        <v>#REF!</v>
      </c>
      <c r="D153" t="e">
        <f t="shared" si="69"/>
        <v>#REF!</v>
      </c>
      <c r="E153" t="e">
        <f t="shared" si="70"/>
        <v>#REF!</v>
      </c>
      <c r="F153" t="e">
        <f t="shared" si="71"/>
        <v>#REF!</v>
      </c>
      <c r="G153" t="e">
        <f t="shared" si="66"/>
        <v>#REF!</v>
      </c>
      <c r="J153" t="e">
        <f>Reflection!A153</f>
        <v>#REF!</v>
      </c>
      <c r="K153" t="e">
        <f t="shared" si="72"/>
        <v>#REF!</v>
      </c>
      <c r="L153" t="e">
        <f t="shared" si="67"/>
        <v>#REF!</v>
      </c>
      <c r="M153" t="e">
        <f t="shared" si="73"/>
        <v>#REF!</v>
      </c>
      <c r="N153" t="e">
        <f t="shared" si="74"/>
        <v>#REF!</v>
      </c>
      <c r="O153" t="e">
        <f t="shared" si="75"/>
        <v>#REF!</v>
      </c>
      <c r="P153" t="e">
        <f t="shared" si="76"/>
        <v>#REF!</v>
      </c>
      <c r="S153" t="e">
        <f>Reflection!A153</f>
        <v>#REF!</v>
      </c>
      <c r="T153" t="e">
        <f t="shared" si="77"/>
        <v>#REF!</v>
      </c>
      <c r="U153" t="e">
        <f t="shared" si="78"/>
        <v>#REF!</v>
      </c>
      <c r="V153" t="e">
        <f t="shared" si="79"/>
        <v>#REF!</v>
      </c>
      <c r="W153" t="e">
        <f t="shared" si="80"/>
        <v>#REF!</v>
      </c>
      <c r="X153" t="e">
        <f t="shared" si="81"/>
        <v>#REF!</v>
      </c>
      <c r="Y153" t="e">
        <f t="shared" si="82"/>
        <v>#REF!</v>
      </c>
      <c r="AB153" t="e">
        <f>Reflection!A153</f>
        <v>#REF!</v>
      </c>
      <c r="AC153" t="e">
        <f t="shared" si="83"/>
        <v>#REF!</v>
      </c>
      <c r="AD153" t="e">
        <f t="shared" si="84"/>
        <v>#REF!</v>
      </c>
      <c r="AE153" t="e">
        <f t="shared" si="85"/>
        <v>#REF!</v>
      </c>
      <c r="AF153" t="e">
        <f t="shared" si="86"/>
        <v>#REF!</v>
      </c>
      <c r="AG153" t="e">
        <f t="shared" si="87"/>
        <v>#REF!</v>
      </c>
      <c r="AH153" t="e">
        <f t="shared" si="88"/>
        <v>#REF!</v>
      </c>
      <c r="AK153" t="e">
        <f>Reflection!A153</f>
        <v>#REF!</v>
      </c>
      <c r="AL153" t="e">
        <f t="shared" si="89"/>
        <v>#REF!</v>
      </c>
      <c r="AM153" t="e">
        <f t="shared" si="68"/>
        <v>#REF!</v>
      </c>
      <c r="AN153" t="e">
        <f t="shared" si="90"/>
        <v>#REF!</v>
      </c>
      <c r="AO153" t="e">
        <f t="shared" si="91"/>
        <v>#REF!</v>
      </c>
      <c r="AP153" t="e">
        <f t="shared" si="92"/>
        <v>#REF!</v>
      </c>
      <c r="AQ153" t="e">
        <f t="shared" si="93"/>
        <v>#REF!</v>
      </c>
    </row>
    <row r="154" spans="1:43" x14ac:dyDescent="0.15">
      <c r="A154" t="e">
        <f>Reflection!A154</f>
        <v>#REF!</v>
      </c>
      <c r="B154" t="e">
        <f t="shared" si="64"/>
        <v>#REF!</v>
      </c>
      <c r="C154" t="e">
        <f t="shared" si="65"/>
        <v>#REF!</v>
      </c>
      <c r="D154" t="e">
        <f t="shared" si="69"/>
        <v>#REF!</v>
      </c>
      <c r="E154" t="e">
        <f t="shared" si="70"/>
        <v>#REF!</v>
      </c>
      <c r="F154" t="e">
        <f t="shared" si="71"/>
        <v>#REF!</v>
      </c>
      <c r="G154" t="e">
        <f t="shared" si="66"/>
        <v>#REF!</v>
      </c>
      <c r="J154" t="e">
        <f>Reflection!A154</f>
        <v>#REF!</v>
      </c>
      <c r="K154" t="e">
        <f t="shared" si="72"/>
        <v>#REF!</v>
      </c>
      <c r="L154" t="e">
        <f t="shared" si="67"/>
        <v>#REF!</v>
      </c>
      <c r="M154" t="e">
        <f t="shared" si="73"/>
        <v>#REF!</v>
      </c>
      <c r="N154" t="e">
        <f t="shared" si="74"/>
        <v>#REF!</v>
      </c>
      <c r="O154" t="e">
        <f t="shared" si="75"/>
        <v>#REF!</v>
      </c>
      <c r="P154" t="e">
        <f t="shared" si="76"/>
        <v>#REF!</v>
      </c>
      <c r="S154" t="e">
        <f>Reflection!A154</f>
        <v>#REF!</v>
      </c>
      <c r="T154" t="e">
        <f t="shared" si="77"/>
        <v>#REF!</v>
      </c>
      <c r="U154" t="e">
        <f t="shared" si="78"/>
        <v>#REF!</v>
      </c>
      <c r="V154" t="e">
        <f t="shared" si="79"/>
        <v>#REF!</v>
      </c>
      <c r="W154" t="e">
        <f t="shared" si="80"/>
        <v>#REF!</v>
      </c>
      <c r="X154" t="e">
        <f t="shared" si="81"/>
        <v>#REF!</v>
      </c>
      <c r="Y154" t="e">
        <f t="shared" si="82"/>
        <v>#REF!</v>
      </c>
      <c r="AB154" t="e">
        <f>Reflection!A154</f>
        <v>#REF!</v>
      </c>
      <c r="AC154" t="e">
        <f t="shared" si="83"/>
        <v>#REF!</v>
      </c>
      <c r="AD154" t="e">
        <f t="shared" si="84"/>
        <v>#REF!</v>
      </c>
      <c r="AE154" t="e">
        <f t="shared" si="85"/>
        <v>#REF!</v>
      </c>
      <c r="AF154" t="e">
        <f t="shared" si="86"/>
        <v>#REF!</v>
      </c>
      <c r="AG154" t="e">
        <f t="shared" si="87"/>
        <v>#REF!</v>
      </c>
      <c r="AH154" t="e">
        <f t="shared" si="88"/>
        <v>#REF!</v>
      </c>
      <c r="AK154" t="e">
        <f>Reflection!A154</f>
        <v>#REF!</v>
      </c>
      <c r="AL154" t="e">
        <f t="shared" si="89"/>
        <v>#REF!</v>
      </c>
      <c r="AM154" t="e">
        <f t="shared" si="68"/>
        <v>#REF!</v>
      </c>
      <c r="AN154" t="e">
        <f t="shared" si="90"/>
        <v>#REF!</v>
      </c>
      <c r="AO154" t="e">
        <f t="shared" si="91"/>
        <v>#REF!</v>
      </c>
      <c r="AP154" t="e">
        <f t="shared" si="92"/>
        <v>#REF!</v>
      </c>
      <c r="AQ154" t="e">
        <f t="shared" si="93"/>
        <v>#REF!</v>
      </c>
    </row>
    <row r="155" spans="1:43" x14ac:dyDescent="0.15">
      <c r="A155" t="e">
        <f>Reflection!A155</f>
        <v>#REF!</v>
      </c>
      <c r="B155" t="e">
        <f t="shared" si="64"/>
        <v>#REF!</v>
      </c>
      <c r="C155" t="e">
        <f t="shared" si="65"/>
        <v>#REF!</v>
      </c>
      <c r="D155" t="e">
        <f t="shared" si="69"/>
        <v>#REF!</v>
      </c>
      <c r="E155" t="e">
        <f t="shared" si="70"/>
        <v>#REF!</v>
      </c>
      <c r="F155" t="e">
        <f t="shared" si="71"/>
        <v>#REF!</v>
      </c>
      <c r="G155" t="e">
        <f t="shared" si="66"/>
        <v>#REF!</v>
      </c>
      <c r="J155" t="e">
        <f>Reflection!A155</f>
        <v>#REF!</v>
      </c>
      <c r="K155" t="e">
        <f t="shared" si="72"/>
        <v>#REF!</v>
      </c>
      <c r="L155" t="e">
        <f t="shared" si="67"/>
        <v>#REF!</v>
      </c>
      <c r="M155" t="e">
        <f t="shared" si="73"/>
        <v>#REF!</v>
      </c>
      <c r="N155" t="e">
        <f t="shared" si="74"/>
        <v>#REF!</v>
      </c>
      <c r="O155" t="e">
        <f t="shared" si="75"/>
        <v>#REF!</v>
      </c>
      <c r="P155" t="e">
        <f t="shared" si="76"/>
        <v>#REF!</v>
      </c>
      <c r="S155" t="e">
        <f>Reflection!A155</f>
        <v>#REF!</v>
      </c>
      <c r="T155" t="e">
        <f t="shared" si="77"/>
        <v>#REF!</v>
      </c>
      <c r="U155" t="e">
        <f t="shared" si="78"/>
        <v>#REF!</v>
      </c>
      <c r="V155" t="e">
        <f t="shared" si="79"/>
        <v>#REF!</v>
      </c>
      <c r="W155" t="e">
        <f t="shared" si="80"/>
        <v>#REF!</v>
      </c>
      <c r="X155" t="e">
        <f t="shared" si="81"/>
        <v>#REF!</v>
      </c>
      <c r="Y155" t="e">
        <f t="shared" si="82"/>
        <v>#REF!</v>
      </c>
      <c r="AB155" t="e">
        <f>Reflection!A155</f>
        <v>#REF!</v>
      </c>
      <c r="AC155" t="e">
        <f t="shared" si="83"/>
        <v>#REF!</v>
      </c>
      <c r="AD155" t="e">
        <f t="shared" si="84"/>
        <v>#REF!</v>
      </c>
      <c r="AE155" t="e">
        <f t="shared" si="85"/>
        <v>#REF!</v>
      </c>
      <c r="AF155" t="e">
        <f t="shared" si="86"/>
        <v>#REF!</v>
      </c>
      <c r="AG155" t="e">
        <f t="shared" si="87"/>
        <v>#REF!</v>
      </c>
      <c r="AH155" t="e">
        <f t="shared" si="88"/>
        <v>#REF!</v>
      </c>
      <c r="AK155" t="e">
        <f>Reflection!A155</f>
        <v>#REF!</v>
      </c>
      <c r="AL155" t="e">
        <f t="shared" si="89"/>
        <v>#REF!</v>
      </c>
      <c r="AM155" t="e">
        <f t="shared" si="68"/>
        <v>#REF!</v>
      </c>
      <c r="AN155" t="e">
        <f t="shared" si="90"/>
        <v>#REF!</v>
      </c>
      <c r="AO155" t="e">
        <f t="shared" si="91"/>
        <v>#REF!</v>
      </c>
      <c r="AP155" t="e">
        <f t="shared" si="92"/>
        <v>#REF!</v>
      </c>
      <c r="AQ155" t="e">
        <f t="shared" si="93"/>
        <v>#REF!</v>
      </c>
    </row>
    <row r="156" spans="1:43" x14ac:dyDescent="0.15">
      <c r="A156" t="e">
        <f>Reflection!A156</f>
        <v>#REF!</v>
      </c>
      <c r="B156" t="e">
        <f t="shared" si="64"/>
        <v>#REF!</v>
      </c>
      <c r="C156" t="e">
        <f t="shared" si="65"/>
        <v>#REF!</v>
      </c>
      <c r="D156" t="e">
        <f t="shared" si="69"/>
        <v>#REF!</v>
      </c>
      <c r="E156" t="e">
        <f t="shared" si="70"/>
        <v>#REF!</v>
      </c>
      <c r="F156" t="e">
        <f t="shared" si="71"/>
        <v>#REF!</v>
      </c>
      <c r="G156" t="e">
        <f t="shared" si="66"/>
        <v>#REF!</v>
      </c>
      <c r="J156" t="e">
        <f>Reflection!A156</f>
        <v>#REF!</v>
      </c>
      <c r="K156" t="e">
        <f t="shared" si="72"/>
        <v>#REF!</v>
      </c>
      <c r="L156" t="e">
        <f t="shared" si="67"/>
        <v>#REF!</v>
      </c>
      <c r="M156" t="e">
        <f t="shared" si="73"/>
        <v>#REF!</v>
      </c>
      <c r="N156" t="e">
        <f t="shared" si="74"/>
        <v>#REF!</v>
      </c>
      <c r="O156" t="e">
        <f t="shared" si="75"/>
        <v>#REF!</v>
      </c>
      <c r="P156" t="e">
        <f t="shared" si="76"/>
        <v>#REF!</v>
      </c>
      <c r="S156" t="e">
        <f>Reflection!A156</f>
        <v>#REF!</v>
      </c>
      <c r="T156" t="e">
        <f t="shared" si="77"/>
        <v>#REF!</v>
      </c>
      <c r="U156" t="e">
        <f t="shared" si="78"/>
        <v>#REF!</v>
      </c>
      <c r="V156" t="e">
        <f t="shared" si="79"/>
        <v>#REF!</v>
      </c>
      <c r="W156" t="e">
        <f t="shared" si="80"/>
        <v>#REF!</v>
      </c>
      <c r="X156" t="e">
        <f t="shared" si="81"/>
        <v>#REF!</v>
      </c>
      <c r="Y156" t="e">
        <f t="shared" si="82"/>
        <v>#REF!</v>
      </c>
      <c r="AB156" t="e">
        <f>Reflection!A156</f>
        <v>#REF!</v>
      </c>
      <c r="AC156" t="e">
        <f t="shared" si="83"/>
        <v>#REF!</v>
      </c>
      <c r="AD156" t="e">
        <f t="shared" si="84"/>
        <v>#REF!</v>
      </c>
      <c r="AE156" t="e">
        <f t="shared" si="85"/>
        <v>#REF!</v>
      </c>
      <c r="AF156" t="e">
        <f t="shared" si="86"/>
        <v>#REF!</v>
      </c>
      <c r="AG156" t="e">
        <f t="shared" si="87"/>
        <v>#REF!</v>
      </c>
      <c r="AH156" t="e">
        <f t="shared" si="88"/>
        <v>#REF!</v>
      </c>
      <c r="AK156" t="e">
        <f>Reflection!A156</f>
        <v>#REF!</v>
      </c>
      <c r="AL156" t="e">
        <f t="shared" si="89"/>
        <v>#REF!</v>
      </c>
      <c r="AM156" t="e">
        <f t="shared" si="68"/>
        <v>#REF!</v>
      </c>
      <c r="AN156" t="e">
        <f t="shared" si="90"/>
        <v>#REF!</v>
      </c>
      <c r="AO156" t="e">
        <f t="shared" si="91"/>
        <v>#REF!</v>
      </c>
      <c r="AP156" t="e">
        <f t="shared" si="92"/>
        <v>#REF!</v>
      </c>
      <c r="AQ156" t="e">
        <f t="shared" si="93"/>
        <v>#REF!</v>
      </c>
    </row>
    <row r="157" spans="1:43" x14ac:dyDescent="0.15">
      <c r="A157" t="e">
        <f>Reflection!A157</f>
        <v>#REF!</v>
      </c>
      <c r="B157" t="e">
        <f t="shared" si="64"/>
        <v>#REF!</v>
      </c>
      <c r="C157" t="e">
        <f t="shared" si="65"/>
        <v>#REF!</v>
      </c>
      <c r="D157" t="e">
        <f t="shared" si="69"/>
        <v>#REF!</v>
      </c>
      <c r="E157" t="e">
        <f t="shared" si="70"/>
        <v>#REF!</v>
      </c>
      <c r="F157" t="e">
        <f t="shared" si="71"/>
        <v>#REF!</v>
      </c>
      <c r="G157" t="e">
        <f t="shared" si="66"/>
        <v>#REF!</v>
      </c>
      <c r="J157" t="e">
        <f>Reflection!A157</f>
        <v>#REF!</v>
      </c>
      <c r="K157" t="e">
        <f t="shared" si="72"/>
        <v>#REF!</v>
      </c>
      <c r="L157" t="e">
        <f t="shared" si="67"/>
        <v>#REF!</v>
      </c>
      <c r="M157" t="e">
        <f t="shared" si="73"/>
        <v>#REF!</v>
      </c>
      <c r="N157" t="e">
        <f t="shared" si="74"/>
        <v>#REF!</v>
      </c>
      <c r="O157" t="e">
        <f t="shared" si="75"/>
        <v>#REF!</v>
      </c>
      <c r="P157" t="e">
        <f t="shared" si="76"/>
        <v>#REF!</v>
      </c>
      <c r="S157" t="e">
        <f>Reflection!A157</f>
        <v>#REF!</v>
      </c>
      <c r="T157" t="e">
        <f t="shared" si="77"/>
        <v>#REF!</v>
      </c>
      <c r="U157" t="e">
        <f t="shared" si="78"/>
        <v>#REF!</v>
      </c>
      <c r="V157" t="e">
        <f t="shared" si="79"/>
        <v>#REF!</v>
      </c>
      <c r="W157" t="e">
        <f t="shared" si="80"/>
        <v>#REF!</v>
      </c>
      <c r="X157" t="e">
        <f t="shared" si="81"/>
        <v>#REF!</v>
      </c>
      <c r="Y157" t="e">
        <f t="shared" si="82"/>
        <v>#REF!</v>
      </c>
      <c r="AB157" t="e">
        <f>Reflection!A157</f>
        <v>#REF!</v>
      </c>
      <c r="AC157" t="e">
        <f t="shared" si="83"/>
        <v>#REF!</v>
      </c>
      <c r="AD157" t="e">
        <f t="shared" si="84"/>
        <v>#REF!</v>
      </c>
      <c r="AE157" t="e">
        <f t="shared" si="85"/>
        <v>#REF!</v>
      </c>
      <c r="AF157" t="e">
        <f t="shared" si="86"/>
        <v>#REF!</v>
      </c>
      <c r="AG157" t="e">
        <f t="shared" si="87"/>
        <v>#REF!</v>
      </c>
      <c r="AH157" t="e">
        <f t="shared" si="88"/>
        <v>#REF!</v>
      </c>
      <c r="AK157" t="e">
        <f>Reflection!A157</f>
        <v>#REF!</v>
      </c>
      <c r="AL157" t="e">
        <f t="shared" si="89"/>
        <v>#REF!</v>
      </c>
      <c r="AM157" t="e">
        <f t="shared" si="68"/>
        <v>#REF!</v>
      </c>
      <c r="AN157" t="e">
        <f t="shared" si="90"/>
        <v>#REF!</v>
      </c>
      <c r="AO157" t="e">
        <f t="shared" si="91"/>
        <v>#REF!</v>
      </c>
      <c r="AP157" t="e">
        <f t="shared" si="92"/>
        <v>#REF!</v>
      </c>
      <c r="AQ157" t="e">
        <f t="shared" si="93"/>
        <v>#REF!</v>
      </c>
    </row>
    <row r="158" spans="1:43" x14ac:dyDescent="0.15">
      <c r="A158" t="e">
        <f>Reflection!A158</f>
        <v>#REF!</v>
      </c>
      <c r="B158" t="e">
        <f t="shared" si="64"/>
        <v>#REF!</v>
      </c>
      <c r="C158" t="e">
        <f t="shared" si="65"/>
        <v>#REF!</v>
      </c>
      <c r="D158" t="e">
        <f t="shared" si="69"/>
        <v>#REF!</v>
      </c>
      <c r="E158" t="e">
        <f t="shared" si="70"/>
        <v>#REF!</v>
      </c>
      <c r="F158" t="e">
        <f t="shared" si="71"/>
        <v>#REF!</v>
      </c>
      <c r="G158" t="e">
        <f t="shared" si="66"/>
        <v>#REF!</v>
      </c>
      <c r="J158" t="e">
        <f>Reflection!A158</f>
        <v>#REF!</v>
      </c>
      <c r="K158" t="e">
        <f t="shared" si="72"/>
        <v>#REF!</v>
      </c>
      <c r="L158" t="e">
        <f t="shared" si="67"/>
        <v>#REF!</v>
      </c>
      <c r="M158" t="e">
        <f t="shared" si="73"/>
        <v>#REF!</v>
      </c>
      <c r="N158" t="e">
        <f t="shared" si="74"/>
        <v>#REF!</v>
      </c>
      <c r="O158" t="e">
        <f t="shared" si="75"/>
        <v>#REF!</v>
      </c>
      <c r="P158" t="e">
        <f t="shared" si="76"/>
        <v>#REF!</v>
      </c>
      <c r="S158" t="e">
        <f>Reflection!A158</f>
        <v>#REF!</v>
      </c>
      <c r="T158" t="e">
        <f t="shared" si="77"/>
        <v>#REF!</v>
      </c>
      <c r="U158" t="e">
        <f t="shared" si="78"/>
        <v>#REF!</v>
      </c>
      <c r="V158" t="e">
        <f t="shared" si="79"/>
        <v>#REF!</v>
      </c>
      <c r="W158" t="e">
        <f t="shared" si="80"/>
        <v>#REF!</v>
      </c>
      <c r="X158" t="e">
        <f t="shared" si="81"/>
        <v>#REF!</v>
      </c>
      <c r="Y158" t="e">
        <f t="shared" si="82"/>
        <v>#REF!</v>
      </c>
      <c r="AB158" t="e">
        <f>Reflection!A158</f>
        <v>#REF!</v>
      </c>
      <c r="AC158" t="e">
        <f t="shared" si="83"/>
        <v>#REF!</v>
      </c>
      <c r="AD158" t="e">
        <f t="shared" si="84"/>
        <v>#REF!</v>
      </c>
      <c r="AE158" t="e">
        <f t="shared" si="85"/>
        <v>#REF!</v>
      </c>
      <c r="AF158" t="e">
        <f t="shared" si="86"/>
        <v>#REF!</v>
      </c>
      <c r="AG158" t="e">
        <f t="shared" si="87"/>
        <v>#REF!</v>
      </c>
      <c r="AH158" t="e">
        <f t="shared" si="88"/>
        <v>#REF!</v>
      </c>
      <c r="AK158" t="e">
        <f>Reflection!A158</f>
        <v>#REF!</v>
      </c>
      <c r="AL158" t="e">
        <f t="shared" si="89"/>
        <v>#REF!</v>
      </c>
      <c r="AM158" t="e">
        <f t="shared" si="68"/>
        <v>#REF!</v>
      </c>
      <c r="AN158" t="e">
        <f t="shared" si="90"/>
        <v>#REF!</v>
      </c>
      <c r="AO158" t="e">
        <f t="shared" si="91"/>
        <v>#REF!</v>
      </c>
      <c r="AP158" t="e">
        <f t="shared" si="92"/>
        <v>#REF!</v>
      </c>
      <c r="AQ158" t="e">
        <f t="shared" si="93"/>
        <v>#REF!</v>
      </c>
    </row>
    <row r="159" spans="1:43" x14ac:dyDescent="0.15">
      <c r="A159" t="e">
        <f>Reflection!A159</f>
        <v>#REF!</v>
      </c>
      <c r="B159" t="e">
        <f t="shared" si="64"/>
        <v>#REF!</v>
      </c>
      <c r="C159" t="e">
        <f t="shared" si="65"/>
        <v>#REF!</v>
      </c>
      <c r="D159" t="e">
        <f t="shared" si="69"/>
        <v>#REF!</v>
      </c>
      <c r="E159" t="e">
        <f t="shared" si="70"/>
        <v>#REF!</v>
      </c>
      <c r="F159" t="e">
        <f t="shared" si="71"/>
        <v>#REF!</v>
      </c>
      <c r="G159" t="e">
        <f t="shared" si="66"/>
        <v>#REF!</v>
      </c>
      <c r="J159" t="e">
        <f>Reflection!A159</f>
        <v>#REF!</v>
      </c>
      <c r="K159" t="e">
        <f t="shared" si="72"/>
        <v>#REF!</v>
      </c>
      <c r="L159" t="e">
        <f t="shared" si="67"/>
        <v>#REF!</v>
      </c>
      <c r="M159" t="e">
        <f t="shared" si="73"/>
        <v>#REF!</v>
      </c>
      <c r="N159" t="e">
        <f t="shared" si="74"/>
        <v>#REF!</v>
      </c>
      <c r="O159" t="e">
        <f t="shared" si="75"/>
        <v>#REF!</v>
      </c>
      <c r="P159" t="e">
        <f t="shared" si="76"/>
        <v>#REF!</v>
      </c>
      <c r="S159" t="e">
        <f>Reflection!A159</f>
        <v>#REF!</v>
      </c>
      <c r="T159" t="e">
        <f t="shared" si="77"/>
        <v>#REF!</v>
      </c>
      <c r="U159" t="e">
        <f t="shared" si="78"/>
        <v>#REF!</v>
      </c>
      <c r="V159" t="e">
        <f t="shared" si="79"/>
        <v>#REF!</v>
      </c>
      <c r="W159" t="e">
        <f t="shared" si="80"/>
        <v>#REF!</v>
      </c>
      <c r="X159" t="e">
        <f t="shared" si="81"/>
        <v>#REF!</v>
      </c>
      <c r="Y159" t="e">
        <f t="shared" si="82"/>
        <v>#REF!</v>
      </c>
      <c r="AB159" t="e">
        <f>Reflection!A159</f>
        <v>#REF!</v>
      </c>
      <c r="AC159" t="e">
        <f t="shared" si="83"/>
        <v>#REF!</v>
      </c>
      <c r="AD159" t="e">
        <f t="shared" si="84"/>
        <v>#REF!</v>
      </c>
      <c r="AE159" t="e">
        <f t="shared" si="85"/>
        <v>#REF!</v>
      </c>
      <c r="AF159" t="e">
        <f t="shared" si="86"/>
        <v>#REF!</v>
      </c>
      <c r="AG159" t="e">
        <f t="shared" si="87"/>
        <v>#REF!</v>
      </c>
      <c r="AH159" t="e">
        <f t="shared" si="88"/>
        <v>#REF!</v>
      </c>
      <c r="AK159" t="e">
        <f>Reflection!A159</f>
        <v>#REF!</v>
      </c>
      <c r="AL159" t="e">
        <f t="shared" si="89"/>
        <v>#REF!</v>
      </c>
      <c r="AM159" t="e">
        <f t="shared" si="68"/>
        <v>#REF!</v>
      </c>
      <c r="AN159" t="e">
        <f t="shared" si="90"/>
        <v>#REF!</v>
      </c>
      <c r="AO159" t="e">
        <f t="shared" si="91"/>
        <v>#REF!</v>
      </c>
      <c r="AP159" t="e">
        <f t="shared" si="92"/>
        <v>#REF!</v>
      </c>
      <c r="AQ159" t="e">
        <f t="shared" si="93"/>
        <v>#REF!</v>
      </c>
    </row>
    <row r="160" spans="1:43" x14ac:dyDescent="0.15">
      <c r="A160" t="e">
        <f>Reflection!A160</f>
        <v>#REF!</v>
      </c>
      <c r="B160" t="e">
        <f t="shared" si="64"/>
        <v>#REF!</v>
      </c>
      <c r="C160" t="e">
        <f t="shared" si="65"/>
        <v>#REF!</v>
      </c>
      <c r="D160" t="e">
        <f t="shared" si="69"/>
        <v>#REF!</v>
      </c>
      <c r="E160" t="e">
        <f t="shared" si="70"/>
        <v>#REF!</v>
      </c>
      <c r="F160" t="e">
        <f t="shared" si="71"/>
        <v>#REF!</v>
      </c>
      <c r="G160" t="e">
        <f t="shared" si="66"/>
        <v>#REF!</v>
      </c>
      <c r="J160" t="e">
        <f>Reflection!A160</f>
        <v>#REF!</v>
      </c>
      <c r="K160" t="e">
        <f t="shared" si="72"/>
        <v>#REF!</v>
      </c>
      <c r="L160" t="e">
        <f t="shared" si="67"/>
        <v>#REF!</v>
      </c>
      <c r="M160" t="e">
        <f t="shared" si="73"/>
        <v>#REF!</v>
      </c>
      <c r="N160" t="e">
        <f t="shared" si="74"/>
        <v>#REF!</v>
      </c>
      <c r="O160" t="e">
        <f t="shared" si="75"/>
        <v>#REF!</v>
      </c>
      <c r="P160" t="e">
        <f t="shared" si="76"/>
        <v>#REF!</v>
      </c>
      <c r="S160" t="e">
        <f>Reflection!A160</f>
        <v>#REF!</v>
      </c>
      <c r="T160" t="e">
        <f t="shared" si="77"/>
        <v>#REF!</v>
      </c>
      <c r="U160" t="e">
        <f t="shared" si="78"/>
        <v>#REF!</v>
      </c>
      <c r="V160" t="e">
        <f t="shared" si="79"/>
        <v>#REF!</v>
      </c>
      <c r="W160" t="e">
        <f t="shared" si="80"/>
        <v>#REF!</v>
      </c>
      <c r="X160" t="e">
        <f t="shared" si="81"/>
        <v>#REF!</v>
      </c>
      <c r="Y160" t="e">
        <f t="shared" si="82"/>
        <v>#REF!</v>
      </c>
      <c r="AB160" t="e">
        <f>Reflection!A160</f>
        <v>#REF!</v>
      </c>
      <c r="AC160" t="e">
        <f t="shared" si="83"/>
        <v>#REF!</v>
      </c>
      <c r="AD160" t="e">
        <f t="shared" si="84"/>
        <v>#REF!</v>
      </c>
      <c r="AE160" t="e">
        <f t="shared" si="85"/>
        <v>#REF!</v>
      </c>
      <c r="AF160" t="e">
        <f t="shared" si="86"/>
        <v>#REF!</v>
      </c>
      <c r="AG160" t="e">
        <f t="shared" si="87"/>
        <v>#REF!</v>
      </c>
      <c r="AH160" t="e">
        <f t="shared" si="88"/>
        <v>#REF!</v>
      </c>
      <c r="AK160" t="e">
        <f>Reflection!A160</f>
        <v>#REF!</v>
      </c>
      <c r="AL160" t="e">
        <f t="shared" si="89"/>
        <v>#REF!</v>
      </c>
      <c r="AM160" t="e">
        <f t="shared" si="68"/>
        <v>#REF!</v>
      </c>
      <c r="AN160" t="e">
        <f t="shared" si="90"/>
        <v>#REF!</v>
      </c>
      <c r="AO160" t="e">
        <f t="shared" si="91"/>
        <v>#REF!</v>
      </c>
      <c r="AP160" t="e">
        <f t="shared" si="92"/>
        <v>#REF!</v>
      </c>
      <c r="AQ160" t="e">
        <f t="shared" si="93"/>
        <v>#REF!</v>
      </c>
    </row>
    <row r="161" spans="1:43" x14ac:dyDescent="0.15">
      <c r="A161" t="e">
        <f>Reflection!A161</f>
        <v>#REF!</v>
      </c>
      <c r="B161" t="e">
        <f t="shared" si="64"/>
        <v>#REF!</v>
      </c>
      <c r="C161" t="e">
        <f t="shared" si="65"/>
        <v>#REF!</v>
      </c>
      <c r="D161" t="e">
        <f t="shared" si="69"/>
        <v>#REF!</v>
      </c>
      <c r="E161" t="e">
        <f t="shared" si="70"/>
        <v>#REF!</v>
      </c>
      <c r="F161" t="e">
        <f t="shared" si="71"/>
        <v>#REF!</v>
      </c>
      <c r="G161" t="e">
        <f t="shared" si="66"/>
        <v>#REF!</v>
      </c>
      <c r="J161" t="e">
        <f>Reflection!A161</f>
        <v>#REF!</v>
      </c>
      <c r="K161" t="e">
        <f t="shared" si="72"/>
        <v>#REF!</v>
      </c>
      <c r="L161" t="e">
        <f t="shared" si="67"/>
        <v>#REF!</v>
      </c>
      <c r="M161" t="e">
        <f t="shared" si="73"/>
        <v>#REF!</v>
      </c>
      <c r="N161" t="e">
        <f t="shared" si="74"/>
        <v>#REF!</v>
      </c>
      <c r="O161" t="e">
        <f t="shared" si="75"/>
        <v>#REF!</v>
      </c>
      <c r="P161" t="e">
        <f t="shared" si="76"/>
        <v>#REF!</v>
      </c>
      <c r="S161" t="e">
        <f>Reflection!A161</f>
        <v>#REF!</v>
      </c>
      <c r="T161" t="e">
        <f t="shared" si="77"/>
        <v>#REF!</v>
      </c>
      <c r="U161" t="e">
        <f t="shared" si="78"/>
        <v>#REF!</v>
      </c>
      <c r="V161" t="e">
        <f t="shared" si="79"/>
        <v>#REF!</v>
      </c>
      <c r="W161" t="e">
        <f t="shared" si="80"/>
        <v>#REF!</v>
      </c>
      <c r="X161" t="e">
        <f t="shared" si="81"/>
        <v>#REF!</v>
      </c>
      <c r="Y161" t="e">
        <f t="shared" si="82"/>
        <v>#REF!</v>
      </c>
      <c r="AB161" t="e">
        <f>Reflection!A161</f>
        <v>#REF!</v>
      </c>
      <c r="AC161" t="e">
        <f t="shared" si="83"/>
        <v>#REF!</v>
      </c>
      <c r="AD161" t="e">
        <f t="shared" si="84"/>
        <v>#REF!</v>
      </c>
      <c r="AE161" t="e">
        <f t="shared" si="85"/>
        <v>#REF!</v>
      </c>
      <c r="AF161" t="e">
        <f t="shared" si="86"/>
        <v>#REF!</v>
      </c>
      <c r="AG161" t="e">
        <f t="shared" si="87"/>
        <v>#REF!</v>
      </c>
      <c r="AH161" t="e">
        <f t="shared" si="88"/>
        <v>#REF!</v>
      </c>
      <c r="AK161" t="e">
        <f>Reflection!A161</f>
        <v>#REF!</v>
      </c>
      <c r="AL161" t="e">
        <f t="shared" si="89"/>
        <v>#REF!</v>
      </c>
      <c r="AM161" t="e">
        <f t="shared" si="68"/>
        <v>#REF!</v>
      </c>
      <c r="AN161" t="e">
        <f t="shared" si="90"/>
        <v>#REF!</v>
      </c>
      <c r="AO161" t="e">
        <f t="shared" si="91"/>
        <v>#REF!</v>
      </c>
      <c r="AP161" t="e">
        <f t="shared" si="92"/>
        <v>#REF!</v>
      </c>
      <c r="AQ161" t="e">
        <f t="shared" si="93"/>
        <v>#REF!</v>
      </c>
    </row>
    <row r="162" spans="1:43" x14ac:dyDescent="0.15">
      <c r="A162" t="e">
        <f>Reflection!A162</f>
        <v>#REF!</v>
      </c>
      <c r="B162" t="e">
        <f t="shared" si="64"/>
        <v>#REF!</v>
      </c>
      <c r="C162" t="e">
        <f t="shared" si="65"/>
        <v>#REF!</v>
      </c>
      <c r="D162" t="e">
        <f t="shared" si="69"/>
        <v>#REF!</v>
      </c>
      <c r="E162" t="e">
        <f t="shared" si="70"/>
        <v>#REF!</v>
      </c>
      <c r="F162" t="e">
        <f t="shared" si="71"/>
        <v>#REF!</v>
      </c>
      <c r="G162" t="e">
        <f t="shared" si="66"/>
        <v>#REF!</v>
      </c>
      <c r="J162" t="e">
        <f>Reflection!A162</f>
        <v>#REF!</v>
      </c>
      <c r="K162" t="e">
        <f t="shared" si="72"/>
        <v>#REF!</v>
      </c>
      <c r="L162" t="e">
        <f t="shared" si="67"/>
        <v>#REF!</v>
      </c>
      <c r="M162" t="e">
        <f t="shared" si="73"/>
        <v>#REF!</v>
      </c>
      <c r="N162" t="e">
        <f t="shared" si="74"/>
        <v>#REF!</v>
      </c>
      <c r="O162" t="e">
        <f t="shared" si="75"/>
        <v>#REF!</v>
      </c>
      <c r="P162" t="e">
        <f t="shared" si="76"/>
        <v>#REF!</v>
      </c>
      <c r="S162" t="e">
        <f>Reflection!A162</f>
        <v>#REF!</v>
      </c>
      <c r="T162" t="e">
        <f t="shared" si="77"/>
        <v>#REF!</v>
      </c>
      <c r="U162" t="e">
        <f t="shared" si="78"/>
        <v>#REF!</v>
      </c>
      <c r="V162" t="e">
        <f t="shared" si="79"/>
        <v>#REF!</v>
      </c>
      <c r="W162" t="e">
        <f t="shared" si="80"/>
        <v>#REF!</v>
      </c>
      <c r="X162" t="e">
        <f t="shared" si="81"/>
        <v>#REF!</v>
      </c>
      <c r="Y162" t="e">
        <f t="shared" si="82"/>
        <v>#REF!</v>
      </c>
      <c r="AB162" t="e">
        <f>Reflection!A162</f>
        <v>#REF!</v>
      </c>
      <c r="AC162" t="e">
        <f t="shared" si="83"/>
        <v>#REF!</v>
      </c>
      <c r="AD162" t="e">
        <f t="shared" si="84"/>
        <v>#REF!</v>
      </c>
      <c r="AE162" t="e">
        <f t="shared" si="85"/>
        <v>#REF!</v>
      </c>
      <c r="AF162" t="e">
        <f t="shared" si="86"/>
        <v>#REF!</v>
      </c>
      <c r="AG162" t="e">
        <f t="shared" si="87"/>
        <v>#REF!</v>
      </c>
      <c r="AH162" t="e">
        <f t="shared" si="88"/>
        <v>#REF!</v>
      </c>
      <c r="AK162" t="e">
        <f>Reflection!A162</f>
        <v>#REF!</v>
      </c>
      <c r="AL162" t="e">
        <f t="shared" si="89"/>
        <v>#REF!</v>
      </c>
      <c r="AM162" t="e">
        <f t="shared" si="68"/>
        <v>#REF!</v>
      </c>
      <c r="AN162" t="e">
        <f t="shared" si="90"/>
        <v>#REF!</v>
      </c>
      <c r="AO162" t="e">
        <f t="shared" si="91"/>
        <v>#REF!</v>
      </c>
      <c r="AP162" t="e">
        <f t="shared" si="92"/>
        <v>#REF!</v>
      </c>
      <c r="AQ162" t="e">
        <f t="shared" si="93"/>
        <v>#REF!</v>
      </c>
    </row>
    <row r="163" spans="1:43" x14ac:dyDescent="0.15">
      <c r="A163" t="e">
        <f>Reflection!A163</f>
        <v>#REF!</v>
      </c>
      <c r="B163" t="e">
        <f t="shared" si="64"/>
        <v>#REF!</v>
      </c>
      <c r="C163" t="e">
        <f t="shared" si="65"/>
        <v>#REF!</v>
      </c>
      <c r="D163" t="e">
        <f t="shared" si="69"/>
        <v>#REF!</v>
      </c>
      <c r="E163" t="e">
        <f t="shared" si="70"/>
        <v>#REF!</v>
      </c>
      <c r="F163" t="e">
        <f t="shared" si="71"/>
        <v>#REF!</v>
      </c>
      <c r="G163" t="e">
        <f t="shared" si="66"/>
        <v>#REF!</v>
      </c>
      <c r="J163" t="e">
        <f>Reflection!A163</f>
        <v>#REF!</v>
      </c>
      <c r="K163" t="e">
        <f t="shared" si="72"/>
        <v>#REF!</v>
      </c>
      <c r="L163" t="e">
        <f t="shared" ref="L163:L194" si="94">IMPRODUCT(IMPRODUCT(K163,$L$1),2*PI()*J163*0.0000000000088542)</f>
        <v>#REF!</v>
      </c>
      <c r="M163" t="e">
        <f t="shared" si="73"/>
        <v>#REF!</v>
      </c>
      <c r="N163" t="e">
        <f t="shared" si="74"/>
        <v>#REF!</v>
      </c>
      <c r="O163" t="e">
        <f t="shared" si="75"/>
        <v>#REF!</v>
      </c>
      <c r="P163" t="e">
        <f t="shared" si="76"/>
        <v>#REF!</v>
      </c>
      <c r="S163" t="e">
        <f>Reflection!A163</f>
        <v>#REF!</v>
      </c>
      <c r="T163" t="e">
        <f t="shared" si="77"/>
        <v>#REF!</v>
      </c>
      <c r="U163" t="e">
        <f t="shared" si="78"/>
        <v>#REF!</v>
      </c>
      <c r="V163" t="e">
        <f t="shared" si="79"/>
        <v>#REF!</v>
      </c>
      <c r="W163" t="e">
        <f t="shared" si="80"/>
        <v>#REF!</v>
      </c>
      <c r="X163" t="e">
        <f t="shared" si="81"/>
        <v>#REF!</v>
      </c>
      <c r="Y163" t="e">
        <f t="shared" si="82"/>
        <v>#REF!</v>
      </c>
      <c r="AB163" t="e">
        <f>Reflection!A163</f>
        <v>#REF!</v>
      </c>
      <c r="AC163" t="e">
        <f t="shared" si="83"/>
        <v>#REF!</v>
      </c>
      <c r="AD163" t="e">
        <f t="shared" si="84"/>
        <v>#REF!</v>
      </c>
      <c r="AE163" t="e">
        <f t="shared" si="85"/>
        <v>#REF!</v>
      </c>
      <c r="AF163" t="e">
        <f t="shared" si="86"/>
        <v>#REF!</v>
      </c>
      <c r="AG163" t="e">
        <f t="shared" si="87"/>
        <v>#REF!</v>
      </c>
      <c r="AH163" t="e">
        <f t="shared" si="88"/>
        <v>#REF!</v>
      </c>
      <c r="AK163" t="e">
        <f>Reflection!A163</f>
        <v>#REF!</v>
      </c>
      <c r="AL163" t="e">
        <f t="shared" si="89"/>
        <v>#REF!</v>
      </c>
      <c r="AM163" t="e">
        <f t="shared" ref="AM163:AM194" si="95">IMPRODUCT(IMPRODUCT(AL163,$AM$1),2*PI()*AK163*0.000000000008854)</f>
        <v>#REF!</v>
      </c>
      <c r="AN163" t="e">
        <f t="shared" si="90"/>
        <v>#REF!</v>
      </c>
      <c r="AO163" t="e">
        <f t="shared" si="91"/>
        <v>#REF!</v>
      </c>
      <c r="AP163" t="e">
        <f t="shared" si="92"/>
        <v>#REF!</v>
      </c>
      <c r="AQ163" t="e">
        <f t="shared" si="93"/>
        <v>#REF!</v>
      </c>
    </row>
    <row r="164" spans="1:43" x14ac:dyDescent="0.15">
      <c r="A164" t="e">
        <f>Reflection!A164</f>
        <v>#REF!</v>
      </c>
      <c r="B164" t="e">
        <f t="shared" si="64"/>
        <v>#REF!</v>
      </c>
      <c r="C164" t="e">
        <f t="shared" si="65"/>
        <v>#REF!</v>
      </c>
      <c r="D164" t="e">
        <f t="shared" si="69"/>
        <v>#REF!</v>
      </c>
      <c r="E164" t="e">
        <f t="shared" si="70"/>
        <v>#REF!</v>
      </c>
      <c r="F164" t="e">
        <f t="shared" si="71"/>
        <v>#REF!</v>
      </c>
      <c r="G164" t="e">
        <f t="shared" si="66"/>
        <v>#REF!</v>
      </c>
      <c r="J164" t="e">
        <f>Reflection!A164</f>
        <v>#REF!</v>
      </c>
      <c r="K164" t="e">
        <f t="shared" si="72"/>
        <v>#REF!</v>
      </c>
      <c r="L164" t="e">
        <f t="shared" si="94"/>
        <v>#REF!</v>
      </c>
      <c r="M164" t="e">
        <f t="shared" si="73"/>
        <v>#REF!</v>
      </c>
      <c r="N164" t="e">
        <f t="shared" si="74"/>
        <v>#REF!</v>
      </c>
      <c r="O164" t="e">
        <f t="shared" si="75"/>
        <v>#REF!</v>
      </c>
      <c r="P164" t="e">
        <f t="shared" si="76"/>
        <v>#REF!</v>
      </c>
      <c r="S164" t="e">
        <f>Reflection!A164</f>
        <v>#REF!</v>
      </c>
      <c r="T164" t="e">
        <f t="shared" si="77"/>
        <v>#REF!</v>
      </c>
      <c r="U164" t="e">
        <f t="shared" si="78"/>
        <v>#REF!</v>
      </c>
      <c r="V164" t="e">
        <f t="shared" si="79"/>
        <v>#REF!</v>
      </c>
      <c r="W164" t="e">
        <f t="shared" si="80"/>
        <v>#REF!</v>
      </c>
      <c r="X164" t="e">
        <f t="shared" si="81"/>
        <v>#REF!</v>
      </c>
      <c r="Y164" t="e">
        <f t="shared" si="82"/>
        <v>#REF!</v>
      </c>
      <c r="AB164" t="e">
        <f>Reflection!A164</f>
        <v>#REF!</v>
      </c>
      <c r="AC164" t="e">
        <f t="shared" si="83"/>
        <v>#REF!</v>
      </c>
      <c r="AD164" t="e">
        <f t="shared" si="84"/>
        <v>#REF!</v>
      </c>
      <c r="AE164" t="e">
        <f t="shared" si="85"/>
        <v>#REF!</v>
      </c>
      <c r="AF164" t="e">
        <f t="shared" si="86"/>
        <v>#REF!</v>
      </c>
      <c r="AG164" t="e">
        <f t="shared" si="87"/>
        <v>#REF!</v>
      </c>
      <c r="AH164" t="e">
        <f t="shared" si="88"/>
        <v>#REF!</v>
      </c>
      <c r="AK164" t="e">
        <f>Reflection!A164</f>
        <v>#REF!</v>
      </c>
      <c r="AL164" t="e">
        <f t="shared" si="89"/>
        <v>#REF!</v>
      </c>
      <c r="AM164" t="e">
        <f t="shared" si="95"/>
        <v>#REF!</v>
      </c>
      <c r="AN164" t="e">
        <f t="shared" si="90"/>
        <v>#REF!</v>
      </c>
      <c r="AO164" t="e">
        <f t="shared" si="91"/>
        <v>#REF!</v>
      </c>
      <c r="AP164" t="e">
        <f t="shared" si="92"/>
        <v>#REF!</v>
      </c>
      <c r="AQ164" t="e">
        <f t="shared" si="93"/>
        <v>#REF!</v>
      </c>
    </row>
    <row r="165" spans="1:43" x14ac:dyDescent="0.15">
      <c r="A165" t="e">
        <f>Reflection!A165</f>
        <v>#REF!</v>
      </c>
      <c r="B165" t="e">
        <f t="shared" si="64"/>
        <v>#REF!</v>
      </c>
      <c r="C165" t="e">
        <f t="shared" si="65"/>
        <v>#REF!</v>
      </c>
      <c r="D165" t="e">
        <f t="shared" si="69"/>
        <v>#REF!</v>
      </c>
      <c r="E165" t="e">
        <f t="shared" si="70"/>
        <v>#REF!</v>
      </c>
      <c r="F165" t="e">
        <f t="shared" si="71"/>
        <v>#REF!</v>
      </c>
      <c r="G165" t="e">
        <f t="shared" si="66"/>
        <v>#REF!</v>
      </c>
      <c r="J165" t="e">
        <f>Reflection!A165</f>
        <v>#REF!</v>
      </c>
      <c r="K165" t="e">
        <f t="shared" si="72"/>
        <v>#REF!</v>
      </c>
      <c r="L165" t="e">
        <f t="shared" si="94"/>
        <v>#REF!</v>
      </c>
      <c r="M165" t="e">
        <f t="shared" si="73"/>
        <v>#REF!</v>
      </c>
      <c r="N165" t="e">
        <f t="shared" si="74"/>
        <v>#REF!</v>
      </c>
      <c r="O165" t="e">
        <f t="shared" si="75"/>
        <v>#REF!</v>
      </c>
      <c r="P165" t="e">
        <f t="shared" si="76"/>
        <v>#REF!</v>
      </c>
      <c r="S165" t="e">
        <f>Reflection!A165</f>
        <v>#REF!</v>
      </c>
      <c r="T165" t="e">
        <f t="shared" si="77"/>
        <v>#REF!</v>
      </c>
      <c r="U165" t="e">
        <f t="shared" si="78"/>
        <v>#REF!</v>
      </c>
      <c r="V165" t="e">
        <f t="shared" si="79"/>
        <v>#REF!</v>
      </c>
      <c r="W165" t="e">
        <f t="shared" si="80"/>
        <v>#REF!</v>
      </c>
      <c r="X165" t="e">
        <f t="shared" si="81"/>
        <v>#REF!</v>
      </c>
      <c r="Y165" t="e">
        <f t="shared" si="82"/>
        <v>#REF!</v>
      </c>
      <c r="AB165" t="e">
        <f>Reflection!A165</f>
        <v>#REF!</v>
      </c>
      <c r="AC165" t="e">
        <f t="shared" si="83"/>
        <v>#REF!</v>
      </c>
      <c r="AD165" t="e">
        <f t="shared" si="84"/>
        <v>#REF!</v>
      </c>
      <c r="AE165" t="e">
        <f t="shared" si="85"/>
        <v>#REF!</v>
      </c>
      <c r="AF165" t="e">
        <f t="shared" si="86"/>
        <v>#REF!</v>
      </c>
      <c r="AG165" t="e">
        <f t="shared" si="87"/>
        <v>#REF!</v>
      </c>
      <c r="AH165" t="e">
        <f t="shared" si="88"/>
        <v>#REF!</v>
      </c>
      <c r="AK165" t="e">
        <f>Reflection!A165</f>
        <v>#REF!</v>
      </c>
      <c r="AL165" t="e">
        <f t="shared" si="89"/>
        <v>#REF!</v>
      </c>
      <c r="AM165" t="e">
        <f t="shared" si="95"/>
        <v>#REF!</v>
      </c>
      <c r="AN165" t="e">
        <f t="shared" si="90"/>
        <v>#REF!</v>
      </c>
      <c r="AO165" t="e">
        <f t="shared" si="91"/>
        <v>#REF!</v>
      </c>
      <c r="AP165" t="e">
        <f t="shared" si="92"/>
        <v>#REF!</v>
      </c>
      <c r="AQ165" t="e">
        <f t="shared" si="93"/>
        <v>#REF!</v>
      </c>
    </row>
    <row r="166" spans="1:43" x14ac:dyDescent="0.15">
      <c r="A166" t="e">
        <f>Reflection!A166</f>
        <v>#REF!</v>
      </c>
      <c r="B166" t="e">
        <f t="shared" si="64"/>
        <v>#REF!</v>
      </c>
      <c r="C166" t="e">
        <f t="shared" si="65"/>
        <v>#REF!</v>
      </c>
      <c r="D166" t="e">
        <f t="shared" si="69"/>
        <v>#REF!</v>
      </c>
      <c r="E166" t="e">
        <f t="shared" si="70"/>
        <v>#REF!</v>
      </c>
      <c r="F166" t="e">
        <f t="shared" si="71"/>
        <v>#REF!</v>
      </c>
      <c r="G166" t="e">
        <f t="shared" si="66"/>
        <v>#REF!</v>
      </c>
      <c r="J166" t="e">
        <f>Reflection!A166</f>
        <v>#REF!</v>
      </c>
      <c r="K166" t="e">
        <f t="shared" si="72"/>
        <v>#REF!</v>
      </c>
      <c r="L166" t="e">
        <f t="shared" si="94"/>
        <v>#REF!</v>
      </c>
      <c r="M166" t="e">
        <f t="shared" si="73"/>
        <v>#REF!</v>
      </c>
      <c r="N166" t="e">
        <f t="shared" si="74"/>
        <v>#REF!</v>
      </c>
      <c r="O166" t="e">
        <f t="shared" si="75"/>
        <v>#REF!</v>
      </c>
      <c r="P166" t="e">
        <f t="shared" si="76"/>
        <v>#REF!</v>
      </c>
      <c r="S166" t="e">
        <f>Reflection!A166</f>
        <v>#REF!</v>
      </c>
      <c r="T166" t="e">
        <f t="shared" si="77"/>
        <v>#REF!</v>
      </c>
      <c r="U166" t="e">
        <f t="shared" si="78"/>
        <v>#REF!</v>
      </c>
      <c r="V166" t="e">
        <f t="shared" si="79"/>
        <v>#REF!</v>
      </c>
      <c r="W166" t="e">
        <f t="shared" si="80"/>
        <v>#REF!</v>
      </c>
      <c r="X166" t="e">
        <f t="shared" si="81"/>
        <v>#REF!</v>
      </c>
      <c r="Y166" t="e">
        <f t="shared" si="82"/>
        <v>#REF!</v>
      </c>
      <c r="AB166" t="e">
        <f>Reflection!A166</f>
        <v>#REF!</v>
      </c>
      <c r="AC166" t="e">
        <f t="shared" si="83"/>
        <v>#REF!</v>
      </c>
      <c r="AD166" t="e">
        <f t="shared" si="84"/>
        <v>#REF!</v>
      </c>
      <c r="AE166" t="e">
        <f t="shared" si="85"/>
        <v>#REF!</v>
      </c>
      <c r="AF166" t="e">
        <f t="shared" si="86"/>
        <v>#REF!</v>
      </c>
      <c r="AG166" t="e">
        <f t="shared" si="87"/>
        <v>#REF!</v>
      </c>
      <c r="AH166" t="e">
        <f t="shared" si="88"/>
        <v>#REF!</v>
      </c>
      <c r="AK166" t="e">
        <f>Reflection!A166</f>
        <v>#REF!</v>
      </c>
      <c r="AL166" t="e">
        <f t="shared" si="89"/>
        <v>#REF!</v>
      </c>
      <c r="AM166" t="e">
        <f t="shared" si="95"/>
        <v>#REF!</v>
      </c>
      <c r="AN166" t="e">
        <f t="shared" si="90"/>
        <v>#REF!</v>
      </c>
      <c r="AO166" t="e">
        <f t="shared" si="91"/>
        <v>#REF!</v>
      </c>
      <c r="AP166" t="e">
        <f t="shared" si="92"/>
        <v>#REF!</v>
      </c>
      <c r="AQ166" t="e">
        <f t="shared" si="93"/>
        <v>#REF!</v>
      </c>
    </row>
    <row r="167" spans="1:43" x14ac:dyDescent="0.15">
      <c r="A167" t="e">
        <f>Reflection!A167</f>
        <v>#REF!</v>
      </c>
      <c r="B167" t="e">
        <f t="shared" si="64"/>
        <v>#REF!</v>
      </c>
      <c r="C167" t="e">
        <f t="shared" si="65"/>
        <v>#REF!</v>
      </c>
      <c r="D167" t="e">
        <f t="shared" si="69"/>
        <v>#REF!</v>
      </c>
      <c r="E167" t="e">
        <f t="shared" si="70"/>
        <v>#REF!</v>
      </c>
      <c r="F167" t="e">
        <f t="shared" si="71"/>
        <v>#REF!</v>
      </c>
      <c r="G167" t="e">
        <f t="shared" si="66"/>
        <v>#REF!</v>
      </c>
      <c r="J167" t="e">
        <f>Reflection!A167</f>
        <v>#REF!</v>
      </c>
      <c r="K167" t="e">
        <f t="shared" si="72"/>
        <v>#REF!</v>
      </c>
      <c r="L167" t="e">
        <f t="shared" si="94"/>
        <v>#REF!</v>
      </c>
      <c r="M167" t="e">
        <f t="shared" si="73"/>
        <v>#REF!</v>
      </c>
      <c r="N167" t="e">
        <f t="shared" si="74"/>
        <v>#REF!</v>
      </c>
      <c r="O167" t="e">
        <f t="shared" si="75"/>
        <v>#REF!</v>
      </c>
      <c r="P167" t="e">
        <f t="shared" si="76"/>
        <v>#REF!</v>
      </c>
      <c r="S167" t="e">
        <f>Reflection!A167</f>
        <v>#REF!</v>
      </c>
      <c r="T167" t="e">
        <f t="shared" si="77"/>
        <v>#REF!</v>
      </c>
      <c r="U167" t="e">
        <f t="shared" si="78"/>
        <v>#REF!</v>
      </c>
      <c r="V167" t="e">
        <f t="shared" si="79"/>
        <v>#REF!</v>
      </c>
      <c r="W167" t="e">
        <f t="shared" si="80"/>
        <v>#REF!</v>
      </c>
      <c r="X167" t="e">
        <f t="shared" si="81"/>
        <v>#REF!</v>
      </c>
      <c r="Y167" t="e">
        <f t="shared" si="82"/>
        <v>#REF!</v>
      </c>
      <c r="AB167" t="e">
        <f>Reflection!A167</f>
        <v>#REF!</v>
      </c>
      <c r="AC167" t="e">
        <f t="shared" si="83"/>
        <v>#REF!</v>
      </c>
      <c r="AD167" t="e">
        <f t="shared" si="84"/>
        <v>#REF!</v>
      </c>
      <c r="AE167" t="e">
        <f t="shared" si="85"/>
        <v>#REF!</v>
      </c>
      <c r="AF167" t="e">
        <f t="shared" si="86"/>
        <v>#REF!</v>
      </c>
      <c r="AG167" t="e">
        <f t="shared" si="87"/>
        <v>#REF!</v>
      </c>
      <c r="AH167" t="e">
        <f t="shared" si="88"/>
        <v>#REF!</v>
      </c>
      <c r="AK167" t="e">
        <f>Reflection!A167</f>
        <v>#REF!</v>
      </c>
      <c r="AL167" t="e">
        <f t="shared" si="89"/>
        <v>#REF!</v>
      </c>
      <c r="AM167" t="e">
        <f t="shared" si="95"/>
        <v>#REF!</v>
      </c>
      <c r="AN167" t="e">
        <f t="shared" si="90"/>
        <v>#REF!</v>
      </c>
      <c r="AO167" t="e">
        <f t="shared" si="91"/>
        <v>#REF!</v>
      </c>
      <c r="AP167" t="e">
        <f t="shared" si="92"/>
        <v>#REF!</v>
      </c>
      <c r="AQ167" t="e">
        <f t="shared" si="93"/>
        <v>#REF!</v>
      </c>
    </row>
    <row r="168" spans="1:43" x14ac:dyDescent="0.15">
      <c r="A168" t="e">
        <f>Reflection!A168</f>
        <v>#REF!</v>
      </c>
      <c r="B168" t="e">
        <f t="shared" si="64"/>
        <v>#REF!</v>
      </c>
      <c r="C168" t="e">
        <f t="shared" si="65"/>
        <v>#REF!</v>
      </c>
      <c r="D168" t="e">
        <f t="shared" si="69"/>
        <v>#REF!</v>
      </c>
      <c r="E168" t="e">
        <f t="shared" si="70"/>
        <v>#REF!</v>
      </c>
      <c r="F168" t="e">
        <f t="shared" si="71"/>
        <v>#REF!</v>
      </c>
      <c r="G168" t="e">
        <f t="shared" si="66"/>
        <v>#REF!</v>
      </c>
      <c r="J168" t="e">
        <f>Reflection!A168</f>
        <v>#REF!</v>
      </c>
      <c r="K168" t="e">
        <f t="shared" si="72"/>
        <v>#REF!</v>
      </c>
      <c r="L168" t="e">
        <f t="shared" si="94"/>
        <v>#REF!</v>
      </c>
      <c r="M168" t="e">
        <f t="shared" si="73"/>
        <v>#REF!</v>
      </c>
      <c r="N168" t="e">
        <f t="shared" si="74"/>
        <v>#REF!</v>
      </c>
      <c r="O168" t="e">
        <f t="shared" si="75"/>
        <v>#REF!</v>
      </c>
      <c r="P168" t="e">
        <f t="shared" si="76"/>
        <v>#REF!</v>
      </c>
      <c r="S168" t="e">
        <f>Reflection!A168</f>
        <v>#REF!</v>
      </c>
      <c r="T168" t="e">
        <f t="shared" si="77"/>
        <v>#REF!</v>
      </c>
      <c r="U168" t="e">
        <f t="shared" si="78"/>
        <v>#REF!</v>
      </c>
      <c r="V168" t="e">
        <f t="shared" si="79"/>
        <v>#REF!</v>
      </c>
      <c r="W168" t="e">
        <f t="shared" si="80"/>
        <v>#REF!</v>
      </c>
      <c r="X168" t="e">
        <f t="shared" si="81"/>
        <v>#REF!</v>
      </c>
      <c r="Y168" t="e">
        <f t="shared" si="82"/>
        <v>#REF!</v>
      </c>
      <c r="AB168" t="e">
        <f>Reflection!A168</f>
        <v>#REF!</v>
      </c>
      <c r="AC168" t="e">
        <f t="shared" si="83"/>
        <v>#REF!</v>
      </c>
      <c r="AD168" t="e">
        <f t="shared" si="84"/>
        <v>#REF!</v>
      </c>
      <c r="AE168" t="e">
        <f t="shared" si="85"/>
        <v>#REF!</v>
      </c>
      <c r="AF168" t="e">
        <f t="shared" si="86"/>
        <v>#REF!</v>
      </c>
      <c r="AG168" t="e">
        <f t="shared" si="87"/>
        <v>#REF!</v>
      </c>
      <c r="AH168" t="e">
        <f t="shared" si="88"/>
        <v>#REF!</v>
      </c>
      <c r="AK168" t="e">
        <f>Reflection!A168</f>
        <v>#REF!</v>
      </c>
      <c r="AL168" t="e">
        <f t="shared" si="89"/>
        <v>#REF!</v>
      </c>
      <c r="AM168" t="e">
        <f t="shared" si="95"/>
        <v>#REF!</v>
      </c>
      <c r="AN168" t="e">
        <f t="shared" si="90"/>
        <v>#REF!</v>
      </c>
      <c r="AO168" t="e">
        <f t="shared" si="91"/>
        <v>#REF!</v>
      </c>
      <c r="AP168" t="e">
        <f t="shared" si="92"/>
        <v>#REF!</v>
      </c>
      <c r="AQ168" t="e">
        <f t="shared" si="93"/>
        <v>#REF!</v>
      </c>
    </row>
    <row r="169" spans="1:43" x14ac:dyDescent="0.15">
      <c r="A169" t="e">
        <f>Reflection!A169</f>
        <v>#REF!</v>
      </c>
      <c r="B169" t="e">
        <f t="shared" si="64"/>
        <v>#REF!</v>
      </c>
      <c r="C169" t="e">
        <f t="shared" si="65"/>
        <v>#REF!</v>
      </c>
      <c r="D169" t="e">
        <f t="shared" si="69"/>
        <v>#REF!</v>
      </c>
      <c r="E169" t="e">
        <f t="shared" si="70"/>
        <v>#REF!</v>
      </c>
      <c r="F169" t="e">
        <f t="shared" si="71"/>
        <v>#REF!</v>
      </c>
      <c r="G169" t="e">
        <f t="shared" si="66"/>
        <v>#REF!</v>
      </c>
      <c r="J169" t="e">
        <f>Reflection!A169</f>
        <v>#REF!</v>
      </c>
      <c r="K169" t="e">
        <f t="shared" si="72"/>
        <v>#REF!</v>
      </c>
      <c r="L169" t="e">
        <f t="shared" si="94"/>
        <v>#REF!</v>
      </c>
      <c r="M169" t="e">
        <f t="shared" si="73"/>
        <v>#REF!</v>
      </c>
      <c r="N169" t="e">
        <f t="shared" si="74"/>
        <v>#REF!</v>
      </c>
      <c r="O169" t="e">
        <f t="shared" si="75"/>
        <v>#REF!</v>
      </c>
      <c r="P169" t="e">
        <f t="shared" si="76"/>
        <v>#REF!</v>
      </c>
      <c r="S169" t="e">
        <f>Reflection!A169</f>
        <v>#REF!</v>
      </c>
      <c r="T169" t="e">
        <f t="shared" si="77"/>
        <v>#REF!</v>
      </c>
      <c r="U169" t="e">
        <f t="shared" si="78"/>
        <v>#REF!</v>
      </c>
      <c r="V169" t="e">
        <f t="shared" si="79"/>
        <v>#REF!</v>
      </c>
      <c r="W169" t="e">
        <f t="shared" si="80"/>
        <v>#REF!</v>
      </c>
      <c r="X169" t="e">
        <f t="shared" si="81"/>
        <v>#REF!</v>
      </c>
      <c r="Y169" t="e">
        <f t="shared" si="82"/>
        <v>#REF!</v>
      </c>
      <c r="AB169" t="e">
        <f>Reflection!A169</f>
        <v>#REF!</v>
      </c>
      <c r="AC169" t="e">
        <f t="shared" si="83"/>
        <v>#REF!</v>
      </c>
      <c r="AD169" t="e">
        <f t="shared" si="84"/>
        <v>#REF!</v>
      </c>
      <c r="AE169" t="e">
        <f t="shared" si="85"/>
        <v>#REF!</v>
      </c>
      <c r="AF169" t="e">
        <f t="shared" si="86"/>
        <v>#REF!</v>
      </c>
      <c r="AG169" t="e">
        <f t="shared" si="87"/>
        <v>#REF!</v>
      </c>
      <c r="AH169" t="e">
        <f t="shared" si="88"/>
        <v>#REF!</v>
      </c>
      <c r="AK169" t="e">
        <f>Reflection!A169</f>
        <v>#REF!</v>
      </c>
      <c r="AL169" t="e">
        <f t="shared" si="89"/>
        <v>#REF!</v>
      </c>
      <c r="AM169" t="e">
        <f t="shared" si="95"/>
        <v>#REF!</v>
      </c>
      <c r="AN169" t="e">
        <f t="shared" si="90"/>
        <v>#REF!</v>
      </c>
      <c r="AO169" t="e">
        <f t="shared" si="91"/>
        <v>#REF!</v>
      </c>
      <c r="AP169" t="e">
        <f t="shared" si="92"/>
        <v>#REF!</v>
      </c>
      <c r="AQ169" t="e">
        <f t="shared" si="93"/>
        <v>#REF!</v>
      </c>
    </row>
    <row r="170" spans="1:43" x14ac:dyDescent="0.15">
      <c r="A170" t="e">
        <f>Reflection!A170</f>
        <v>#REF!</v>
      </c>
      <c r="B170" t="e">
        <f t="shared" si="64"/>
        <v>#REF!</v>
      </c>
      <c r="C170" t="e">
        <f t="shared" si="65"/>
        <v>#REF!</v>
      </c>
      <c r="D170" t="e">
        <f t="shared" si="69"/>
        <v>#REF!</v>
      </c>
      <c r="E170" t="e">
        <f t="shared" si="70"/>
        <v>#REF!</v>
      </c>
      <c r="F170" t="e">
        <f t="shared" si="71"/>
        <v>#REF!</v>
      </c>
      <c r="G170" t="e">
        <f t="shared" si="66"/>
        <v>#REF!</v>
      </c>
      <c r="J170" t="e">
        <f>Reflection!A170</f>
        <v>#REF!</v>
      </c>
      <c r="K170" t="e">
        <f t="shared" si="72"/>
        <v>#REF!</v>
      </c>
      <c r="L170" t="e">
        <f t="shared" si="94"/>
        <v>#REF!</v>
      </c>
      <c r="M170" t="e">
        <f t="shared" si="73"/>
        <v>#REF!</v>
      </c>
      <c r="N170" t="e">
        <f t="shared" si="74"/>
        <v>#REF!</v>
      </c>
      <c r="O170" t="e">
        <f t="shared" si="75"/>
        <v>#REF!</v>
      </c>
      <c r="P170" t="e">
        <f t="shared" si="76"/>
        <v>#REF!</v>
      </c>
      <c r="S170" t="e">
        <f>Reflection!A170</f>
        <v>#REF!</v>
      </c>
      <c r="T170" t="e">
        <f t="shared" si="77"/>
        <v>#REF!</v>
      </c>
      <c r="U170" t="e">
        <f t="shared" si="78"/>
        <v>#REF!</v>
      </c>
      <c r="V170" t="e">
        <f t="shared" si="79"/>
        <v>#REF!</v>
      </c>
      <c r="W170" t="e">
        <f t="shared" si="80"/>
        <v>#REF!</v>
      </c>
      <c r="X170" t="e">
        <f t="shared" si="81"/>
        <v>#REF!</v>
      </c>
      <c r="Y170" t="e">
        <f t="shared" si="82"/>
        <v>#REF!</v>
      </c>
      <c r="AB170" t="e">
        <f>Reflection!A170</f>
        <v>#REF!</v>
      </c>
      <c r="AC170" t="e">
        <f t="shared" si="83"/>
        <v>#REF!</v>
      </c>
      <c r="AD170" t="e">
        <f t="shared" si="84"/>
        <v>#REF!</v>
      </c>
      <c r="AE170" t="e">
        <f t="shared" si="85"/>
        <v>#REF!</v>
      </c>
      <c r="AF170" t="e">
        <f t="shared" si="86"/>
        <v>#REF!</v>
      </c>
      <c r="AG170" t="e">
        <f t="shared" si="87"/>
        <v>#REF!</v>
      </c>
      <c r="AH170" t="e">
        <f t="shared" si="88"/>
        <v>#REF!</v>
      </c>
      <c r="AK170" t="e">
        <f>Reflection!A170</f>
        <v>#REF!</v>
      </c>
      <c r="AL170" t="e">
        <f t="shared" si="89"/>
        <v>#REF!</v>
      </c>
      <c r="AM170" t="e">
        <f t="shared" si="95"/>
        <v>#REF!</v>
      </c>
      <c r="AN170" t="e">
        <f t="shared" si="90"/>
        <v>#REF!</v>
      </c>
      <c r="AO170" t="e">
        <f t="shared" si="91"/>
        <v>#REF!</v>
      </c>
      <c r="AP170" t="e">
        <f t="shared" si="92"/>
        <v>#REF!</v>
      </c>
      <c r="AQ170" t="e">
        <f t="shared" si="93"/>
        <v>#REF!</v>
      </c>
    </row>
    <row r="171" spans="1:43" x14ac:dyDescent="0.15">
      <c r="A171" t="e">
        <f>Reflection!A171</f>
        <v>#REF!</v>
      </c>
      <c r="B171" t="e">
        <f t="shared" si="64"/>
        <v>#REF!</v>
      </c>
      <c r="C171" t="e">
        <f t="shared" si="65"/>
        <v>#REF!</v>
      </c>
      <c r="D171" t="e">
        <f t="shared" si="69"/>
        <v>#REF!</v>
      </c>
      <c r="E171" t="e">
        <f t="shared" si="70"/>
        <v>#REF!</v>
      </c>
      <c r="F171" t="e">
        <f t="shared" si="71"/>
        <v>#REF!</v>
      </c>
      <c r="G171" t="e">
        <f t="shared" si="66"/>
        <v>#REF!</v>
      </c>
      <c r="J171" t="e">
        <f>Reflection!A171</f>
        <v>#REF!</v>
      </c>
      <c r="K171" t="e">
        <f t="shared" si="72"/>
        <v>#REF!</v>
      </c>
      <c r="L171" t="e">
        <f t="shared" si="94"/>
        <v>#REF!</v>
      </c>
      <c r="M171" t="e">
        <f t="shared" si="73"/>
        <v>#REF!</v>
      </c>
      <c r="N171" t="e">
        <f t="shared" si="74"/>
        <v>#REF!</v>
      </c>
      <c r="O171" t="e">
        <f t="shared" si="75"/>
        <v>#REF!</v>
      </c>
      <c r="P171" t="e">
        <f t="shared" si="76"/>
        <v>#REF!</v>
      </c>
      <c r="S171" t="e">
        <f>Reflection!A171</f>
        <v>#REF!</v>
      </c>
      <c r="T171" t="e">
        <f t="shared" si="77"/>
        <v>#REF!</v>
      </c>
      <c r="U171" t="e">
        <f t="shared" si="78"/>
        <v>#REF!</v>
      </c>
      <c r="V171" t="e">
        <f t="shared" si="79"/>
        <v>#REF!</v>
      </c>
      <c r="W171" t="e">
        <f t="shared" si="80"/>
        <v>#REF!</v>
      </c>
      <c r="X171" t="e">
        <f t="shared" si="81"/>
        <v>#REF!</v>
      </c>
      <c r="Y171" t="e">
        <f t="shared" si="82"/>
        <v>#REF!</v>
      </c>
      <c r="AB171" t="e">
        <f>Reflection!A171</f>
        <v>#REF!</v>
      </c>
      <c r="AC171" t="e">
        <f t="shared" si="83"/>
        <v>#REF!</v>
      </c>
      <c r="AD171" t="e">
        <f t="shared" si="84"/>
        <v>#REF!</v>
      </c>
      <c r="AE171" t="e">
        <f t="shared" si="85"/>
        <v>#REF!</v>
      </c>
      <c r="AF171" t="e">
        <f t="shared" si="86"/>
        <v>#REF!</v>
      </c>
      <c r="AG171" t="e">
        <f t="shared" si="87"/>
        <v>#REF!</v>
      </c>
      <c r="AH171" t="e">
        <f t="shared" si="88"/>
        <v>#REF!</v>
      </c>
      <c r="AK171" t="e">
        <f>Reflection!A171</f>
        <v>#REF!</v>
      </c>
      <c r="AL171" t="e">
        <f t="shared" si="89"/>
        <v>#REF!</v>
      </c>
      <c r="AM171" t="e">
        <f t="shared" si="95"/>
        <v>#REF!</v>
      </c>
      <c r="AN171" t="e">
        <f t="shared" si="90"/>
        <v>#REF!</v>
      </c>
      <c r="AO171" t="e">
        <f t="shared" si="91"/>
        <v>#REF!</v>
      </c>
      <c r="AP171" t="e">
        <f t="shared" si="92"/>
        <v>#REF!</v>
      </c>
      <c r="AQ171" t="e">
        <f t="shared" si="93"/>
        <v>#REF!</v>
      </c>
    </row>
    <row r="172" spans="1:43" x14ac:dyDescent="0.15">
      <c r="A172" t="e">
        <f>Reflection!A172</f>
        <v>#REF!</v>
      </c>
      <c r="B172" t="e">
        <f t="shared" si="64"/>
        <v>#REF!</v>
      </c>
      <c r="C172" t="e">
        <f t="shared" si="65"/>
        <v>#REF!</v>
      </c>
      <c r="D172" t="e">
        <f t="shared" si="69"/>
        <v>#REF!</v>
      </c>
      <c r="E172" t="e">
        <f t="shared" si="70"/>
        <v>#REF!</v>
      </c>
      <c r="F172" t="e">
        <f t="shared" si="71"/>
        <v>#REF!</v>
      </c>
      <c r="G172" t="e">
        <f t="shared" si="66"/>
        <v>#REF!</v>
      </c>
      <c r="J172" t="e">
        <f>Reflection!A172</f>
        <v>#REF!</v>
      </c>
      <c r="K172" t="e">
        <f t="shared" si="72"/>
        <v>#REF!</v>
      </c>
      <c r="L172" t="e">
        <f t="shared" si="94"/>
        <v>#REF!</v>
      </c>
      <c r="M172" t="e">
        <f t="shared" si="73"/>
        <v>#REF!</v>
      </c>
      <c r="N172" t="e">
        <f t="shared" si="74"/>
        <v>#REF!</v>
      </c>
      <c r="O172" t="e">
        <f t="shared" si="75"/>
        <v>#REF!</v>
      </c>
      <c r="P172" t="e">
        <f t="shared" si="76"/>
        <v>#REF!</v>
      </c>
      <c r="S172" t="e">
        <f>Reflection!A172</f>
        <v>#REF!</v>
      </c>
      <c r="T172" t="e">
        <f t="shared" si="77"/>
        <v>#REF!</v>
      </c>
      <c r="U172" t="e">
        <f t="shared" si="78"/>
        <v>#REF!</v>
      </c>
      <c r="V172" t="e">
        <f t="shared" si="79"/>
        <v>#REF!</v>
      </c>
      <c r="W172" t="e">
        <f t="shared" si="80"/>
        <v>#REF!</v>
      </c>
      <c r="X172" t="e">
        <f t="shared" si="81"/>
        <v>#REF!</v>
      </c>
      <c r="Y172" t="e">
        <f t="shared" si="82"/>
        <v>#REF!</v>
      </c>
      <c r="AB172" t="e">
        <f>Reflection!A172</f>
        <v>#REF!</v>
      </c>
      <c r="AC172" t="e">
        <f t="shared" si="83"/>
        <v>#REF!</v>
      </c>
      <c r="AD172" t="e">
        <f t="shared" si="84"/>
        <v>#REF!</v>
      </c>
      <c r="AE172" t="e">
        <f t="shared" si="85"/>
        <v>#REF!</v>
      </c>
      <c r="AF172" t="e">
        <f t="shared" si="86"/>
        <v>#REF!</v>
      </c>
      <c r="AG172" t="e">
        <f t="shared" si="87"/>
        <v>#REF!</v>
      </c>
      <c r="AH172" t="e">
        <f t="shared" si="88"/>
        <v>#REF!</v>
      </c>
      <c r="AK172" t="e">
        <f>Reflection!A172</f>
        <v>#REF!</v>
      </c>
      <c r="AL172" t="e">
        <f t="shared" si="89"/>
        <v>#REF!</v>
      </c>
      <c r="AM172" t="e">
        <f t="shared" si="95"/>
        <v>#REF!</v>
      </c>
      <c r="AN172" t="e">
        <f t="shared" si="90"/>
        <v>#REF!</v>
      </c>
      <c r="AO172" t="e">
        <f t="shared" si="91"/>
        <v>#REF!</v>
      </c>
      <c r="AP172" t="e">
        <f t="shared" si="92"/>
        <v>#REF!</v>
      </c>
      <c r="AQ172" t="e">
        <f t="shared" si="93"/>
        <v>#REF!</v>
      </c>
    </row>
    <row r="173" spans="1:43" x14ac:dyDescent="0.15">
      <c r="A173" t="e">
        <f>Reflection!A173</f>
        <v>#REF!</v>
      </c>
      <c r="B173" t="e">
        <f t="shared" si="64"/>
        <v>#REF!</v>
      </c>
      <c r="C173" t="e">
        <f t="shared" si="65"/>
        <v>#REF!</v>
      </c>
      <c r="D173" t="e">
        <f t="shared" si="69"/>
        <v>#REF!</v>
      </c>
      <c r="E173" t="e">
        <f t="shared" si="70"/>
        <v>#REF!</v>
      </c>
      <c r="F173" t="e">
        <f t="shared" si="71"/>
        <v>#REF!</v>
      </c>
      <c r="G173" t="e">
        <f t="shared" si="66"/>
        <v>#REF!</v>
      </c>
      <c r="J173" t="e">
        <f>Reflection!A173</f>
        <v>#REF!</v>
      </c>
      <c r="K173" t="e">
        <f t="shared" si="72"/>
        <v>#REF!</v>
      </c>
      <c r="L173" t="e">
        <f t="shared" si="94"/>
        <v>#REF!</v>
      </c>
      <c r="M173" t="e">
        <f t="shared" si="73"/>
        <v>#REF!</v>
      </c>
      <c r="N173" t="e">
        <f t="shared" si="74"/>
        <v>#REF!</v>
      </c>
      <c r="O173" t="e">
        <f t="shared" si="75"/>
        <v>#REF!</v>
      </c>
      <c r="P173" t="e">
        <f t="shared" si="76"/>
        <v>#REF!</v>
      </c>
      <c r="S173" t="e">
        <f>Reflection!A173</f>
        <v>#REF!</v>
      </c>
      <c r="T173" t="e">
        <f t="shared" si="77"/>
        <v>#REF!</v>
      </c>
      <c r="U173" t="e">
        <f t="shared" si="78"/>
        <v>#REF!</v>
      </c>
      <c r="V173" t="e">
        <f t="shared" si="79"/>
        <v>#REF!</v>
      </c>
      <c r="W173" t="e">
        <f t="shared" si="80"/>
        <v>#REF!</v>
      </c>
      <c r="X173" t="e">
        <f t="shared" si="81"/>
        <v>#REF!</v>
      </c>
      <c r="Y173" t="e">
        <f t="shared" si="82"/>
        <v>#REF!</v>
      </c>
      <c r="AB173" t="e">
        <f>Reflection!A173</f>
        <v>#REF!</v>
      </c>
      <c r="AC173" t="e">
        <f t="shared" si="83"/>
        <v>#REF!</v>
      </c>
      <c r="AD173" t="e">
        <f t="shared" si="84"/>
        <v>#REF!</v>
      </c>
      <c r="AE173" t="e">
        <f t="shared" si="85"/>
        <v>#REF!</v>
      </c>
      <c r="AF173" t="e">
        <f t="shared" si="86"/>
        <v>#REF!</v>
      </c>
      <c r="AG173" t="e">
        <f t="shared" si="87"/>
        <v>#REF!</v>
      </c>
      <c r="AH173" t="e">
        <f t="shared" si="88"/>
        <v>#REF!</v>
      </c>
      <c r="AK173" t="e">
        <f>Reflection!A173</f>
        <v>#REF!</v>
      </c>
      <c r="AL173" t="e">
        <f t="shared" si="89"/>
        <v>#REF!</v>
      </c>
      <c r="AM173" t="e">
        <f t="shared" si="95"/>
        <v>#REF!</v>
      </c>
      <c r="AN173" t="e">
        <f t="shared" si="90"/>
        <v>#REF!</v>
      </c>
      <c r="AO173" t="e">
        <f t="shared" si="91"/>
        <v>#REF!</v>
      </c>
      <c r="AP173" t="e">
        <f t="shared" si="92"/>
        <v>#REF!</v>
      </c>
      <c r="AQ173" t="e">
        <f t="shared" si="93"/>
        <v>#REF!</v>
      </c>
    </row>
    <row r="174" spans="1:43" x14ac:dyDescent="0.15">
      <c r="A174" t="e">
        <f>Reflection!A174</f>
        <v>#REF!</v>
      </c>
      <c r="B174" t="e">
        <f t="shared" si="64"/>
        <v>#REF!</v>
      </c>
      <c r="C174" t="e">
        <f t="shared" si="65"/>
        <v>#REF!</v>
      </c>
      <c r="D174" t="e">
        <f t="shared" si="69"/>
        <v>#REF!</v>
      </c>
      <c r="E174" t="e">
        <f t="shared" si="70"/>
        <v>#REF!</v>
      </c>
      <c r="F174" t="e">
        <f t="shared" si="71"/>
        <v>#REF!</v>
      </c>
      <c r="G174" t="e">
        <f t="shared" si="66"/>
        <v>#REF!</v>
      </c>
      <c r="J174" t="e">
        <f>Reflection!A174</f>
        <v>#REF!</v>
      </c>
      <c r="K174" t="e">
        <f t="shared" si="72"/>
        <v>#REF!</v>
      </c>
      <c r="L174" t="e">
        <f t="shared" si="94"/>
        <v>#REF!</v>
      </c>
      <c r="M174" t="e">
        <f t="shared" si="73"/>
        <v>#REF!</v>
      </c>
      <c r="N174" t="e">
        <f t="shared" si="74"/>
        <v>#REF!</v>
      </c>
      <c r="O174" t="e">
        <f t="shared" si="75"/>
        <v>#REF!</v>
      </c>
      <c r="P174" t="e">
        <f t="shared" si="76"/>
        <v>#REF!</v>
      </c>
      <c r="S174" t="e">
        <f>Reflection!A174</f>
        <v>#REF!</v>
      </c>
      <c r="T174" t="e">
        <f t="shared" si="77"/>
        <v>#REF!</v>
      </c>
      <c r="U174" t="e">
        <f t="shared" si="78"/>
        <v>#REF!</v>
      </c>
      <c r="V174" t="e">
        <f t="shared" si="79"/>
        <v>#REF!</v>
      </c>
      <c r="W174" t="e">
        <f t="shared" si="80"/>
        <v>#REF!</v>
      </c>
      <c r="X174" t="e">
        <f t="shared" si="81"/>
        <v>#REF!</v>
      </c>
      <c r="Y174" t="e">
        <f t="shared" si="82"/>
        <v>#REF!</v>
      </c>
      <c r="AB174" t="e">
        <f>Reflection!A174</f>
        <v>#REF!</v>
      </c>
      <c r="AC174" t="e">
        <f t="shared" si="83"/>
        <v>#REF!</v>
      </c>
      <c r="AD174" t="e">
        <f t="shared" si="84"/>
        <v>#REF!</v>
      </c>
      <c r="AE174" t="e">
        <f t="shared" si="85"/>
        <v>#REF!</v>
      </c>
      <c r="AF174" t="e">
        <f t="shared" si="86"/>
        <v>#REF!</v>
      </c>
      <c r="AG174" t="e">
        <f t="shared" si="87"/>
        <v>#REF!</v>
      </c>
      <c r="AH174" t="e">
        <f t="shared" si="88"/>
        <v>#REF!</v>
      </c>
      <c r="AK174" t="e">
        <f>Reflection!A174</f>
        <v>#REF!</v>
      </c>
      <c r="AL174" t="e">
        <f t="shared" si="89"/>
        <v>#REF!</v>
      </c>
      <c r="AM174" t="e">
        <f t="shared" si="95"/>
        <v>#REF!</v>
      </c>
      <c r="AN174" t="e">
        <f t="shared" si="90"/>
        <v>#REF!</v>
      </c>
      <c r="AO174" t="e">
        <f t="shared" si="91"/>
        <v>#REF!</v>
      </c>
      <c r="AP174" t="e">
        <f t="shared" si="92"/>
        <v>#REF!</v>
      </c>
      <c r="AQ174" t="e">
        <f t="shared" si="93"/>
        <v>#REF!</v>
      </c>
    </row>
    <row r="175" spans="1:43" x14ac:dyDescent="0.15">
      <c r="A175" t="e">
        <f>Reflection!A175</f>
        <v>#REF!</v>
      </c>
      <c r="B175" t="e">
        <f t="shared" si="64"/>
        <v>#REF!</v>
      </c>
      <c r="C175" t="e">
        <f t="shared" si="65"/>
        <v>#REF!</v>
      </c>
      <c r="D175" t="e">
        <f t="shared" si="69"/>
        <v>#REF!</v>
      </c>
      <c r="E175" t="e">
        <f t="shared" si="70"/>
        <v>#REF!</v>
      </c>
      <c r="F175" t="e">
        <f t="shared" si="71"/>
        <v>#REF!</v>
      </c>
      <c r="G175" t="e">
        <f t="shared" si="66"/>
        <v>#REF!</v>
      </c>
      <c r="J175" t="e">
        <f>Reflection!A175</f>
        <v>#REF!</v>
      </c>
      <c r="K175" t="e">
        <f t="shared" si="72"/>
        <v>#REF!</v>
      </c>
      <c r="L175" t="e">
        <f t="shared" si="94"/>
        <v>#REF!</v>
      </c>
      <c r="M175" t="e">
        <f t="shared" si="73"/>
        <v>#REF!</v>
      </c>
      <c r="N175" t="e">
        <f t="shared" si="74"/>
        <v>#REF!</v>
      </c>
      <c r="O175" t="e">
        <f t="shared" si="75"/>
        <v>#REF!</v>
      </c>
      <c r="P175" t="e">
        <f t="shared" si="76"/>
        <v>#REF!</v>
      </c>
      <c r="S175" t="e">
        <f>Reflection!A175</f>
        <v>#REF!</v>
      </c>
      <c r="T175" t="e">
        <f t="shared" si="77"/>
        <v>#REF!</v>
      </c>
      <c r="U175" t="e">
        <f t="shared" si="78"/>
        <v>#REF!</v>
      </c>
      <c r="V175" t="e">
        <f t="shared" si="79"/>
        <v>#REF!</v>
      </c>
      <c r="W175" t="e">
        <f t="shared" si="80"/>
        <v>#REF!</v>
      </c>
      <c r="X175" t="e">
        <f t="shared" si="81"/>
        <v>#REF!</v>
      </c>
      <c r="Y175" t="e">
        <f t="shared" si="82"/>
        <v>#REF!</v>
      </c>
      <c r="AB175" t="e">
        <f>Reflection!A175</f>
        <v>#REF!</v>
      </c>
      <c r="AC175" t="e">
        <f t="shared" si="83"/>
        <v>#REF!</v>
      </c>
      <c r="AD175" t="e">
        <f t="shared" si="84"/>
        <v>#REF!</v>
      </c>
      <c r="AE175" t="e">
        <f t="shared" si="85"/>
        <v>#REF!</v>
      </c>
      <c r="AF175" t="e">
        <f t="shared" si="86"/>
        <v>#REF!</v>
      </c>
      <c r="AG175" t="e">
        <f t="shared" si="87"/>
        <v>#REF!</v>
      </c>
      <c r="AH175" t="e">
        <f t="shared" si="88"/>
        <v>#REF!</v>
      </c>
      <c r="AK175" t="e">
        <f>Reflection!A175</f>
        <v>#REF!</v>
      </c>
      <c r="AL175" t="e">
        <f t="shared" si="89"/>
        <v>#REF!</v>
      </c>
      <c r="AM175" t="e">
        <f t="shared" si="95"/>
        <v>#REF!</v>
      </c>
      <c r="AN175" t="e">
        <f t="shared" si="90"/>
        <v>#REF!</v>
      </c>
      <c r="AO175" t="e">
        <f t="shared" si="91"/>
        <v>#REF!</v>
      </c>
      <c r="AP175" t="e">
        <f t="shared" si="92"/>
        <v>#REF!</v>
      </c>
      <c r="AQ175" t="e">
        <f t="shared" si="93"/>
        <v>#REF!</v>
      </c>
    </row>
    <row r="176" spans="1:43" x14ac:dyDescent="0.15">
      <c r="A176" t="e">
        <f>Reflection!A176</f>
        <v>#REF!</v>
      </c>
      <c r="B176" t="e">
        <f t="shared" si="64"/>
        <v>#REF!</v>
      </c>
      <c r="C176" t="e">
        <f t="shared" si="65"/>
        <v>#REF!</v>
      </c>
      <c r="D176" t="e">
        <f t="shared" si="69"/>
        <v>#REF!</v>
      </c>
      <c r="E176" t="e">
        <f t="shared" si="70"/>
        <v>#REF!</v>
      </c>
      <c r="F176" t="e">
        <f t="shared" si="71"/>
        <v>#REF!</v>
      </c>
      <c r="G176" t="e">
        <f t="shared" si="66"/>
        <v>#REF!</v>
      </c>
      <c r="J176" t="e">
        <f>Reflection!A176</f>
        <v>#REF!</v>
      </c>
      <c r="K176" t="e">
        <f t="shared" si="72"/>
        <v>#REF!</v>
      </c>
      <c r="L176" t="e">
        <f t="shared" si="94"/>
        <v>#REF!</v>
      </c>
      <c r="M176" t="e">
        <f t="shared" si="73"/>
        <v>#REF!</v>
      </c>
      <c r="N176" t="e">
        <f t="shared" si="74"/>
        <v>#REF!</v>
      </c>
      <c r="O176" t="e">
        <f t="shared" si="75"/>
        <v>#REF!</v>
      </c>
      <c r="P176" t="e">
        <f t="shared" si="76"/>
        <v>#REF!</v>
      </c>
      <c r="S176" t="e">
        <f>Reflection!A176</f>
        <v>#REF!</v>
      </c>
      <c r="T176" t="e">
        <f t="shared" si="77"/>
        <v>#REF!</v>
      </c>
      <c r="U176" t="e">
        <f t="shared" si="78"/>
        <v>#REF!</v>
      </c>
      <c r="V176" t="e">
        <f t="shared" si="79"/>
        <v>#REF!</v>
      </c>
      <c r="W176" t="e">
        <f t="shared" si="80"/>
        <v>#REF!</v>
      </c>
      <c r="X176" t="e">
        <f t="shared" si="81"/>
        <v>#REF!</v>
      </c>
      <c r="Y176" t="e">
        <f t="shared" si="82"/>
        <v>#REF!</v>
      </c>
      <c r="AB176" t="e">
        <f>Reflection!A176</f>
        <v>#REF!</v>
      </c>
      <c r="AC176" t="e">
        <f t="shared" si="83"/>
        <v>#REF!</v>
      </c>
      <c r="AD176" t="e">
        <f t="shared" si="84"/>
        <v>#REF!</v>
      </c>
      <c r="AE176" t="e">
        <f t="shared" si="85"/>
        <v>#REF!</v>
      </c>
      <c r="AF176" t="e">
        <f t="shared" si="86"/>
        <v>#REF!</v>
      </c>
      <c r="AG176" t="e">
        <f t="shared" si="87"/>
        <v>#REF!</v>
      </c>
      <c r="AH176" t="e">
        <f t="shared" si="88"/>
        <v>#REF!</v>
      </c>
      <c r="AK176" t="e">
        <f>Reflection!A176</f>
        <v>#REF!</v>
      </c>
      <c r="AL176" t="e">
        <f t="shared" si="89"/>
        <v>#REF!</v>
      </c>
      <c r="AM176" t="e">
        <f t="shared" si="95"/>
        <v>#REF!</v>
      </c>
      <c r="AN176" t="e">
        <f t="shared" si="90"/>
        <v>#REF!</v>
      </c>
      <c r="AO176" t="e">
        <f t="shared" si="91"/>
        <v>#REF!</v>
      </c>
      <c r="AP176" t="e">
        <f t="shared" si="92"/>
        <v>#REF!</v>
      </c>
      <c r="AQ176" t="e">
        <f t="shared" si="93"/>
        <v>#REF!</v>
      </c>
    </row>
    <row r="177" spans="1:43" x14ac:dyDescent="0.15">
      <c r="A177" t="e">
        <f>Reflection!A177</f>
        <v>#REF!</v>
      </c>
      <c r="B177" t="e">
        <f t="shared" si="64"/>
        <v>#REF!</v>
      </c>
      <c r="C177" t="e">
        <f t="shared" si="65"/>
        <v>#REF!</v>
      </c>
      <c r="D177" t="e">
        <f t="shared" si="69"/>
        <v>#REF!</v>
      </c>
      <c r="E177" t="e">
        <f t="shared" si="70"/>
        <v>#REF!</v>
      </c>
      <c r="F177" t="e">
        <f t="shared" si="71"/>
        <v>#REF!</v>
      </c>
      <c r="G177" t="e">
        <f t="shared" si="66"/>
        <v>#REF!</v>
      </c>
      <c r="J177" t="e">
        <f>Reflection!A177</f>
        <v>#REF!</v>
      </c>
      <c r="K177" t="e">
        <f t="shared" si="72"/>
        <v>#REF!</v>
      </c>
      <c r="L177" t="e">
        <f t="shared" si="94"/>
        <v>#REF!</v>
      </c>
      <c r="M177" t="e">
        <f t="shared" si="73"/>
        <v>#REF!</v>
      </c>
      <c r="N177" t="e">
        <f t="shared" si="74"/>
        <v>#REF!</v>
      </c>
      <c r="O177" t="e">
        <f t="shared" si="75"/>
        <v>#REF!</v>
      </c>
      <c r="P177" t="e">
        <f t="shared" si="76"/>
        <v>#REF!</v>
      </c>
      <c r="S177" t="e">
        <f>Reflection!A177</f>
        <v>#REF!</v>
      </c>
      <c r="T177" t="e">
        <f t="shared" si="77"/>
        <v>#REF!</v>
      </c>
      <c r="U177" t="e">
        <f t="shared" si="78"/>
        <v>#REF!</v>
      </c>
      <c r="V177" t="e">
        <f t="shared" si="79"/>
        <v>#REF!</v>
      </c>
      <c r="W177" t="e">
        <f t="shared" si="80"/>
        <v>#REF!</v>
      </c>
      <c r="X177" t="e">
        <f t="shared" si="81"/>
        <v>#REF!</v>
      </c>
      <c r="Y177" t="e">
        <f t="shared" si="82"/>
        <v>#REF!</v>
      </c>
      <c r="AB177" t="e">
        <f>Reflection!A177</f>
        <v>#REF!</v>
      </c>
      <c r="AC177" t="e">
        <f t="shared" si="83"/>
        <v>#REF!</v>
      </c>
      <c r="AD177" t="e">
        <f t="shared" si="84"/>
        <v>#REF!</v>
      </c>
      <c r="AE177" t="e">
        <f t="shared" si="85"/>
        <v>#REF!</v>
      </c>
      <c r="AF177" t="e">
        <f t="shared" si="86"/>
        <v>#REF!</v>
      </c>
      <c r="AG177" t="e">
        <f t="shared" si="87"/>
        <v>#REF!</v>
      </c>
      <c r="AH177" t="e">
        <f t="shared" si="88"/>
        <v>#REF!</v>
      </c>
      <c r="AK177" t="e">
        <f>Reflection!A177</f>
        <v>#REF!</v>
      </c>
      <c r="AL177" t="e">
        <f t="shared" si="89"/>
        <v>#REF!</v>
      </c>
      <c r="AM177" t="e">
        <f t="shared" si="95"/>
        <v>#REF!</v>
      </c>
      <c r="AN177" t="e">
        <f t="shared" si="90"/>
        <v>#REF!</v>
      </c>
      <c r="AO177" t="e">
        <f t="shared" si="91"/>
        <v>#REF!</v>
      </c>
      <c r="AP177" t="e">
        <f t="shared" si="92"/>
        <v>#REF!</v>
      </c>
      <c r="AQ177" t="e">
        <f t="shared" si="93"/>
        <v>#REF!</v>
      </c>
    </row>
    <row r="178" spans="1:43" x14ac:dyDescent="0.15">
      <c r="A178" t="e">
        <f>Reflection!A178</f>
        <v>#REF!</v>
      </c>
      <c r="B178" t="e">
        <f t="shared" si="64"/>
        <v>#REF!</v>
      </c>
      <c r="C178" t="e">
        <f t="shared" si="65"/>
        <v>#REF!</v>
      </c>
      <c r="D178" t="e">
        <f t="shared" si="69"/>
        <v>#REF!</v>
      </c>
      <c r="E178" t="e">
        <f t="shared" si="70"/>
        <v>#REF!</v>
      </c>
      <c r="F178" t="e">
        <f t="shared" si="71"/>
        <v>#REF!</v>
      </c>
      <c r="G178" t="e">
        <f t="shared" si="66"/>
        <v>#REF!</v>
      </c>
      <c r="J178" t="e">
        <f>Reflection!A178</f>
        <v>#REF!</v>
      </c>
      <c r="K178" t="e">
        <f t="shared" si="72"/>
        <v>#REF!</v>
      </c>
      <c r="L178" t="e">
        <f t="shared" si="94"/>
        <v>#REF!</v>
      </c>
      <c r="M178" t="e">
        <f t="shared" si="73"/>
        <v>#REF!</v>
      </c>
      <c r="N178" t="e">
        <f t="shared" si="74"/>
        <v>#REF!</v>
      </c>
      <c r="O178" t="e">
        <f t="shared" si="75"/>
        <v>#REF!</v>
      </c>
      <c r="P178" t="e">
        <f t="shared" si="76"/>
        <v>#REF!</v>
      </c>
      <c r="S178" t="e">
        <f>Reflection!A178</f>
        <v>#REF!</v>
      </c>
      <c r="T178" t="e">
        <f t="shared" si="77"/>
        <v>#REF!</v>
      </c>
      <c r="U178" t="e">
        <f t="shared" si="78"/>
        <v>#REF!</v>
      </c>
      <c r="V178" t="e">
        <f t="shared" si="79"/>
        <v>#REF!</v>
      </c>
      <c r="W178" t="e">
        <f t="shared" si="80"/>
        <v>#REF!</v>
      </c>
      <c r="X178" t="e">
        <f t="shared" si="81"/>
        <v>#REF!</v>
      </c>
      <c r="Y178" t="e">
        <f t="shared" si="82"/>
        <v>#REF!</v>
      </c>
      <c r="AB178" t="e">
        <f>Reflection!A178</f>
        <v>#REF!</v>
      </c>
      <c r="AC178" t="e">
        <f t="shared" si="83"/>
        <v>#REF!</v>
      </c>
      <c r="AD178" t="e">
        <f t="shared" si="84"/>
        <v>#REF!</v>
      </c>
      <c r="AE178" t="e">
        <f t="shared" si="85"/>
        <v>#REF!</v>
      </c>
      <c r="AF178" t="e">
        <f t="shared" si="86"/>
        <v>#REF!</v>
      </c>
      <c r="AG178" t="e">
        <f t="shared" si="87"/>
        <v>#REF!</v>
      </c>
      <c r="AH178" t="e">
        <f t="shared" si="88"/>
        <v>#REF!</v>
      </c>
      <c r="AK178" t="e">
        <f>Reflection!A178</f>
        <v>#REF!</v>
      </c>
      <c r="AL178" t="e">
        <f t="shared" si="89"/>
        <v>#REF!</v>
      </c>
      <c r="AM178" t="e">
        <f t="shared" si="95"/>
        <v>#REF!</v>
      </c>
      <c r="AN178" t="e">
        <f t="shared" si="90"/>
        <v>#REF!</v>
      </c>
      <c r="AO178" t="e">
        <f t="shared" si="91"/>
        <v>#REF!</v>
      </c>
      <c r="AP178" t="e">
        <f t="shared" si="92"/>
        <v>#REF!</v>
      </c>
      <c r="AQ178" t="e">
        <f t="shared" si="93"/>
        <v>#REF!</v>
      </c>
    </row>
    <row r="179" spans="1:43" x14ac:dyDescent="0.15">
      <c r="A179" t="e">
        <f>Reflection!A179</f>
        <v>#REF!</v>
      </c>
      <c r="B179" t="e">
        <f t="shared" si="64"/>
        <v>#REF!</v>
      </c>
      <c r="C179" t="e">
        <f t="shared" si="65"/>
        <v>#REF!</v>
      </c>
      <c r="D179" t="e">
        <f t="shared" si="69"/>
        <v>#REF!</v>
      </c>
      <c r="E179" t="e">
        <f t="shared" si="70"/>
        <v>#REF!</v>
      </c>
      <c r="F179" t="e">
        <f t="shared" si="71"/>
        <v>#REF!</v>
      </c>
      <c r="G179" t="e">
        <f t="shared" si="66"/>
        <v>#REF!</v>
      </c>
      <c r="J179" t="e">
        <f>Reflection!A179</f>
        <v>#REF!</v>
      </c>
      <c r="K179" t="e">
        <f t="shared" si="72"/>
        <v>#REF!</v>
      </c>
      <c r="L179" t="e">
        <f t="shared" si="94"/>
        <v>#REF!</v>
      </c>
      <c r="M179" t="e">
        <f t="shared" si="73"/>
        <v>#REF!</v>
      </c>
      <c r="N179" t="e">
        <f t="shared" si="74"/>
        <v>#REF!</v>
      </c>
      <c r="O179" t="e">
        <f t="shared" si="75"/>
        <v>#REF!</v>
      </c>
      <c r="P179" t="e">
        <f t="shared" si="76"/>
        <v>#REF!</v>
      </c>
      <c r="S179" t="e">
        <f>Reflection!A179</f>
        <v>#REF!</v>
      </c>
      <c r="T179" t="e">
        <f t="shared" si="77"/>
        <v>#REF!</v>
      </c>
      <c r="U179" t="e">
        <f t="shared" si="78"/>
        <v>#REF!</v>
      </c>
      <c r="V179" t="e">
        <f t="shared" si="79"/>
        <v>#REF!</v>
      </c>
      <c r="W179" t="e">
        <f t="shared" si="80"/>
        <v>#REF!</v>
      </c>
      <c r="X179" t="e">
        <f t="shared" si="81"/>
        <v>#REF!</v>
      </c>
      <c r="Y179" t="e">
        <f t="shared" si="82"/>
        <v>#REF!</v>
      </c>
      <c r="AB179" t="e">
        <f>Reflection!A179</f>
        <v>#REF!</v>
      </c>
      <c r="AC179" t="e">
        <f t="shared" si="83"/>
        <v>#REF!</v>
      </c>
      <c r="AD179" t="e">
        <f t="shared" si="84"/>
        <v>#REF!</v>
      </c>
      <c r="AE179" t="e">
        <f t="shared" si="85"/>
        <v>#REF!</v>
      </c>
      <c r="AF179" t="e">
        <f t="shared" si="86"/>
        <v>#REF!</v>
      </c>
      <c r="AG179" t="e">
        <f t="shared" si="87"/>
        <v>#REF!</v>
      </c>
      <c r="AH179" t="e">
        <f t="shared" si="88"/>
        <v>#REF!</v>
      </c>
      <c r="AK179" t="e">
        <f>Reflection!A179</f>
        <v>#REF!</v>
      </c>
      <c r="AL179" t="e">
        <f t="shared" si="89"/>
        <v>#REF!</v>
      </c>
      <c r="AM179" t="e">
        <f t="shared" si="95"/>
        <v>#REF!</v>
      </c>
      <c r="AN179" t="e">
        <f t="shared" si="90"/>
        <v>#REF!</v>
      </c>
      <c r="AO179" t="e">
        <f t="shared" si="91"/>
        <v>#REF!</v>
      </c>
      <c r="AP179" t="e">
        <f t="shared" si="92"/>
        <v>#REF!</v>
      </c>
      <c r="AQ179" t="e">
        <f t="shared" si="93"/>
        <v>#REF!</v>
      </c>
    </row>
    <row r="180" spans="1:43" x14ac:dyDescent="0.15">
      <c r="A180" t="e">
        <f>Reflection!A180</f>
        <v>#REF!</v>
      </c>
      <c r="B180" t="e">
        <f t="shared" si="64"/>
        <v>#REF!</v>
      </c>
      <c r="C180" t="e">
        <f t="shared" si="65"/>
        <v>#REF!</v>
      </c>
      <c r="D180" t="e">
        <f t="shared" si="69"/>
        <v>#REF!</v>
      </c>
      <c r="E180" t="e">
        <f t="shared" si="70"/>
        <v>#REF!</v>
      </c>
      <c r="F180" t="e">
        <f t="shared" si="71"/>
        <v>#REF!</v>
      </c>
      <c r="G180" t="e">
        <f t="shared" si="66"/>
        <v>#REF!</v>
      </c>
      <c r="J180" t="e">
        <f>Reflection!A180</f>
        <v>#REF!</v>
      </c>
      <c r="K180" t="e">
        <f t="shared" si="72"/>
        <v>#REF!</v>
      </c>
      <c r="L180" t="e">
        <f t="shared" si="94"/>
        <v>#REF!</v>
      </c>
      <c r="M180" t="e">
        <f t="shared" si="73"/>
        <v>#REF!</v>
      </c>
      <c r="N180" t="e">
        <f t="shared" si="74"/>
        <v>#REF!</v>
      </c>
      <c r="O180" t="e">
        <f t="shared" si="75"/>
        <v>#REF!</v>
      </c>
      <c r="P180" t="e">
        <f t="shared" si="76"/>
        <v>#REF!</v>
      </c>
      <c r="S180" t="e">
        <f>Reflection!A180</f>
        <v>#REF!</v>
      </c>
      <c r="T180" t="e">
        <f t="shared" si="77"/>
        <v>#REF!</v>
      </c>
      <c r="U180" t="e">
        <f t="shared" si="78"/>
        <v>#REF!</v>
      </c>
      <c r="V180" t="e">
        <f t="shared" si="79"/>
        <v>#REF!</v>
      </c>
      <c r="W180" t="e">
        <f t="shared" si="80"/>
        <v>#REF!</v>
      </c>
      <c r="X180" t="e">
        <f t="shared" si="81"/>
        <v>#REF!</v>
      </c>
      <c r="Y180" t="e">
        <f t="shared" si="82"/>
        <v>#REF!</v>
      </c>
      <c r="AB180" t="e">
        <f>Reflection!A180</f>
        <v>#REF!</v>
      </c>
      <c r="AC180" t="e">
        <f t="shared" si="83"/>
        <v>#REF!</v>
      </c>
      <c r="AD180" t="e">
        <f t="shared" si="84"/>
        <v>#REF!</v>
      </c>
      <c r="AE180" t="e">
        <f t="shared" si="85"/>
        <v>#REF!</v>
      </c>
      <c r="AF180" t="e">
        <f t="shared" si="86"/>
        <v>#REF!</v>
      </c>
      <c r="AG180" t="e">
        <f t="shared" si="87"/>
        <v>#REF!</v>
      </c>
      <c r="AH180" t="e">
        <f t="shared" si="88"/>
        <v>#REF!</v>
      </c>
      <c r="AK180" t="e">
        <f>Reflection!A180</f>
        <v>#REF!</v>
      </c>
      <c r="AL180" t="e">
        <f t="shared" si="89"/>
        <v>#REF!</v>
      </c>
      <c r="AM180" t="e">
        <f t="shared" si="95"/>
        <v>#REF!</v>
      </c>
      <c r="AN180" t="e">
        <f t="shared" si="90"/>
        <v>#REF!</v>
      </c>
      <c r="AO180" t="e">
        <f t="shared" si="91"/>
        <v>#REF!</v>
      </c>
      <c r="AP180" t="e">
        <f t="shared" si="92"/>
        <v>#REF!</v>
      </c>
      <c r="AQ180" t="e">
        <f t="shared" si="93"/>
        <v>#REF!</v>
      </c>
    </row>
    <row r="181" spans="1:43" x14ac:dyDescent="0.15">
      <c r="A181" t="e">
        <f>Reflection!A181</f>
        <v>#REF!</v>
      </c>
      <c r="B181" t="e">
        <f t="shared" si="64"/>
        <v>#REF!</v>
      </c>
      <c r="C181" t="e">
        <f t="shared" si="65"/>
        <v>#REF!</v>
      </c>
      <c r="D181" t="e">
        <f t="shared" si="69"/>
        <v>#REF!</v>
      </c>
      <c r="E181" t="e">
        <f t="shared" si="70"/>
        <v>#REF!</v>
      </c>
      <c r="F181" t="e">
        <f t="shared" si="71"/>
        <v>#REF!</v>
      </c>
      <c r="G181" t="e">
        <f t="shared" si="66"/>
        <v>#REF!</v>
      </c>
      <c r="J181" t="e">
        <f>Reflection!A181</f>
        <v>#REF!</v>
      </c>
      <c r="K181" t="e">
        <f t="shared" si="72"/>
        <v>#REF!</v>
      </c>
      <c r="L181" t="e">
        <f t="shared" si="94"/>
        <v>#REF!</v>
      </c>
      <c r="M181" t="e">
        <f t="shared" si="73"/>
        <v>#REF!</v>
      </c>
      <c r="N181" t="e">
        <f t="shared" si="74"/>
        <v>#REF!</v>
      </c>
      <c r="O181" t="e">
        <f t="shared" si="75"/>
        <v>#REF!</v>
      </c>
      <c r="P181" t="e">
        <f t="shared" si="76"/>
        <v>#REF!</v>
      </c>
      <c r="S181" t="e">
        <f>Reflection!A181</f>
        <v>#REF!</v>
      </c>
      <c r="T181" t="e">
        <f t="shared" si="77"/>
        <v>#REF!</v>
      </c>
      <c r="U181" t="e">
        <f t="shared" si="78"/>
        <v>#REF!</v>
      </c>
      <c r="V181" t="e">
        <f t="shared" si="79"/>
        <v>#REF!</v>
      </c>
      <c r="W181" t="e">
        <f t="shared" si="80"/>
        <v>#REF!</v>
      </c>
      <c r="X181" t="e">
        <f t="shared" si="81"/>
        <v>#REF!</v>
      </c>
      <c r="Y181" t="e">
        <f t="shared" si="82"/>
        <v>#REF!</v>
      </c>
      <c r="AB181" t="e">
        <f>Reflection!A181</f>
        <v>#REF!</v>
      </c>
      <c r="AC181" t="e">
        <f t="shared" si="83"/>
        <v>#REF!</v>
      </c>
      <c r="AD181" t="e">
        <f t="shared" si="84"/>
        <v>#REF!</v>
      </c>
      <c r="AE181" t="e">
        <f t="shared" si="85"/>
        <v>#REF!</v>
      </c>
      <c r="AF181" t="e">
        <f t="shared" si="86"/>
        <v>#REF!</v>
      </c>
      <c r="AG181" t="e">
        <f t="shared" si="87"/>
        <v>#REF!</v>
      </c>
      <c r="AH181" t="e">
        <f t="shared" si="88"/>
        <v>#REF!</v>
      </c>
      <c r="AK181" t="e">
        <f>Reflection!A181</f>
        <v>#REF!</v>
      </c>
      <c r="AL181" t="e">
        <f t="shared" si="89"/>
        <v>#REF!</v>
      </c>
      <c r="AM181" t="e">
        <f t="shared" si="95"/>
        <v>#REF!</v>
      </c>
      <c r="AN181" t="e">
        <f t="shared" si="90"/>
        <v>#REF!</v>
      </c>
      <c r="AO181" t="e">
        <f t="shared" si="91"/>
        <v>#REF!</v>
      </c>
      <c r="AP181" t="e">
        <f t="shared" si="92"/>
        <v>#REF!</v>
      </c>
      <c r="AQ181" t="e">
        <f t="shared" si="93"/>
        <v>#REF!</v>
      </c>
    </row>
    <row r="182" spans="1:43" x14ac:dyDescent="0.15">
      <c r="A182" t="e">
        <f>Reflection!A182</f>
        <v>#REF!</v>
      </c>
      <c r="B182" t="e">
        <f t="shared" si="64"/>
        <v>#REF!</v>
      </c>
      <c r="C182" t="e">
        <f t="shared" si="65"/>
        <v>#REF!</v>
      </c>
      <c r="D182" t="e">
        <f t="shared" si="69"/>
        <v>#REF!</v>
      </c>
      <c r="E182" t="e">
        <f t="shared" si="70"/>
        <v>#REF!</v>
      </c>
      <c r="F182" t="e">
        <f t="shared" si="71"/>
        <v>#REF!</v>
      </c>
      <c r="G182" t="e">
        <f t="shared" si="66"/>
        <v>#REF!</v>
      </c>
      <c r="J182" t="e">
        <f>Reflection!A182</f>
        <v>#REF!</v>
      </c>
      <c r="K182" t="e">
        <f t="shared" si="72"/>
        <v>#REF!</v>
      </c>
      <c r="L182" t="e">
        <f t="shared" si="94"/>
        <v>#REF!</v>
      </c>
      <c r="M182" t="e">
        <f t="shared" si="73"/>
        <v>#REF!</v>
      </c>
      <c r="N182" t="e">
        <f t="shared" si="74"/>
        <v>#REF!</v>
      </c>
      <c r="O182" t="e">
        <f t="shared" si="75"/>
        <v>#REF!</v>
      </c>
      <c r="P182" t="e">
        <f t="shared" si="76"/>
        <v>#REF!</v>
      </c>
      <c r="S182" t="e">
        <f>Reflection!A182</f>
        <v>#REF!</v>
      </c>
      <c r="T182" t="e">
        <f t="shared" si="77"/>
        <v>#REF!</v>
      </c>
      <c r="U182" t="e">
        <f t="shared" si="78"/>
        <v>#REF!</v>
      </c>
      <c r="V182" t="e">
        <f t="shared" si="79"/>
        <v>#REF!</v>
      </c>
      <c r="W182" t="e">
        <f t="shared" si="80"/>
        <v>#REF!</v>
      </c>
      <c r="X182" t="e">
        <f t="shared" si="81"/>
        <v>#REF!</v>
      </c>
      <c r="Y182" t="e">
        <f t="shared" si="82"/>
        <v>#REF!</v>
      </c>
      <c r="AB182" t="e">
        <f>Reflection!A182</f>
        <v>#REF!</v>
      </c>
      <c r="AC182" t="e">
        <f t="shared" si="83"/>
        <v>#REF!</v>
      </c>
      <c r="AD182" t="e">
        <f t="shared" si="84"/>
        <v>#REF!</v>
      </c>
      <c r="AE182" t="e">
        <f t="shared" si="85"/>
        <v>#REF!</v>
      </c>
      <c r="AF182" t="e">
        <f t="shared" si="86"/>
        <v>#REF!</v>
      </c>
      <c r="AG182" t="e">
        <f t="shared" si="87"/>
        <v>#REF!</v>
      </c>
      <c r="AH182" t="e">
        <f t="shared" si="88"/>
        <v>#REF!</v>
      </c>
      <c r="AK182" t="e">
        <f>Reflection!A182</f>
        <v>#REF!</v>
      </c>
      <c r="AL182" t="e">
        <f t="shared" si="89"/>
        <v>#REF!</v>
      </c>
      <c r="AM182" t="e">
        <f t="shared" si="95"/>
        <v>#REF!</v>
      </c>
      <c r="AN182" t="e">
        <f t="shared" si="90"/>
        <v>#REF!</v>
      </c>
      <c r="AO182" t="e">
        <f t="shared" si="91"/>
        <v>#REF!</v>
      </c>
      <c r="AP182" t="e">
        <f t="shared" si="92"/>
        <v>#REF!</v>
      </c>
      <c r="AQ182" t="e">
        <f t="shared" si="93"/>
        <v>#REF!</v>
      </c>
    </row>
    <row r="183" spans="1:43" x14ac:dyDescent="0.15">
      <c r="A183" t="e">
        <f>Reflection!A183</f>
        <v>#REF!</v>
      </c>
      <c r="B183" t="e">
        <f t="shared" si="64"/>
        <v>#REF!</v>
      </c>
      <c r="C183" t="e">
        <f t="shared" si="65"/>
        <v>#REF!</v>
      </c>
      <c r="D183" t="e">
        <f t="shared" si="69"/>
        <v>#REF!</v>
      </c>
      <c r="E183" t="e">
        <f t="shared" si="70"/>
        <v>#REF!</v>
      </c>
      <c r="F183" t="e">
        <f t="shared" si="71"/>
        <v>#REF!</v>
      </c>
      <c r="G183" t="e">
        <f t="shared" si="66"/>
        <v>#REF!</v>
      </c>
      <c r="J183" t="e">
        <f>Reflection!A183</f>
        <v>#REF!</v>
      </c>
      <c r="K183" t="e">
        <f t="shared" si="72"/>
        <v>#REF!</v>
      </c>
      <c r="L183" t="e">
        <f t="shared" si="94"/>
        <v>#REF!</v>
      </c>
      <c r="M183" t="e">
        <f t="shared" si="73"/>
        <v>#REF!</v>
      </c>
      <c r="N183" t="e">
        <f t="shared" si="74"/>
        <v>#REF!</v>
      </c>
      <c r="O183" t="e">
        <f t="shared" si="75"/>
        <v>#REF!</v>
      </c>
      <c r="P183" t="e">
        <f t="shared" si="76"/>
        <v>#REF!</v>
      </c>
      <c r="S183" t="e">
        <f>Reflection!A183</f>
        <v>#REF!</v>
      </c>
      <c r="T183" t="e">
        <f t="shared" si="77"/>
        <v>#REF!</v>
      </c>
      <c r="U183" t="e">
        <f t="shared" si="78"/>
        <v>#REF!</v>
      </c>
      <c r="V183" t="e">
        <f t="shared" si="79"/>
        <v>#REF!</v>
      </c>
      <c r="W183" t="e">
        <f t="shared" si="80"/>
        <v>#REF!</v>
      </c>
      <c r="X183" t="e">
        <f t="shared" si="81"/>
        <v>#REF!</v>
      </c>
      <c r="Y183" t="e">
        <f t="shared" si="82"/>
        <v>#REF!</v>
      </c>
      <c r="AB183" t="e">
        <f>Reflection!A183</f>
        <v>#REF!</v>
      </c>
      <c r="AC183" t="e">
        <f t="shared" si="83"/>
        <v>#REF!</v>
      </c>
      <c r="AD183" t="e">
        <f t="shared" si="84"/>
        <v>#REF!</v>
      </c>
      <c r="AE183" t="e">
        <f t="shared" si="85"/>
        <v>#REF!</v>
      </c>
      <c r="AF183" t="e">
        <f t="shared" si="86"/>
        <v>#REF!</v>
      </c>
      <c r="AG183" t="e">
        <f t="shared" si="87"/>
        <v>#REF!</v>
      </c>
      <c r="AH183" t="e">
        <f t="shared" si="88"/>
        <v>#REF!</v>
      </c>
      <c r="AK183" t="e">
        <f>Reflection!A183</f>
        <v>#REF!</v>
      </c>
      <c r="AL183" t="e">
        <f t="shared" si="89"/>
        <v>#REF!</v>
      </c>
      <c r="AM183" t="e">
        <f t="shared" si="95"/>
        <v>#REF!</v>
      </c>
      <c r="AN183" t="e">
        <f t="shared" si="90"/>
        <v>#REF!</v>
      </c>
      <c r="AO183" t="e">
        <f t="shared" si="91"/>
        <v>#REF!</v>
      </c>
      <c r="AP183" t="e">
        <f t="shared" si="92"/>
        <v>#REF!</v>
      </c>
      <c r="AQ183" t="e">
        <f t="shared" si="93"/>
        <v>#REF!</v>
      </c>
    </row>
    <row r="184" spans="1:43" x14ac:dyDescent="0.15">
      <c r="A184" t="e">
        <f>Reflection!A184</f>
        <v>#REF!</v>
      </c>
      <c r="B184" t="e">
        <f t="shared" si="64"/>
        <v>#REF!</v>
      </c>
      <c r="C184" t="e">
        <f t="shared" si="65"/>
        <v>#REF!</v>
      </c>
      <c r="D184" t="e">
        <f t="shared" si="69"/>
        <v>#REF!</v>
      </c>
      <c r="E184" t="e">
        <f t="shared" si="70"/>
        <v>#REF!</v>
      </c>
      <c r="F184" t="e">
        <f t="shared" si="71"/>
        <v>#REF!</v>
      </c>
      <c r="G184" t="e">
        <f t="shared" si="66"/>
        <v>#REF!</v>
      </c>
      <c r="J184" t="e">
        <f>Reflection!A184</f>
        <v>#REF!</v>
      </c>
      <c r="K184" t="e">
        <f t="shared" si="72"/>
        <v>#REF!</v>
      </c>
      <c r="L184" t="e">
        <f t="shared" si="94"/>
        <v>#REF!</v>
      </c>
      <c r="M184" t="e">
        <f t="shared" si="73"/>
        <v>#REF!</v>
      </c>
      <c r="N184" t="e">
        <f t="shared" si="74"/>
        <v>#REF!</v>
      </c>
      <c r="O184" t="e">
        <f t="shared" si="75"/>
        <v>#REF!</v>
      </c>
      <c r="P184" t="e">
        <f t="shared" si="76"/>
        <v>#REF!</v>
      </c>
      <c r="S184" t="e">
        <f>Reflection!A184</f>
        <v>#REF!</v>
      </c>
      <c r="T184" t="e">
        <f t="shared" si="77"/>
        <v>#REF!</v>
      </c>
      <c r="U184" t="e">
        <f t="shared" si="78"/>
        <v>#REF!</v>
      </c>
      <c r="V184" t="e">
        <f t="shared" si="79"/>
        <v>#REF!</v>
      </c>
      <c r="W184" t="e">
        <f t="shared" si="80"/>
        <v>#REF!</v>
      </c>
      <c r="X184" t="e">
        <f t="shared" si="81"/>
        <v>#REF!</v>
      </c>
      <c r="Y184" t="e">
        <f t="shared" si="82"/>
        <v>#REF!</v>
      </c>
      <c r="AB184" t="e">
        <f>Reflection!A184</f>
        <v>#REF!</v>
      </c>
      <c r="AC184" t="e">
        <f t="shared" si="83"/>
        <v>#REF!</v>
      </c>
      <c r="AD184" t="e">
        <f t="shared" si="84"/>
        <v>#REF!</v>
      </c>
      <c r="AE184" t="e">
        <f t="shared" si="85"/>
        <v>#REF!</v>
      </c>
      <c r="AF184" t="e">
        <f t="shared" si="86"/>
        <v>#REF!</v>
      </c>
      <c r="AG184" t="e">
        <f t="shared" si="87"/>
        <v>#REF!</v>
      </c>
      <c r="AH184" t="e">
        <f t="shared" si="88"/>
        <v>#REF!</v>
      </c>
      <c r="AK184" t="e">
        <f>Reflection!A184</f>
        <v>#REF!</v>
      </c>
      <c r="AL184" t="e">
        <f t="shared" si="89"/>
        <v>#REF!</v>
      </c>
      <c r="AM184" t="e">
        <f t="shared" si="95"/>
        <v>#REF!</v>
      </c>
      <c r="AN184" t="e">
        <f t="shared" si="90"/>
        <v>#REF!</v>
      </c>
      <c r="AO184" t="e">
        <f t="shared" si="91"/>
        <v>#REF!</v>
      </c>
      <c r="AP184" t="e">
        <f t="shared" si="92"/>
        <v>#REF!</v>
      </c>
      <c r="AQ184" t="e">
        <f t="shared" si="93"/>
        <v>#REF!</v>
      </c>
    </row>
    <row r="185" spans="1:43" x14ac:dyDescent="0.15">
      <c r="A185" t="e">
        <f>Reflection!A185</f>
        <v>#REF!</v>
      </c>
      <c r="B185" t="e">
        <f t="shared" si="64"/>
        <v>#REF!</v>
      </c>
      <c r="C185" t="e">
        <f t="shared" si="65"/>
        <v>#REF!</v>
      </c>
      <c r="D185" t="e">
        <f t="shared" si="69"/>
        <v>#REF!</v>
      </c>
      <c r="E185" t="e">
        <f t="shared" si="70"/>
        <v>#REF!</v>
      </c>
      <c r="F185" t="e">
        <f t="shared" si="71"/>
        <v>#REF!</v>
      </c>
      <c r="G185" t="e">
        <f t="shared" si="66"/>
        <v>#REF!</v>
      </c>
      <c r="J185" t="e">
        <f>Reflection!A185</f>
        <v>#REF!</v>
      </c>
      <c r="K185" t="e">
        <f t="shared" si="72"/>
        <v>#REF!</v>
      </c>
      <c r="L185" t="e">
        <f t="shared" si="94"/>
        <v>#REF!</v>
      </c>
      <c r="M185" t="e">
        <f t="shared" si="73"/>
        <v>#REF!</v>
      </c>
      <c r="N185" t="e">
        <f t="shared" si="74"/>
        <v>#REF!</v>
      </c>
      <c r="O185" t="e">
        <f t="shared" si="75"/>
        <v>#REF!</v>
      </c>
      <c r="P185" t="e">
        <f t="shared" si="76"/>
        <v>#REF!</v>
      </c>
      <c r="S185" t="e">
        <f>Reflection!A185</f>
        <v>#REF!</v>
      </c>
      <c r="T185" t="e">
        <f t="shared" si="77"/>
        <v>#REF!</v>
      </c>
      <c r="U185" t="e">
        <f t="shared" si="78"/>
        <v>#REF!</v>
      </c>
      <c r="V185" t="e">
        <f t="shared" si="79"/>
        <v>#REF!</v>
      </c>
      <c r="W185" t="e">
        <f t="shared" si="80"/>
        <v>#REF!</v>
      </c>
      <c r="X185" t="e">
        <f t="shared" si="81"/>
        <v>#REF!</v>
      </c>
      <c r="Y185" t="e">
        <f t="shared" si="82"/>
        <v>#REF!</v>
      </c>
      <c r="AB185" t="e">
        <f>Reflection!A185</f>
        <v>#REF!</v>
      </c>
      <c r="AC185" t="e">
        <f t="shared" si="83"/>
        <v>#REF!</v>
      </c>
      <c r="AD185" t="e">
        <f t="shared" si="84"/>
        <v>#REF!</v>
      </c>
      <c r="AE185" t="e">
        <f t="shared" si="85"/>
        <v>#REF!</v>
      </c>
      <c r="AF185" t="e">
        <f t="shared" si="86"/>
        <v>#REF!</v>
      </c>
      <c r="AG185" t="e">
        <f t="shared" si="87"/>
        <v>#REF!</v>
      </c>
      <c r="AH185" t="e">
        <f t="shared" si="88"/>
        <v>#REF!</v>
      </c>
      <c r="AK185" t="e">
        <f>Reflection!A185</f>
        <v>#REF!</v>
      </c>
      <c r="AL185" t="e">
        <f t="shared" si="89"/>
        <v>#REF!</v>
      </c>
      <c r="AM185" t="e">
        <f t="shared" si="95"/>
        <v>#REF!</v>
      </c>
      <c r="AN185" t="e">
        <f t="shared" si="90"/>
        <v>#REF!</v>
      </c>
      <c r="AO185" t="e">
        <f t="shared" si="91"/>
        <v>#REF!</v>
      </c>
      <c r="AP185" t="e">
        <f t="shared" si="92"/>
        <v>#REF!</v>
      </c>
      <c r="AQ185" t="e">
        <f t="shared" si="93"/>
        <v>#REF!</v>
      </c>
    </row>
    <row r="186" spans="1:43" x14ac:dyDescent="0.15">
      <c r="A186" t="e">
        <f>Reflection!A186</f>
        <v>#REF!</v>
      </c>
      <c r="B186" t="e">
        <f t="shared" si="64"/>
        <v>#REF!</v>
      </c>
      <c r="C186" t="e">
        <f t="shared" si="65"/>
        <v>#REF!</v>
      </c>
      <c r="D186" t="e">
        <f t="shared" si="69"/>
        <v>#REF!</v>
      </c>
      <c r="E186" t="e">
        <f t="shared" si="70"/>
        <v>#REF!</v>
      </c>
      <c r="F186" t="e">
        <f t="shared" si="71"/>
        <v>#REF!</v>
      </c>
      <c r="G186" t="e">
        <f t="shared" si="66"/>
        <v>#REF!</v>
      </c>
      <c r="J186" t="e">
        <f>Reflection!A186</f>
        <v>#REF!</v>
      </c>
      <c r="K186" t="e">
        <f t="shared" si="72"/>
        <v>#REF!</v>
      </c>
      <c r="L186" t="e">
        <f t="shared" si="94"/>
        <v>#REF!</v>
      </c>
      <c r="M186" t="e">
        <f t="shared" si="73"/>
        <v>#REF!</v>
      </c>
      <c r="N186" t="e">
        <f t="shared" si="74"/>
        <v>#REF!</v>
      </c>
      <c r="O186" t="e">
        <f t="shared" si="75"/>
        <v>#REF!</v>
      </c>
      <c r="P186" t="e">
        <f t="shared" si="76"/>
        <v>#REF!</v>
      </c>
      <c r="S186" t="e">
        <f>Reflection!A186</f>
        <v>#REF!</v>
      </c>
      <c r="T186" t="e">
        <f t="shared" si="77"/>
        <v>#REF!</v>
      </c>
      <c r="U186" t="e">
        <f t="shared" si="78"/>
        <v>#REF!</v>
      </c>
      <c r="V186" t="e">
        <f t="shared" si="79"/>
        <v>#REF!</v>
      </c>
      <c r="W186" t="e">
        <f t="shared" si="80"/>
        <v>#REF!</v>
      </c>
      <c r="X186" t="e">
        <f t="shared" si="81"/>
        <v>#REF!</v>
      </c>
      <c r="Y186" t="e">
        <f t="shared" si="82"/>
        <v>#REF!</v>
      </c>
      <c r="AB186" t="e">
        <f>Reflection!A186</f>
        <v>#REF!</v>
      </c>
      <c r="AC186" t="e">
        <f t="shared" si="83"/>
        <v>#REF!</v>
      </c>
      <c r="AD186" t="e">
        <f t="shared" si="84"/>
        <v>#REF!</v>
      </c>
      <c r="AE186" t="e">
        <f t="shared" si="85"/>
        <v>#REF!</v>
      </c>
      <c r="AF186" t="e">
        <f t="shared" si="86"/>
        <v>#REF!</v>
      </c>
      <c r="AG186" t="e">
        <f t="shared" si="87"/>
        <v>#REF!</v>
      </c>
      <c r="AH186" t="e">
        <f t="shared" si="88"/>
        <v>#REF!</v>
      </c>
      <c r="AK186" t="e">
        <f>Reflection!A186</f>
        <v>#REF!</v>
      </c>
      <c r="AL186" t="e">
        <f t="shared" si="89"/>
        <v>#REF!</v>
      </c>
      <c r="AM186" t="e">
        <f t="shared" si="95"/>
        <v>#REF!</v>
      </c>
      <c r="AN186" t="e">
        <f t="shared" si="90"/>
        <v>#REF!</v>
      </c>
      <c r="AO186" t="e">
        <f t="shared" si="91"/>
        <v>#REF!</v>
      </c>
      <c r="AP186" t="e">
        <f t="shared" si="92"/>
        <v>#REF!</v>
      </c>
      <c r="AQ186" t="e">
        <f t="shared" si="93"/>
        <v>#REF!</v>
      </c>
    </row>
    <row r="187" spans="1:43" x14ac:dyDescent="0.15">
      <c r="A187" t="e">
        <f>Reflection!A187</f>
        <v>#REF!</v>
      </c>
      <c r="B187" t="e">
        <f t="shared" si="64"/>
        <v>#REF!</v>
      </c>
      <c r="C187" t="e">
        <f t="shared" si="65"/>
        <v>#REF!</v>
      </c>
      <c r="D187" t="e">
        <f t="shared" si="69"/>
        <v>#REF!</v>
      </c>
      <c r="E187" t="e">
        <f t="shared" si="70"/>
        <v>#REF!</v>
      </c>
      <c r="F187" t="e">
        <f t="shared" si="71"/>
        <v>#REF!</v>
      </c>
      <c r="G187" t="e">
        <f t="shared" si="66"/>
        <v>#REF!</v>
      </c>
      <c r="J187" t="e">
        <f>Reflection!A187</f>
        <v>#REF!</v>
      </c>
      <c r="K187" t="e">
        <f t="shared" si="72"/>
        <v>#REF!</v>
      </c>
      <c r="L187" t="e">
        <f t="shared" si="94"/>
        <v>#REF!</v>
      </c>
      <c r="M187" t="e">
        <f t="shared" si="73"/>
        <v>#REF!</v>
      </c>
      <c r="N187" t="e">
        <f t="shared" si="74"/>
        <v>#REF!</v>
      </c>
      <c r="O187" t="e">
        <f t="shared" si="75"/>
        <v>#REF!</v>
      </c>
      <c r="P187" t="e">
        <f t="shared" si="76"/>
        <v>#REF!</v>
      </c>
      <c r="S187" t="e">
        <f>Reflection!A187</f>
        <v>#REF!</v>
      </c>
      <c r="T187" t="e">
        <f t="shared" si="77"/>
        <v>#REF!</v>
      </c>
      <c r="U187" t="e">
        <f t="shared" si="78"/>
        <v>#REF!</v>
      </c>
      <c r="V187" t="e">
        <f t="shared" si="79"/>
        <v>#REF!</v>
      </c>
      <c r="W187" t="e">
        <f t="shared" si="80"/>
        <v>#REF!</v>
      </c>
      <c r="X187" t="e">
        <f t="shared" si="81"/>
        <v>#REF!</v>
      </c>
      <c r="Y187" t="e">
        <f t="shared" si="82"/>
        <v>#REF!</v>
      </c>
      <c r="AB187" t="e">
        <f>Reflection!A187</f>
        <v>#REF!</v>
      </c>
      <c r="AC187" t="e">
        <f t="shared" si="83"/>
        <v>#REF!</v>
      </c>
      <c r="AD187" t="e">
        <f t="shared" si="84"/>
        <v>#REF!</v>
      </c>
      <c r="AE187" t="e">
        <f t="shared" si="85"/>
        <v>#REF!</v>
      </c>
      <c r="AF187" t="e">
        <f t="shared" si="86"/>
        <v>#REF!</v>
      </c>
      <c r="AG187" t="e">
        <f t="shared" si="87"/>
        <v>#REF!</v>
      </c>
      <c r="AH187" t="e">
        <f t="shared" si="88"/>
        <v>#REF!</v>
      </c>
      <c r="AK187" t="e">
        <f>Reflection!A187</f>
        <v>#REF!</v>
      </c>
      <c r="AL187" t="e">
        <f t="shared" si="89"/>
        <v>#REF!</v>
      </c>
      <c r="AM187" t="e">
        <f t="shared" si="95"/>
        <v>#REF!</v>
      </c>
      <c r="AN187" t="e">
        <f t="shared" si="90"/>
        <v>#REF!</v>
      </c>
      <c r="AO187" t="e">
        <f t="shared" si="91"/>
        <v>#REF!</v>
      </c>
      <c r="AP187" t="e">
        <f t="shared" si="92"/>
        <v>#REF!</v>
      </c>
      <c r="AQ187" t="e">
        <f t="shared" si="93"/>
        <v>#REF!</v>
      </c>
    </row>
    <row r="188" spans="1:43" x14ac:dyDescent="0.15">
      <c r="A188" t="e">
        <f>Reflection!A188</f>
        <v>#REF!</v>
      </c>
      <c r="B188" t="e">
        <f t="shared" si="64"/>
        <v>#REF!</v>
      </c>
      <c r="C188" t="e">
        <f t="shared" si="65"/>
        <v>#REF!</v>
      </c>
      <c r="D188" t="e">
        <f t="shared" si="69"/>
        <v>#REF!</v>
      </c>
      <c r="E188" t="e">
        <f t="shared" si="70"/>
        <v>#REF!</v>
      </c>
      <c r="F188" t="e">
        <f t="shared" si="71"/>
        <v>#REF!</v>
      </c>
      <c r="G188" t="e">
        <f t="shared" si="66"/>
        <v>#REF!</v>
      </c>
      <c r="J188" t="e">
        <f>Reflection!A188</f>
        <v>#REF!</v>
      </c>
      <c r="K188" t="e">
        <f t="shared" si="72"/>
        <v>#REF!</v>
      </c>
      <c r="L188" t="e">
        <f t="shared" si="94"/>
        <v>#REF!</v>
      </c>
      <c r="M188" t="e">
        <f t="shared" si="73"/>
        <v>#REF!</v>
      </c>
      <c r="N188" t="e">
        <f t="shared" si="74"/>
        <v>#REF!</v>
      </c>
      <c r="O188" t="e">
        <f t="shared" si="75"/>
        <v>#REF!</v>
      </c>
      <c r="P188" t="e">
        <f t="shared" si="76"/>
        <v>#REF!</v>
      </c>
      <c r="S188" t="e">
        <f>Reflection!A188</f>
        <v>#REF!</v>
      </c>
      <c r="T188" t="e">
        <f t="shared" si="77"/>
        <v>#REF!</v>
      </c>
      <c r="U188" t="e">
        <f t="shared" si="78"/>
        <v>#REF!</v>
      </c>
      <c r="V188" t="e">
        <f t="shared" si="79"/>
        <v>#REF!</v>
      </c>
      <c r="W188" t="e">
        <f t="shared" si="80"/>
        <v>#REF!</v>
      </c>
      <c r="X188" t="e">
        <f t="shared" si="81"/>
        <v>#REF!</v>
      </c>
      <c r="Y188" t="e">
        <f t="shared" si="82"/>
        <v>#REF!</v>
      </c>
      <c r="AB188" t="e">
        <f>Reflection!A188</f>
        <v>#REF!</v>
      </c>
      <c r="AC188" t="e">
        <f t="shared" si="83"/>
        <v>#REF!</v>
      </c>
      <c r="AD188" t="e">
        <f t="shared" si="84"/>
        <v>#REF!</v>
      </c>
      <c r="AE188" t="e">
        <f t="shared" si="85"/>
        <v>#REF!</v>
      </c>
      <c r="AF188" t="e">
        <f t="shared" si="86"/>
        <v>#REF!</v>
      </c>
      <c r="AG188" t="e">
        <f t="shared" si="87"/>
        <v>#REF!</v>
      </c>
      <c r="AH188" t="e">
        <f t="shared" si="88"/>
        <v>#REF!</v>
      </c>
      <c r="AK188" t="e">
        <f>Reflection!A188</f>
        <v>#REF!</v>
      </c>
      <c r="AL188" t="e">
        <f t="shared" si="89"/>
        <v>#REF!</v>
      </c>
      <c r="AM188" t="e">
        <f t="shared" si="95"/>
        <v>#REF!</v>
      </c>
      <c r="AN188" t="e">
        <f t="shared" si="90"/>
        <v>#REF!</v>
      </c>
      <c r="AO188" t="e">
        <f t="shared" si="91"/>
        <v>#REF!</v>
      </c>
      <c r="AP188" t="e">
        <f t="shared" si="92"/>
        <v>#REF!</v>
      </c>
      <c r="AQ188" t="e">
        <f t="shared" si="93"/>
        <v>#REF!</v>
      </c>
    </row>
    <row r="189" spans="1:43" x14ac:dyDescent="0.15">
      <c r="A189" t="e">
        <f>Reflection!A189</f>
        <v>#REF!</v>
      </c>
      <c r="B189" t="e">
        <f t="shared" si="64"/>
        <v>#REF!</v>
      </c>
      <c r="C189" t="e">
        <f t="shared" si="65"/>
        <v>#REF!</v>
      </c>
      <c r="D189" t="e">
        <f t="shared" si="69"/>
        <v>#REF!</v>
      </c>
      <c r="E189" t="e">
        <f t="shared" si="70"/>
        <v>#REF!</v>
      </c>
      <c r="F189" t="e">
        <f t="shared" si="71"/>
        <v>#REF!</v>
      </c>
      <c r="G189" t="e">
        <f t="shared" si="66"/>
        <v>#REF!</v>
      </c>
      <c r="J189" t="e">
        <f>Reflection!A189</f>
        <v>#REF!</v>
      </c>
      <c r="K189" t="e">
        <f t="shared" si="72"/>
        <v>#REF!</v>
      </c>
      <c r="L189" t="e">
        <f t="shared" si="94"/>
        <v>#REF!</v>
      </c>
      <c r="M189" t="e">
        <f t="shared" si="73"/>
        <v>#REF!</v>
      </c>
      <c r="N189" t="e">
        <f t="shared" si="74"/>
        <v>#REF!</v>
      </c>
      <c r="O189" t="e">
        <f t="shared" si="75"/>
        <v>#REF!</v>
      </c>
      <c r="P189" t="e">
        <f t="shared" si="76"/>
        <v>#REF!</v>
      </c>
      <c r="S189" t="e">
        <f>Reflection!A189</f>
        <v>#REF!</v>
      </c>
      <c r="T189" t="e">
        <f t="shared" si="77"/>
        <v>#REF!</v>
      </c>
      <c r="U189" t="e">
        <f t="shared" si="78"/>
        <v>#REF!</v>
      </c>
      <c r="V189" t="e">
        <f t="shared" si="79"/>
        <v>#REF!</v>
      </c>
      <c r="W189" t="e">
        <f t="shared" si="80"/>
        <v>#REF!</v>
      </c>
      <c r="X189" t="e">
        <f t="shared" si="81"/>
        <v>#REF!</v>
      </c>
      <c r="Y189" t="e">
        <f t="shared" si="82"/>
        <v>#REF!</v>
      </c>
      <c r="AB189" t="e">
        <f>Reflection!A189</f>
        <v>#REF!</v>
      </c>
      <c r="AC189" t="e">
        <f t="shared" si="83"/>
        <v>#REF!</v>
      </c>
      <c r="AD189" t="e">
        <f t="shared" si="84"/>
        <v>#REF!</v>
      </c>
      <c r="AE189" t="e">
        <f t="shared" si="85"/>
        <v>#REF!</v>
      </c>
      <c r="AF189" t="e">
        <f t="shared" si="86"/>
        <v>#REF!</v>
      </c>
      <c r="AG189" t="e">
        <f t="shared" si="87"/>
        <v>#REF!</v>
      </c>
      <c r="AH189" t="e">
        <f t="shared" si="88"/>
        <v>#REF!</v>
      </c>
      <c r="AK189" t="e">
        <f>Reflection!A189</f>
        <v>#REF!</v>
      </c>
      <c r="AL189" t="e">
        <f t="shared" si="89"/>
        <v>#REF!</v>
      </c>
      <c r="AM189" t="e">
        <f t="shared" si="95"/>
        <v>#REF!</v>
      </c>
      <c r="AN189" t="e">
        <f t="shared" si="90"/>
        <v>#REF!</v>
      </c>
      <c r="AO189" t="e">
        <f t="shared" si="91"/>
        <v>#REF!</v>
      </c>
      <c r="AP189" t="e">
        <f t="shared" si="92"/>
        <v>#REF!</v>
      </c>
      <c r="AQ189" t="e">
        <f t="shared" si="93"/>
        <v>#REF!</v>
      </c>
    </row>
    <row r="190" spans="1:43" x14ac:dyDescent="0.15">
      <c r="A190" t="e">
        <f>Reflection!A190</f>
        <v>#REF!</v>
      </c>
      <c r="B190" t="e">
        <f t="shared" si="64"/>
        <v>#REF!</v>
      </c>
      <c r="C190" t="e">
        <f t="shared" si="65"/>
        <v>#REF!</v>
      </c>
      <c r="D190" t="e">
        <f t="shared" si="69"/>
        <v>#REF!</v>
      </c>
      <c r="E190" t="e">
        <f t="shared" si="70"/>
        <v>#REF!</v>
      </c>
      <c r="F190" t="e">
        <f t="shared" si="71"/>
        <v>#REF!</v>
      </c>
      <c r="G190" t="e">
        <f t="shared" si="66"/>
        <v>#REF!</v>
      </c>
      <c r="J190" t="e">
        <f>Reflection!A190</f>
        <v>#REF!</v>
      </c>
      <c r="K190" t="e">
        <f t="shared" si="72"/>
        <v>#REF!</v>
      </c>
      <c r="L190" t="e">
        <f t="shared" si="94"/>
        <v>#REF!</v>
      </c>
      <c r="M190" t="e">
        <f t="shared" si="73"/>
        <v>#REF!</v>
      </c>
      <c r="N190" t="e">
        <f t="shared" si="74"/>
        <v>#REF!</v>
      </c>
      <c r="O190" t="e">
        <f t="shared" si="75"/>
        <v>#REF!</v>
      </c>
      <c r="P190" t="e">
        <f t="shared" si="76"/>
        <v>#REF!</v>
      </c>
      <c r="S190" t="e">
        <f>Reflection!A190</f>
        <v>#REF!</v>
      </c>
      <c r="T190" t="e">
        <f t="shared" si="77"/>
        <v>#REF!</v>
      </c>
      <c r="U190" t="e">
        <f t="shared" si="78"/>
        <v>#REF!</v>
      </c>
      <c r="V190" t="e">
        <f t="shared" si="79"/>
        <v>#REF!</v>
      </c>
      <c r="W190" t="e">
        <f t="shared" si="80"/>
        <v>#REF!</v>
      </c>
      <c r="X190" t="e">
        <f t="shared" si="81"/>
        <v>#REF!</v>
      </c>
      <c r="Y190" t="e">
        <f t="shared" si="82"/>
        <v>#REF!</v>
      </c>
      <c r="AB190" t="e">
        <f>Reflection!A190</f>
        <v>#REF!</v>
      </c>
      <c r="AC190" t="e">
        <f t="shared" si="83"/>
        <v>#REF!</v>
      </c>
      <c r="AD190" t="e">
        <f t="shared" si="84"/>
        <v>#REF!</v>
      </c>
      <c r="AE190" t="e">
        <f t="shared" si="85"/>
        <v>#REF!</v>
      </c>
      <c r="AF190" t="e">
        <f t="shared" si="86"/>
        <v>#REF!</v>
      </c>
      <c r="AG190" t="e">
        <f t="shared" si="87"/>
        <v>#REF!</v>
      </c>
      <c r="AH190" t="e">
        <f t="shared" si="88"/>
        <v>#REF!</v>
      </c>
      <c r="AK190" t="e">
        <f>Reflection!A190</f>
        <v>#REF!</v>
      </c>
      <c r="AL190" t="e">
        <f t="shared" si="89"/>
        <v>#REF!</v>
      </c>
      <c r="AM190" t="e">
        <f t="shared" si="95"/>
        <v>#REF!</v>
      </c>
      <c r="AN190" t="e">
        <f t="shared" si="90"/>
        <v>#REF!</v>
      </c>
      <c r="AO190" t="e">
        <f t="shared" si="91"/>
        <v>#REF!</v>
      </c>
      <c r="AP190" t="e">
        <f t="shared" si="92"/>
        <v>#REF!</v>
      </c>
      <c r="AQ190" t="e">
        <f t="shared" si="93"/>
        <v>#REF!</v>
      </c>
    </row>
    <row r="191" spans="1:43" x14ac:dyDescent="0.15">
      <c r="A191" t="e">
        <f>Reflection!A191</f>
        <v>#REF!</v>
      </c>
      <c r="B191" t="e">
        <f t="shared" si="64"/>
        <v>#REF!</v>
      </c>
      <c r="C191" t="e">
        <f t="shared" si="65"/>
        <v>#REF!</v>
      </c>
      <c r="D191" t="e">
        <f t="shared" si="69"/>
        <v>#REF!</v>
      </c>
      <c r="E191" t="e">
        <f t="shared" si="70"/>
        <v>#REF!</v>
      </c>
      <c r="F191" t="e">
        <f t="shared" si="71"/>
        <v>#REF!</v>
      </c>
      <c r="G191" t="e">
        <f t="shared" si="66"/>
        <v>#REF!</v>
      </c>
      <c r="J191" t="e">
        <f>Reflection!A191</f>
        <v>#REF!</v>
      </c>
      <c r="K191" t="e">
        <f t="shared" si="72"/>
        <v>#REF!</v>
      </c>
      <c r="L191" t="e">
        <f t="shared" si="94"/>
        <v>#REF!</v>
      </c>
      <c r="M191" t="e">
        <f t="shared" si="73"/>
        <v>#REF!</v>
      </c>
      <c r="N191" t="e">
        <f t="shared" si="74"/>
        <v>#REF!</v>
      </c>
      <c r="O191" t="e">
        <f t="shared" si="75"/>
        <v>#REF!</v>
      </c>
      <c r="P191" t="e">
        <f t="shared" si="76"/>
        <v>#REF!</v>
      </c>
      <c r="S191" t="e">
        <f>Reflection!A191</f>
        <v>#REF!</v>
      </c>
      <c r="T191" t="e">
        <f t="shared" si="77"/>
        <v>#REF!</v>
      </c>
      <c r="U191" t="e">
        <f t="shared" si="78"/>
        <v>#REF!</v>
      </c>
      <c r="V191" t="e">
        <f t="shared" si="79"/>
        <v>#REF!</v>
      </c>
      <c r="W191" t="e">
        <f t="shared" si="80"/>
        <v>#REF!</v>
      </c>
      <c r="X191" t="e">
        <f t="shared" si="81"/>
        <v>#REF!</v>
      </c>
      <c r="Y191" t="e">
        <f t="shared" si="82"/>
        <v>#REF!</v>
      </c>
      <c r="AB191" t="e">
        <f>Reflection!A191</f>
        <v>#REF!</v>
      </c>
      <c r="AC191" t="e">
        <f t="shared" si="83"/>
        <v>#REF!</v>
      </c>
      <c r="AD191" t="e">
        <f t="shared" si="84"/>
        <v>#REF!</v>
      </c>
      <c r="AE191" t="e">
        <f t="shared" si="85"/>
        <v>#REF!</v>
      </c>
      <c r="AF191" t="e">
        <f t="shared" si="86"/>
        <v>#REF!</v>
      </c>
      <c r="AG191" t="e">
        <f t="shared" si="87"/>
        <v>#REF!</v>
      </c>
      <c r="AH191" t="e">
        <f t="shared" si="88"/>
        <v>#REF!</v>
      </c>
      <c r="AK191" t="e">
        <f>Reflection!A191</f>
        <v>#REF!</v>
      </c>
      <c r="AL191" t="e">
        <f t="shared" si="89"/>
        <v>#REF!</v>
      </c>
      <c r="AM191" t="e">
        <f t="shared" si="95"/>
        <v>#REF!</v>
      </c>
      <c r="AN191" t="e">
        <f t="shared" si="90"/>
        <v>#REF!</v>
      </c>
      <c r="AO191" t="e">
        <f t="shared" si="91"/>
        <v>#REF!</v>
      </c>
      <c r="AP191" t="e">
        <f t="shared" si="92"/>
        <v>#REF!</v>
      </c>
      <c r="AQ191" t="e">
        <f t="shared" si="93"/>
        <v>#REF!</v>
      </c>
    </row>
    <row r="192" spans="1:43" x14ac:dyDescent="0.15">
      <c r="A192" t="e">
        <f>Reflection!A192</f>
        <v>#REF!</v>
      </c>
      <c r="B192" t="e">
        <f t="shared" si="64"/>
        <v>#REF!</v>
      </c>
      <c r="C192" t="e">
        <f t="shared" si="65"/>
        <v>#REF!</v>
      </c>
      <c r="D192" t="e">
        <f t="shared" si="69"/>
        <v>#REF!</v>
      </c>
      <c r="E192" t="e">
        <f t="shared" si="70"/>
        <v>#REF!</v>
      </c>
      <c r="F192" t="e">
        <f t="shared" si="71"/>
        <v>#REF!</v>
      </c>
      <c r="G192" t="e">
        <f t="shared" si="66"/>
        <v>#REF!</v>
      </c>
      <c r="J192" t="e">
        <f>Reflection!A192</f>
        <v>#REF!</v>
      </c>
      <c r="K192" t="e">
        <f t="shared" si="72"/>
        <v>#REF!</v>
      </c>
      <c r="L192" t="e">
        <f t="shared" si="94"/>
        <v>#REF!</v>
      </c>
      <c r="M192" t="e">
        <f t="shared" si="73"/>
        <v>#REF!</v>
      </c>
      <c r="N192" t="e">
        <f t="shared" si="74"/>
        <v>#REF!</v>
      </c>
      <c r="O192" t="e">
        <f t="shared" si="75"/>
        <v>#REF!</v>
      </c>
      <c r="P192" t="e">
        <f t="shared" si="76"/>
        <v>#REF!</v>
      </c>
      <c r="S192" t="e">
        <f>Reflection!A192</f>
        <v>#REF!</v>
      </c>
      <c r="T192" t="e">
        <f t="shared" si="77"/>
        <v>#REF!</v>
      </c>
      <c r="U192" t="e">
        <f t="shared" si="78"/>
        <v>#REF!</v>
      </c>
      <c r="V192" t="e">
        <f t="shared" si="79"/>
        <v>#REF!</v>
      </c>
      <c r="W192" t="e">
        <f t="shared" si="80"/>
        <v>#REF!</v>
      </c>
      <c r="X192" t="e">
        <f t="shared" si="81"/>
        <v>#REF!</v>
      </c>
      <c r="Y192" t="e">
        <f t="shared" si="82"/>
        <v>#REF!</v>
      </c>
      <c r="AB192" t="e">
        <f>Reflection!A192</f>
        <v>#REF!</v>
      </c>
      <c r="AC192" t="e">
        <f t="shared" si="83"/>
        <v>#REF!</v>
      </c>
      <c r="AD192" t="e">
        <f t="shared" si="84"/>
        <v>#REF!</v>
      </c>
      <c r="AE192" t="e">
        <f t="shared" si="85"/>
        <v>#REF!</v>
      </c>
      <c r="AF192" t="e">
        <f t="shared" si="86"/>
        <v>#REF!</v>
      </c>
      <c r="AG192" t="e">
        <f t="shared" si="87"/>
        <v>#REF!</v>
      </c>
      <c r="AH192" t="e">
        <f t="shared" si="88"/>
        <v>#REF!</v>
      </c>
      <c r="AK192" t="e">
        <f>Reflection!A192</f>
        <v>#REF!</v>
      </c>
      <c r="AL192" t="e">
        <f t="shared" si="89"/>
        <v>#REF!</v>
      </c>
      <c r="AM192" t="e">
        <f t="shared" si="95"/>
        <v>#REF!</v>
      </c>
      <c r="AN192" t="e">
        <f t="shared" si="90"/>
        <v>#REF!</v>
      </c>
      <c r="AO192" t="e">
        <f t="shared" si="91"/>
        <v>#REF!</v>
      </c>
      <c r="AP192" t="e">
        <f t="shared" si="92"/>
        <v>#REF!</v>
      </c>
      <c r="AQ192" t="e">
        <f t="shared" si="93"/>
        <v>#REF!</v>
      </c>
    </row>
    <row r="193" spans="1:43" x14ac:dyDescent="0.15">
      <c r="A193" t="e">
        <f>Reflection!A193</f>
        <v>#REF!</v>
      </c>
      <c r="B193" t="e">
        <f t="shared" si="64"/>
        <v>#REF!</v>
      </c>
      <c r="C193" t="e">
        <f t="shared" si="65"/>
        <v>#REF!</v>
      </c>
      <c r="D193" t="e">
        <f t="shared" si="69"/>
        <v>#REF!</v>
      </c>
      <c r="E193" t="e">
        <f t="shared" si="70"/>
        <v>#REF!</v>
      </c>
      <c r="F193" t="e">
        <f t="shared" si="71"/>
        <v>#REF!</v>
      </c>
      <c r="G193" t="e">
        <f t="shared" si="66"/>
        <v>#REF!</v>
      </c>
      <c r="J193" t="e">
        <f>Reflection!A193</f>
        <v>#REF!</v>
      </c>
      <c r="K193" t="e">
        <f t="shared" si="72"/>
        <v>#REF!</v>
      </c>
      <c r="L193" t="e">
        <f t="shared" si="94"/>
        <v>#REF!</v>
      </c>
      <c r="M193" t="e">
        <f t="shared" si="73"/>
        <v>#REF!</v>
      </c>
      <c r="N193" t="e">
        <f t="shared" si="74"/>
        <v>#REF!</v>
      </c>
      <c r="O193" t="e">
        <f t="shared" si="75"/>
        <v>#REF!</v>
      </c>
      <c r="P193" t="e">
        <f t="shared" si="76"/>
        <v>#REF!</v>
      </c>
      <c r="S193" t="e">
        <f>Reflection!A193</f>
        <v>#REF!</v>
      </c>
      <c r="T193" t="e">
        <f t="shared" si="77"/>
        <v>#REF!</v>
      </c>
      <c r="U193" t="e">
        <f t="shared" si="78"/>
        <v>#REF!</v>
      </c>
      <c r="V193" t="e">
        <f t="shared" si="79"/>
        <v>#REF!</v>
      </c>
      <c r="W193" t="e">
        <f t="shared" si="80"/>
        <v>#REF!</v>
      </c>
      <c r="X193" t="e">
        <f t="shared" si="81"/>
        <v>#REF!</v>
      </c>
      <c r="Y193" t="e">
        <f t="shared" si="82"/>
        <v>#REF!</v>
      </c>
      <c r="AB193" t="e">
        <f>Reflection!A193</f>
        <v>#REF!</v>
      </c>
      <c r="AC193" t="e">
        <f t="shared" si="83"/>
        <v>#REF!</v>
      </c>
      <c r="AD193" t="e">
        <f t="shared" si="84"/>
        <v>#REF!</v>
      </c>
      <c r="AE193" t="e">
        <f t="shared" si="85"/>
        <v>#REF!</v>
      </c>
      <c r="AF193" t="e">
        <f t="shared" si="86"/>
        <v>#REF!</v>
      </c>
      <c r="AG193" t="e">
        <f t="shared" si="87"/>
        <v>#REF!</v>
      </c>
      <c r="AH193" t="e">
        <f t="shared" si="88"/>
        <v>#REF!</v>
      </c>
      <c r="AK193" t="e">
        <f>Reflection!A193</f>
        <v>#REF!</v>
      </c>
      <c r="AL193" t="e">
        <f t="shared" si="89"/>
        <v>#REF!</v>
      </c>
      <c r="AM193" t="e">
        <f t="shared" si="95"/>
        <v>#REF!</v>
      </c>
      <c r="AN193" t="e">
        <f t="shared" si="90"/>
        <v>#REF!</v>
      </c>
      <c r="AO193" t="e">
        <f t="shared" si="91"/>
        <v>#REF!</v>
      </c>
      <c r="AP193" t="e">
        <f t="shared" si="92"/>
        <v>#REF!</v>
      </c>
      <c r="AQ193" t="e">
        <f t="shared" si="93"/>
        <v>#REF!</v>
      </c>
    </row>
    <row r="194" spans="1:43" x14ac:dyDescent="0.15">
      <c r="A194" t="e">
        <f>Reflection!A194</f>
        <v>#REF!</v>
      </c>
      <c r="B194" t="e">
        <f t="shared" si="64"/>
        <v>#REF!</v>
      </c>
      <c r="C194" t="e">
        <f t="shared" si="65"/>
        <v>#REF!</v>
      </c>
      <c r="D194" t="e">
        <f t="shared" si="69"/>
        <v>#REF!</v>
      </c>
      <c r="E194" t="e">
        <f t="shared" si="70"/>
        <v>#REF!</v>
      </c>
      <c r="F194" t="e">
        <f t="shared" si="71"/>
        <v>#REF!</v>
      </c>
      <c r="G194" t="e">
        <f t="shared" si="66"/>
        <v>#REF!</v>
      </c>
      <c r="J194" t="e">
        <f>Reflection!A194</f>
        <v>#REF!</v>
      </c>
      <c r="K194" t="e">
        <f t="shared" si="72"/>
        <v>#REF!</v>
      </c>
      <c r="L194" t="e">
        <f t="shared" si="94"/>
        <v>#REF!</v>
      </c>
      <c r="M194" t="e">
        <f t="shared" si="73"/>
        <v>#REF!</v>
      </c>
      <c r="N194" t="e">
        <f t="shared" si="74"/>
        <v>#REF!</v>
      </c>
      <c r="O194" t="e">
        <f t="shared" si="75"/>
        <v>#REF!</v>
      </c>
      <c r="P194" t="e">
        <f t="shared" si="76"/>
        <v>#REF!</v>
      </c>
      <c r="S194" t="e">
        <f>Reflection!A194</f>
        <v>#REF!</v>
      </c>
      <c r="T194" t="e">
        <f t="shared" si="77"/>
        <v>#REF!</v>
      </c>
      <c r="U194" t="e">
        <f t="shared" si="78"/>
        <v>#REF!</v>
      </c>
      <c r="V194" t="e">
        <f t="shared" si="79"/>
        <v>#REF!</v>
      </c>
      <c r="W194" t="e">
        <f t="shared" si="80"/>
        <v>#REF!</v>
      </c>
      <c r="X194" t="e">
        <f t="shared" si="81"/>
        <v>#REF!</v>
      </c>
      <c r="Y194" t="e">
        <f t="shared" si="82"/>
        <v>#REF!</v>
      </c>
      <c r="AB194" t="e">
        <f>Reflection!A194</f>
        <v>#REF!</v>
      </c>
      <c r="AC194" t="e">
        <f t="shared" si="83"/>
        <v>#REF!</v>
      </c>
      <c r="AD194" t="e">
        <f t="shared" si="84"/>
        <v>#REF!</v>
      </c>
      <c r="AE194" t="e">
        <f t="shared" si="85"/>
        <v>#REF!</v>
      </c>
      <c r="AF194" t="e">
        <f t="shared" si="86"/>
        <v>#REF!</v>
      </c>
      <c r="AG194" t="e">
        <f t="shared" si="87"/>
        <v>#REF!</v>
      </c>
      <c r="AH194" t="e">
        <f t="shared" si="88"/>
        <v>#REF!</v>
      </c>
      <c r="AK194" t="e">
        <f>Reflection!A194</f>
        <v>#REF!</v>
      </c>
      <c r="AL194" t="e">
        <f t="shared" si="89"/>
        <v>#REF!</v>
      </c>
      <c r="AM194" t="e">
        <f t="shared" si="95"/>
        <v>#REF!</v>
      </c>
      <c r="AN194" t="e">
        <f t="shared" si="90"/>
        <v>#REF!</v>
      </c>
      <c r="AO194" t="e">
        <f t="shared" si="91"/>
        <v>#REF!</v>
      </c>
      <c r="AP194" t="e">
        <f t="shared" si="92"/>
        <v>#REF!</v>
      </c>
      <c r="AQ194" t="e">
        <f t="shared" si="93"/>
        <v>#REF!</v>
      </c>
    </row>
    <row r="195" spans="1:43" x14ac:dyDescent="0.15">
      <c r="A195" t="e">
        <f>Reflection!A195</f>
        <v>#REF!</v>
      </c>
      <c r="B195" t="e">
        <f t="shared" ref="B195:B202" si="96">IMSUM(4.1,IMDIV((78.4-4.1),IMSUM(IMPRODUCT($C$1,2*PI()*A195*0.0000000000083),1)))</f>
        <v>#REF!</v>
      </c>
      <c r="C195" t="e">
        <f t="shared" ref="C195:C202" si="97">IMPRODUCT(IMPRODUCT(B195,$C$1),2*PI()*A195*0.000000000008854)</f>
        <v>#REF!</v>
      </c>
      <c r="D195" t="e">
        <f t="shared" si="69"/>
        <v>#REF!</v>
      </c>
      <c r="E195" t="e">
        <f t="shared" si="70"/>
        <v>#REF!</v>
      </c>
      <c r="F195" t="e">
        <f t="shared" si="71"/>
        <v>#REF!</v>
      </c>
      <c r="G195" t="e">
        <f t="shared" ref="G195:G202" si="98">IMAGINARY(C195)</f>
        <v>#REF!</v>
      </c>
      <c r="J195" t="e">
        <f>Reflection!A195</f>
        <v>#REF!</v>
      </c>
      <c r="K195" t="e">
        <f t="shared" si="72"/>
        <v>#REF!</v>
      </c>
      <c r="L195" t="e">
        <f t="shared" ref="L195:L202" si="99">IMPRODUCT(IMPRODUCT(K195,$L$1),2*PI()*J195*0.0000000000088542)</f>
        <v>#REF!</v>
      </c>
      <c r="M195" t="e">
        <f t="shared" si="73"/>
        <v>#REF!</v>
      </c>
      <c r="N195" t="e">
        <f t="shared" si="74"/>
        <v>#REF!</v>
      </c>
      <c r="O195" t="e">
        <f t="shared" si="75"/>
        <v>#REF!</v>
      </c>
      <c r="P195" t="e">
        <f t="shared" si="76"/>
        <v>#REF!</v>
      </c>
      <c r="S195" t="e">
        <f>Reflection!A195</f>
        <v>#REF!</v>
      </c>
      <c r="T195" t="e">
        <f t="shared" si="77"/>
        <v>#REF!</v>
      </c>
      <c r="U195" t="e">
        <f t="shared" si="78"/>
        <v>#REF!</v>
      </c>
      <c r="V195" t="e">
        <f t="shared" si="79"/>
        <v>#REF!</v>
      </c>
      <c r="W195" t="e">
        <f t="shared" si="80"/>
        <v>#REF!</v>
      </c>
      <c r="X195" t="e">
        <f t="shared" si="81"/>
        <v>#REF!</v>
      </c>
      <c r="Y195" t="e">
        <f t="shared" si="82"/>
        <v>#REF!</v>
      </c>
      <c r="AB195" t="e">
        <f>Reflection!A195</f>
        <v>#REF!</v>
      </c>
      <c r="AC195" t="e">
        <f t="shared" si="83"/>
        <v>#REF!</v>
      </c>
      <c r="AD195" t="e">
        <f t="shared" si="84"/>
        <v>#REF!</v>
      </c>
      <c r="AE195" t="e">
        <f t="shared" si="85"/>
        <v>#REF!</v>
      </c>
      <c r="AF195" t="e">
        <f t="shared" si="86"/>
        <v>#REF!</v>
      </c>
      <c r="AG195" t="e">
        <f t="shared" si="87"/>
        <v>#REF!</v>
      </c>
      <c r="AH195" t="e">
        <f t="shared" si="88"/>
        <v>#REF!</v>
      </c>
      <c r="AK195" t="e">
        <f>Reflection!A195</f>
        <v>#REF!</v>
      </c>
      <c r="AL195" t="e">
        <f t="shared" si="89"/>
        <v>#REF!</v>
      </c>
      <c r="AM195" t="e">
        <f t="shared" ref="AM195:AM202" si="100">IMPRODUCT(IMPRODUCT(AL195,$AM$1),2*PI()*AK195*0.000000000008854)</f>
        <v>#REF!</v>
      </c>
      <c r="AN195" t="e">
        <f t="shared" si="90"/>
        <v>#REF!</v>
      </c>
      <c r="AO195" t="e">
        <f t="shared" si="91"/>
        <v>#REF!</v>
      </c>
      <c r="AP195" t="e">
        <f t="shared" si="92"/>
        <v>#REF!</v>
      </c>
      <c r="AQ195" t="e">
        <f t="shared" si="93"/>
        <v>#REF!</v>
      </c>
    </row>
    <row r="196" spans="1:43" x14ac:dyDescent="0.15">
      <c r="A196" t="e">
        <f>Reflection!A196</f>
        <v>#REF!</v>
      </c>
      <c r="B196" t="e">
        <f t="shared" si="96"/>
        <v>#REF!</v>
      </c>
      <c r="C196" t="e">
        <f t="shared" si="97"/>
        <v>#REF!</v>
      </c>
      <c r="D196" t="e">
        <f t="shared" ref="D196:D202" si="101">IMREAL(B196)</f>
        <v>#REF!</v>
      </c>
      <c r="E196" t="e">
        <f t="shared" ref="E196:E202" si="102">-IMAGINARY(B196)</f>
        <v>#REF!</v>
      </c>
      <c r="F196" t="e">
        <f t="shared" ref="F196:F202" si="103">IMREAL(C196)</f>
        <v>#REF!</v>
      </c>
      <c r="G196" t="e">
        <f t="shared" si="98"/>
        <v>#REF!</v>
      </c>
      <c r="J196" t="e">
        <f>Reflection!A196</f>
        <v>#REF!</v>
      </c>
      <c r="K196" t="e">
        <f t="shared" ref="K196:K202" si="104">IMSUM(2.6,IMDIV(19.94,IMSUM(1,IMPOWER(IMPRODUCT($L$1,2*PI()*J196,0.0000000001649),1))),IMDIV(0.74,IMSUM(1,IMPRODUCT($L$1,2*PI()*J196*0.0000000000104))),IMDIV(1.19,IMSUM(1,IMPRODUCT($L$1,2*PI()*J196*0.00000000000169))))</f>
        <v>#REF!</v>
      </c>
      <c r="L196" t="e">
        <f t="shared" si="99"/>
        <v>#REF!</v>
      </c>
      <c r="M196" t="e">
        <f t="shared" ref="M196:M202" si="105">IMREAL(K196)</f>
        <v>#REF!</v>
      </c>
      <c r="N196" t="e">
        <f t="shared" ref="N196:N202" si="106">-IMAGINARY(K196)</f>
        <v>#REF!</v>
      </c>
      <c r="O196" t="e">
        <f t="shared" ref="O196:O202" si="107">IMREAL(L196)</f>
        <v>#REF!</v>
      </c>
      <c r="P196" t="e">
        <f t="shared" ref="P196:P202" si="108">IMAGINARY(L196)</f>
        <v>#REF!</v>
      </c>
      <c r="S196" t="e">
        <f>Reflection!A196</f>
        <v>#REF!</v>
      </c>
      <c r="T196" t="e">
        <f t="shared" ref="T196:T202" si="109">IMSUM(2.7,IMDIV(25.93,IMSUM(1,IMPOWER(IMPRODUCT($U$1,2*PI()*S196,0.00000000009441),0.956))),IMDIV(1.44,IMSUM(1,IMPRODUCT($U$1,2*PI()*S196*0.00000000000891))),IMDIV(1.28,IMSUM(1,IMPRODUCT($U$1,2*PI()*S196*0.00000000000139))))</f>
        <v>#REF!</v>
      </c>
      <c r="U196" t="e">
        <f t="shared" ref="U196:U202" si="110">IMPRODUCT(IMPRODUCT(T196,$U$1),2*PI()*S196*0.0000000000088542)</f>
        <v>#REF!</v>
      </c>
      <c r="V196" t="e">
        <f t="shared" ref="V196:V202" si="111">IMREAL(T196)</f>
        <v>#REF!</v>
      </c>
      <c r="W196" t="e">
        <f t="shared" ref="W196:W202" si="112">-IMAGINARY(T196)</f>
        <v>#REF!</v>
      </c>
      <c r="X196" t="e">
        <f t="shared" ref="X196:X202" si="113">IMREAL(U196)</f>
        <v>#REF!</v>
      </c>
      <c r="Y196" t="e">
        <f t="shared" ref="Y196:Y202" si="114">IMAGINARY(U196)</f>
        <v>#REF!</v>
      </c>
      <c r="AB196" t="e">
        <f>Reflection!A196</f>
        <v>#REF!</v>
      </c>
      <c r="AC196" t="e">
        <f t="shared" ref="AC196:AC202" si="115">IMSUM($AD$1,IMSUM(IMDIV(($AE$1-$AD$1),IMSUM(IMPOWER(IMPRODUCT($AJ$1,2*PI()*AB196*$AF$1),(1-$AG$1)),1)),IMDIV($AH$1,IMPRODUCT($AJ$1,2*PI()*AB196*0.000000000008854))))</f>
        <v>#REF!</v>
      </c>
      <c r="AD196" t="e">
        <f t="shared" ref="AD196:AD202" si="116">IMPRODUCT(IMPRODUCT(AC196,$AJ$1),2*PI()*AB196*0.000000000008854)</f>
        <v>#REF!</v>
      </c>
      <c r="AE196" t="e">
        <f t="shared" ref="AE196:AE202" si="117">IMREAL(AC196)</f>
        <v>#REF!</v>
      </c>
      <c r="AF196" t="e">
        <f t="shared" ref="AF196:AF202" si="118">-IMAGINARY(AC196)</f>
        <v>#REF!</v>
      </c>
      <c r="AG196" t="e">
        <f t="shared" ref="AG196:AG202" si="119">IMREAL(AD196)</f>
        <v>#REF!</v>
      </c>
      <c r="AH196" t="e">
        <f t="shared" ref="AH196:AH202" si="120">IMAGINARY(AD196)</f>
        <v>#REF!</v>
      </c>
      <c r="AK196" t="e">
        <f>Reflection!A196</f>
        <v>#REF!</v>
      </c>
      <c r="AL196" t="e">
        <f t="shared" ref="AL196:AL202" si="121">IMSUM(4.1,IMDIV((78.4-4.1),IMSUM(IMPRODUCT($AM$1,2*PI()*AK196*0.0000000000083),1)))</f>
        <v>#REF!</v>
      </c>
      <c r="AM196" t="e">
        <f t="shared" si="100"/>
        <v>#REF!</v>
      </c>
      <c r="AN196" t="e">
        <f t="shared" ref="AN196:AN202" si="122">IMREAL(AL196)</f>
        <v>#REF!</v>
      </c>
      <c r="AO196" t="e">
        <f t="shared" ref="AO196:AO202" si="123">-IMAGINARY(AL196)</f>
        <v>#REF!</v>
      </c>
      <c r="AP196" t="e">
        <f t="shared" ref="AP196:AP202" si="124">IMREAL(AM196)</f>
        <v>#REF!</v>
      </c>
      <c r="AQ196" t="e">
        <f t="shared" ref="AQ196:AQ202" si="125">IMAGINARY(AM196)</f>
        <v>#REF!</v>
      </c>
    </row>
    <row r="197" spans="1:43" x14ac:dyDescent="0.15">
      <c r="A197" t="e">
        <f>Reflection!A197</f>
        <v>#REF!</v>
      </c>
      <c r="B197" t="e">
        <f t="shared" si="96"/>
        <v>#REF!</v>
      </c>
      <c r="C197" t="e">
        <f t="shared" si="97"/>
        <v>#REF!</v>
      </c>
      <c r="D197" t="e">
        <f t="shared" si="101"/>
        <v>#REF!</v>
      </c>
      <c r="E197" t="e">
        <f t="shared" si="102"/>
        <v>#REF!</v>
      </c>
      <c r="F197" t="e">
        <f t="shared" si="103"/>
        <v>#REF!</v>
      </c>
      <c r="G197" t="e">
        <f t="shared" si="98"/>
        <v>#REF!</v>
      </c>
      <c r="J197" t="e">
        <f>Reflection!A197</f>
        <v>#REF!</v>
      </c>
      <c r="K197" t="e">
        <f t="shared" si="104"/>
        <v>#REF!</v>
      </c>
      <c r="L197" t="e">
        <f t="shared" si="99"/>
        <v>#REF!</v>
      </c>
      <c r="M197" t="e">
        <f t="shared" si="105"/>
        <v>#REF!</v>
      </c>
      <c r="N197" t="e">
        <f t="shared" si="106"/>
        <v>#REF!</v>
      </c>
      <c r="O197" t="e">
        <f t="shared" si="107"/>
        <v>#REF!</v>
      </c>
      <c r="P197" t="e">
        <f t="shared" si="108"/>
        <v>#REF!</v>
      </c>
      <c r="S197" t="e">
        <f>Reflection!A197</f>
        <v>#REF!</v>
      </c>
      <c r="T197" t="e">
        <f t="shared" si="109"/>
        <v>#REF!</v>
      </c>
      <c r="U197" t="e">
        <f t="shared" si="110"/>
        <v>#REF!</v>
      </c>
      <c r="V197" t="e">
        <f t="shared" si="111"/>
        <v>#REF!</v>
      </c>
      <c r="W197" t="e">
        <f t="shared" si="112"/>
        <v>#REF!</v>
      </c>
      <c r="X197" t="e">
        <f t="shared" si="113"/>
        <v>#REF!</v>
      </c>
      <c r="Y197" t="e">
        <f t="shared" si="114"/>
        <v>#REF!</v>
      </c>
      <c r="AB197" t="e">
        <f>Reflection!A197</f>
        <v>#REF!</v>
      </c>
      <c r="AC197" t="e">
        <f t="shared" si="115"/>
        <v>#REF!</v>
      </c>
      <c r="AD197" t="e">
        <f t="shared" si="116"/>
        <v>#REF!</v>
      </c>
      <c r="AE197" t="e">
        <f t="shared" si="117"/>
        <v>#REF!</v>
      </c>
      <c r="AF197" t="e">
        <f t="shared" si="118"/>
        <v>#REF!</v>
      </c>
      <c r="AG197" t="e">
        <f t="shared" si="119"/>
        <v>#REF!</v>
      </c>
      <c r="AH197" t="e">
        <f t="shared" si="120"/>
        <v>#REF!</v>
      </c>
      <c r="AK197" t="e">
        <f>Reflection!A197</f>
        <v>#REF!</v>
      </c>
      <c r="AL197" t="e">
        <f t="shared" si="121"/>
        <v>#REF!</v>
      </c>
      <c r="AM197" t="e">
        <f t="shared" si="100"/>
        <v>#REF!</v>
      </c>
      <c r="AN197" t="e">
        <f t="shared" si="122"/>
        <v>#REF!</v>
      </c>
      <c r="AO197" t="e">
        <f t="shared" si="123"/>
        <v>#REF!</v>
      </c>
      <c r="AP197" t="e">
        <f t="shared" si="124"/>
        <v>#REF!</v>
      </c>
      <c r="AQ197" t="e">
        <f t="shared" si="125"/>
        <v>#REF!</v>
      </c>
    </row>
    <row r="198" spans="1:43" x14ac:dyDescent="0.15">
      <c r="A198" t="e">
        <f>Reflection!A198</f>
        <v>#REF!</v>
      </c>
      <c r="B198" t="e">
        <f t="shared" si="96"/>
        <v>#REF!</v>
      </c>
      <c r="C198" t="e">
        <f t="shared" si="97"/>
        <v>#REF!</v>
      </c>
      <c r="D198" t="e">
        <f t="shared" si="101"/>
        <v>#REF!</v>
      </c>
      <c r="E198" t="e">
        <f t="shared" si="102"/>
        <v>#REF!</v>
      </c>
      <c r="F198" t="e">
        <f t="shared" si="103"/>
        <v>#REF!</v>
      </c>
      <c r="G198" t="e">
        <f t="shared" si="98"/>
        <v>#REF!</v>
      </c>
      <c r="J198" t="e">
        <f>Reflection!A198</f>
        <v>#REF!</v>
      </c>
      <c r="K198" t="e">
        <f t="shared" si="104"/>
        <v>#REF!</v>
      </c>
      <c r="L198" t="e">
        <f t="shared" si="99"/>
        <v>#REF!</v>
      </c>
      <c r="M198" t="e">
        <f t="shared" si="105"/>
        <v>#REF!</v>
      </c>
      <c r="N198" t="e">
        <f t="shared" si="106"/>
        <v>#REF!</v>
      </c>
      <c r="O198" t="e">
        <f t="shared" si="107"/>
        <v>#REF!</v>
      </c>
      <c r="P198" t="e">
        <f t="shared" si="108"/>
        <v>#REF!</v>
      </c>
      <c r="S198" t="e">
        <f>Reflection!A198</f>
        <v>#REF!</v>
      </c>
      <c r="T198" t="e">
        <f t="shared" si="109"/>
        <v>#REF!</v>
      </c>
      <c r="U198" t="e">
        <f t="shared" si="110"/>
        <v>#REF!</v>
      </c>
      <c r="V198" t="e">
        <f t="shared" si="111"/>
        <v>#REF!</v>
      </c>
      <c r="W198" t="e">
        <f t="shared" si="112"/>
        <v>#REF!</v>
      </c>
      <c r="X198" t="e">
        <f t="shared" si="113"/>
        <v>#REF!</v>
      </c>
      <c r="Y198" t="e">
        <f t="shared" si="114"/>
        <v>#REF!</v>
      </c>
      <c r="AB198" t="e">
        <f>Reflection!A198</f>
        <v>#REF!</v>
      </c>
      <c r="AC198" t="e">
        <f t="shared" si="115"/>
        <v>#REF!</v>
      </c>
      <c r="AD198" t="e">
        <f t="shared" si="116"/>
        <v>#REF!</v>
      </c>
      <c r="AE198" t="e">
        <f t="shared" si="117"/>
        <v>#REF!</v>
      </c>
      <c r="AF198" t="e">
        <f t="shared" si="118"/>
        <v>#REF!</v>
      </c>
      <c r="AG198" t="e">
        <f t="shared" si="119"/>
        <v>#REF!</v>
      </c>
      <c r="AH198" t="e">
        <f t="shared" si="120"/>
        <v>#REF!</v>
      </c>
      <c r="AK198" t="e">
        <f>Reflection!A198</f>
        <v>#REF!</v>
      </c>
      <c r="AL198" t="e">
        <f t="shared" si="121"/>
        <v>#REF!</v>
      </c>
      <c r="AM198" t="e">
        <f t="shared" si="100"/>
        <v>#REF!</v>
      </c>
      <c r="AN198" t="e">
        <f t="shared" si="122"/>
        <v>#REF!</v>
      </c>
      <c r="AO198" t="e">
        <f t="shared" si="123"/>
        <v>#REF!</v>
      </c>
      <c r="AP198" t="e">
        <f t="shared" si="124"/>
        <v>#REF!</v>
      </c>
      <c r="AQ198" t="e">
        <f t="shared" si="125"/>
        <v>#REF!</v>
      </c>
    </row>
    <row r="199" spans="1:43" x14ac:dyDescent="0.15">
      <c r="A199" t="e">
        <f>Reflection!A199</f>
        <v>#REF!</v>
      </c>
      <c r="B199" t="e">
        <f t="shared" si="96"/>
        <v>#REF!</v>
      </c>
      <c r="C199" t="e">
        <f t="shared" si="97"/>
        <v>#REF!</v>
      </c>
      <c r="D199" t="e">
        <f t="shared" si="101"/>
        <v>#REF!</v>
      </c>
      <c r="E199" t="e">
        <f t="shared" si="102"/>
        <v>#REF!</v>
      </c>
      <c r="F199" t="e">
        <f t="shared" si="103"/>
        <v>#REF!</v>
      </c>
      <c r="G199" t="e">
        <f t="shared" si="98"/>
        <v>#REF!</v>
      </c>
      <c r="J199" t="e">
        <f>Reflection!A199</f>
        <v>#REF!</v>
      </c>
      <c r="K199" t="e">
        <f t="shared" si="104"/>
        <v>#REF!</v>
      </c>
      <c r="L199" t="e">
        <f t="shared" si="99"/>
        <v>#REF!</v>
      </c>
      <c r="M199" t="e">
        <f t="shared" si="105"/>
        <v>#REF!</v>
      </c>
      <c r="N199" t="e">
        <f t="shared" si="106"/>
        <v>#REF!</v>
      </c>
      <c r="O199" t="e">
        <f t="shared" si="107"/>
        <v>#REF!</v>
      </c>
      <c r="P199" t="e">
        <f t="shared" si="108"/>
        <v>#REF!</v>
      </c>
      <c r="S199" t="e">
        <f>Reflection!A199</f>
        <v>#REF!</v>
      </c>
      <c r="T199" t="e">
        <f t="shared" si="109"/>
        <v>#REF!</v>
      </c>
      <c r="U199" t="e">
        <f t="shared" si="110"/>
        <v>#REF!</v>
      </c>
      <c r="V199" t="e">
        <f t="shared" si="111"/>
        <v>#REF!</v>
      </c>
      <c r="W199" t="e">
        <f t="shared" si="112"/>
        <v>#REF!</v>
      </c>
      <c r="X199" t="e">
        <f t="shared" si="113"/>
        <v>#REF!</v>
      </c>
      <c r="Y199" t="e">
        <f t="shared" si="114"/>
        <v>#REF!</v>
      </c>
      <c r="AB199" t="e">
        <f>Reflection!A199</f>
        <v>#REF!</v>
      </c>
      <c r="AC199" t="e">
        <f t="shared" si="115"/>
        <v>#REF!</v>
      </c>
      <c r="AD199" t="e">
        <f t="shared" si="116"/>
        <v>#REF!</v>
      </c>
      <c r="AE199" t="e">
        <f t="shared" si="117"/>
        <v>#REF!</v>
      </c>
      <c r="AF199" t="e">
        <f t="shared" si="118"/>
        <v>#REF!</v>
      </c>
      <c r="AG199" t="e">
        <f t="shared" si="119"/>
        <v>#REF!</v>
      </c>
      <c r="AH199" t="e">
        <f t="shared" si="120"/>
        <v>#REF!</v>
      </c>
      <c r="AK199" t="e">
        <f>Reflection!A199</f>
        <v>#REF!</v>
      </c>
      <c r="AL199" t="e">
        <f t="shared" si="121"/>
        <v>#REF!</v>
      </c>
      <c r="AM199" t="e">
        <f t="shared" si="100"/>
        <v>#REF!</v>
      </c>
      <c r="AN199" t="e">
        <f t="shared" si="122"/>
        <v>#REF!</v>
      </c>
      <c r="AO199" t="e">
        <f t="shared" si="123"/>
        <v>#REF!</v>
      </c>
      <c r="AP199" t="e">
        <f t="shared" si="124"/>
        <v>#REF!</v>
      </c>
      <c r="AQ199" t="e">
        <f t="shared" si="125"/>
        <v>#REF!</v>
      </c>
    </row>
    <row r="200" spans="1:43" x14ac:dyDescent="0.15">
      <c r="A200" t="e">
        <f>Reflection!A200</f>
        <v>#REF!</v>
      </c>
      <c r="B200" t="e">
        <f t="shared" si="96"/>
        <v>#REF!</v>
      </c>
      <c r="C200" t="e">
        <f t="shared" si="97"/>
        <v>#REF!</v>
      </c>
      <c r="D200" t="e">
        <f t="shared" si="101"/>
        <v>#REF!</v>
      </c>
      <c r="E200" t="e">
        <f t="shared" si="102"/>
        <v>#REF!</v>
      </c>
      <c r="F200" t="e">
        <f t="shared" si="103"/>
        <v>#REF!</v>
      </c>
      <c r="G200" t="e">
        <f t="shared" si="98"/>
        <v>#REF!</v>
      </c>
      <c r="J200" t="e">
        <f>Reflection!A200</f>
        <v>#REF!</v>
      </c>
      <c r="K200" t="e">
        <f t="shared" si="104"/>
        <v>#REF!</v>
      </c>
      <c r="L200" t="e">
        <f t="shared" si="99"/>
        <v>#REF!</v>
      </c>
      <c r="M200" t="e">
        <f t="shared" si="105"/>
        <v>#REF!</v>
      </c>
      <c r="N200" t="e">
        <f t="shared" si="106"/>
        <v>#REF!</v>
      </c>
      <c r="O200" t="e">
        <f t="shared" si="107"/>
        <v>#REF!</v>
      </c>
      <c r="P200" t="e">
        <f t="shared" si="108"/>
        <v>#REF!</v>
      </c>
      <c r="S200" t="e">
        <f>Reflection!A200</f>
        <v>#REF!</v>
      </c>
      <c r="T200" t="e">
        <f t="shared" si="109"/>
        <v>#REF!</v>
      </c>
      <c r="U200" t="e">
        <f t="shared" si="110"/>
        <v>#REF!</v>
      </c>
      <c r="V200" t="e">
        <f t="shared" si="111"/>
        <v>#REF!</v>
      </c>
      <c r="W200" t="e">
        <f t="shared" si="112"/>
        <v>#REF!</v>
      </c>
      <c r="X200" t="e">
        <f t="shared" si="113"/>
        <v>#REF!</v>
      </c>
      <c r="Y200" t="e">
        <f t="shared" si="114"/>
        <v>#REF!</v>
      </c>
      <c r="AB200" t="e">
        <f>Reflection!A200</f>
        <v>#REF!</v>
      </c>
      <c r="AC200" t="e">
        <f t="shared" si="115"/>
        <v>#REF!</v>
      </c>
      <c r="AD200" t="e">
        <f t="shared" si="116"/>
        <v>#REF!</v>
      </c>
      <c r="AE200" t="e">
        <f t="shared" si="117"/>
        <v>#REF!</v>
      </c>
      <c r="AF200" t="e">
        <f t="shared" si="118"/>
        <v>#REF!</v>
      </c>
      <c r="AG200" t="e">
        <f t="shared" si="119"/>
        <v>#REF!</v>
      </c>
      <c r="AH200" t="e">
        <f t="shared" si="120"/>
        <v>#REF!</v>
      </c>
      <c r="AK200" t="e">
        <f>Reflection!A200</f>
        <v>#REF!</v>
      </c>
      <c r="AL200" t="e">
        <f t="shared" si="121"/>
        <v>#REF!</v>
      </c>
      <c r="AM200" t="e">
        <f t="shared" si="100"/>
        <v>#REF!</v>
      </c>
      <c r="AN200" t="e">
        <f t="shared" si="122"/>
        <v>#REF!</v>
      </c>
      <c r="AO200" t="e">
        <f t="shared" si="123"/>
        <v>#REF!</v>
      </c>
      <c r="AP200" t="e">
        <f t="shared" si="124"/>
        <v>#REF!</v>
      </c>
      <c r="AQ200" t="e">
        <f t="shared" si="125"/>
        <v>#REF!</v>
      </c>
    </row>
    <row r="201" spans="1:43" x14ac:dyDescent="0.15">
      <c r="A201" t="e">
        <f>Reflection!A201</f>
        <v>#REF!</v>
      </c>
      <c r="B201" t="e">
        <f t="shared" si="96"/>
        <v>#REF!</v>
      </c>
      <c r="C201" t="e">
        <f t="shared" si="97"/>
        <v>#REF!</v>
      </c>
      <c r="D201" t="e">
        <f t="shared" si="101"/>
        <v>#REF!</v>
      </c>
      <c r="E201" t="e">
        <f t="shared" si="102"/>
        <v>#REF!</v>
      </c>
      <c r="F201" t="e">
        <f t="shared" si="103"/>
        <v>#REF!</v>
      </c>
      <c r="G201" t="e">
        <f t="shared" si="98"/>
        <v>#REF!</v>
      </c>
      <c r="J201" t="e">
        <f>Reflection!A201</f>
        <v>#REF!</v>
      </c>
      <c r="K201" t="e">
        <f t="shared" si="104"/>
        <v>#REF!</v>
      </c>
      <c r="L201" t="e">
        <f t="shared" si="99"/>
        <v>#REF!</v>
      </c>
      <c r="M201" t="e">
        <f t="shared" si="105"/>
        <v>#REF!</v>
      </c>
      <c r="N201" t="e">
        <f t="shared" si="106"/>
        <v>#REF!</v>
      </c>
      <c r="O201" t="e">
        <f t="shared" si="107"/>
        <v>#REF!</v>
      </c>
      <c r="P201" t="e">
        <f t="shared" si="108"/>
        <v>#REF!</v>
      </c>
      <c r="S201" t="e">
        <f>Reflection!A201</f>
        <v>#REF!</v>
      </c>
      <c r="T201" t="e">
        <f t="shared" si="109"/>
        <v>#REF!</v>
      </c>
      <c r="U201" t="e">
        <f t="shared" si="110"/>
        <v>#REF!</v>
      </c>
      <c r="V201" t="e">
        <f t="shared" si="111"/>
        <v>#REF!</v>
      </c>
      <c r="W201" t="e">
        <f t="shared" si="112"/>
        <v>#REF!</v>
      </c>
      <c r="X201" t="e">
        <f t="shared" si="113"/>
        <v>#REF!</v>
      </c>
      <c r="Y201" t="e">
        <f t="shared" si="114"/>
        <v>#REF!</v>
      </c>
      <c r="AB201" t="e">
        <f>Reflection!A201</f>
        <v>#REF!</v>
      </c>
      <c r="AC201" t="e">
        <f t="shared" si="115"/>
        <v>#REF!</v>
      </c>
      <c r="AD201" t="e">
        <f t="shared" si="116"/>
        <v>#REF!</v>
      </c>
      <c r="AE201" t="e">
        <f t="shared" si="117"/>
        <v>#REF!</v>
      </c>
      <c r="AF201" t="e">
        <f t="shared" si="118"/>
        <v>#REF!</v>
      </c>
      <c r="AG201" t="e">
        <f t="shared" si="119"/>
        <v>#REF!</v>
      </c>
      <c r="AH201" t="e">
        <f t="shared" si="120"/>
        <v>#REF!</v>
      </c>
      <c r="AK201" t="e">
        <f>Reflection!A201</f>
        <v>#REF!</v>
      </c>
      <c r="AL201" t="e">
        <f t="shared" si="121"/>
        <v>#REF!</v>
      </c>
      <c r="AM201" t="e">
        <f t="shared" si="100"/>
        <v>#REF!</v>
      </c>
      <c r="AN201" t="e">
        <f t="shared" si="122"/>
        <v>#REF!</v>
      </c>
      <c r="AO201" t="e">
        <f t="shared" si="123"/>
        <v>#REF!</v>
      </c>
      <c r="AP201" t="e">
        <f t="shared" si="124"/>
        <v>#REF!</v>
      </c>
      <c r="AQ201" t="e">
        <f t="shared" si="125"/>
        <v>#REF!</v>
      </c>
    </row>
    <row r="202" spans="1:43" x14ac:dyDescent="0.15">
      <c r="A202" t="e">
        <f>Reflection!A202</f>
        <v>#REF!</v>
      </c>
      <c r="B202" t="e">
        <f t="shared" si="96"/>
        <v>#REF!</v>
      </c>
      <c r="C202" t="e">
        <f t="shared" si="97"/>
        <v>#REF!</v>
      </c>
      <c r="D202" t="e">
        <f t="shared" si="101"/>
        <v>#REF!</v>
      </c>
      <c r="E202" t="e">
        <f t="shared" si="102"/>
        <v>#REF!</v>
      </c>
      <c r="F202" t="e">
        <f t="shared" si="103"/>
        <v>#REF!</v>
      </c>
      <c r="G202" t="e">
        <f t="shared" si="98"/>
        <v>#REF!</v>
      </c>
      <c r="J202" t="e">
        <f>Reflection!A202</f>
        <v>#REF!</v>
      </c>
      <c r="K202" t="e">
        <f t="shared" si="104"/>
        <v>#REF!</v>
      </c>
      <c r="L202" t="e">
        <f t="shared" si="99"/>
        <v>#REF!</v>
      </c>
      <c r="M202" t="e">
        <f t="shared" si="105"/>
        <v>#REF!</v>
      </c>
      <c r="N202" t="e">
        <f t="shared" si="106"/>
        <v>#REF!</v>
      </c>
      <c r="O202" t="e">
        <f t="shared" si="107"/>
        <v>#REF!</v>
      </c>
      <c r="P202" t="e">
        <f t="shared" si="108"/>
        <v>#REF!</v>
      </c>
      <c r="S202" t="e">
        <f>Reflection!A202</f>
        <v>#REF!</v>
      </c>
      <c r="T202" t="e">
        <f t="shared" si="109"/>
        <v>#REF!</v>
      </c>
      <c r="U202" t="e">
        <f t="shared" si="110"/>
        <v>#REF!</v>
      </c>
      <c r="V202" t="e">
        <f t="shared" si="111"/>
        <v>#REF!</v>
      </c>
      <c r="W202" t="e">
        <f t="shared" si="112"/>
        <v>#REF!</v>
      </c>
      <c r="X202" t="e">
        <f t="shared" si="113"/>
        <v>#REF!</v>
      </c>
      <c r="Y202" t="e">
        <f t="shared" si="114"/>
        <v>#REF!</v>
      </c>
      <c r="AB202" t="e">
        <f>Reflection!A202</f>
        <v>#REF!</v>
      </c>
      <c r="AC202" t="e">
        <f t="shared" si="115"/>
        <v>#REF!</v>
      </c>
      <c r="AD202" t="e">
        <f t="shared" si="116"/>
        <v>#REF!</v>
      </c>
      <c r="AE202" t="e">
        <f t="shared" si="117"/>
        <v>#REF!</v>
      </c>
      <c r="AF202" t="e">
        <f t="shared" si="118"/>
        <v>#REF!</v>
      </c>
      <c r="AG202" t="e">
        <f t="shared" si="119"/>
        <v>#REF!</v>
      </c>
      <c r="AH202" t="e">
        <f t="shared" si="120"/>
        <v>#REF!</v>
      </c>
      <c r="AK202" t="e">
        <f>Reflection!A202</f>
        <v>#REF!</v>
      </c>
      <c r="AL202" t="e">
        <f t="shared" si="121"/>
        <v>#REF!</v>
      </c>
      <c r="AM202" t="e">
        <f t="shared" si="100"/>
        <v>#REF!</v>
      </c>
      <c r="AN202" t="e">
        <f t="shared" si="122"/>
        <v>#REF!</v>
      </c>
      <c r="AO202" t="e">
        <f t="shared" si="123"/>
        <v>#REF!</v>
      </c>
      <c r="AP202" t="e">
        <f t="shared" si="124"/>
        <v>#REF!</v>
      </c>
      <c r="AQ202" t="e">
        <f t="shared" si="125"/>
        <v>#REF!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Y202"/>
  <sheetViews>
    <sheetView topLeftCell="A177" zoomScaleNormal="100" workbookViewId="0">
      <selection activeCell="AZ3" sqref="AZ3"/>
    </sheetView>
  </sheetViews>
  <sheetFormatPr defaultRowHeight="13.5" x14ac:dyDescent="0.15"/>
  <cols>
    <col min="2" max="2" width="17.75" customWidth="1"/>
    <col min="3" max="3" width="26.5" customWidth="1"/>
    <col min="4" max="4" width="19.5" customWidth="1"/>
    <col min="5" max="5" width="18.25" customWidth="1"/>
    <col min="6" max="6" width="15.5" customWidth="1"/>
    <col min="16" max="16" width="14.875" bestFit="1" customWidth="1"/>
    <col min="26" max="26" width="14.875" bestFit="1" customWidth="1"/>
    <col min="36" max="36" width="14.875" bestFit="1" customWidth="1"/>
    <col min="42" max="42" width="16.5" customWidth="1"/>
    <col min="46" max="46" width="14.875" bestFit="1" customWidth="1"/>
    <col min="56" max="56" width="14.875" bestFit="1" customWidth="1"/>
    <col min="62" max="62" width="17.75" customWidth="1"/>
    <col min="63" max="63" width="24.25" customWidth="1"/>
    <col min="64" max="64" width="9.125" customWidth="1"/>
    <col min="72" max="72" width="17.75" customWidth="1"/>
    <col min="73" max="73" width="24.25" customWidth="1"/>
    <col min="76" max="76" width="14.875" bestFit="1" customWidth="1"/>
  </cols>
  <sheetData>
    <row r="1" spans="1:77" x14ac:dyDescent="0.15">
      <c r="A1" t="s">
        <v>17</v>
      </c>
      <c r="B1" t="s">
        <v>14</v>
      </c>
      <c r="C1" t="s">
        <v>13</v>
      </c>
      <c r="J1" t="e">
        <f>Reflection!I1</f>
        <v>#REF!</v>
      </c>
      <c r="T1" t="s">
        <v>18</v>
      </c>
      <c r="AD1" t="s">
        <v>19</v>
      </c>
      <c r="AN1" t="s">
        <v>20</v>
      </c>
      <c r="AX1" t="s">
        <v>24</v>
      </c>
      <c r="BG1">
        <v>0.16</v>
      </c>
      <c r="BH1" t="s">
        <v>26</v>
      </c>
      <c r="BI1">
        <v>25</v>
      </c>
      <c r="BJ1">
        <f>5.77-0.0274*BI1</f>
        <v>5.0849999999999991</v>
      </c>
      <c r="BK1">
        <f>(10^(1.94404-BI1*0.001991))*(1-0.0003742*BI1*BG1+0.034*(BG1^2)-0.178*BG1+BI1*0.0001515-0.000004929*(BI1^2))</f>
        <v>76.164521580330273</v>
      </c>
      <c r="BL1">
        <f>(0.000000000000003745*(1+(0.00007)*(BI1-27.5)^2)*EXP(2295.7/(BI1+273.15)))*(1.012-BI1*BG1*0.005282+0.032*(BG1^2)-0.01*BG1-BI1*0.001724+0.00003766*(BI1^2))</f>
        <v>8.0285582548094996E-12</v>
      </c>
      <c r="BM1">
        <f>-0.0006348*BI1*BG1-0.051*(BG1^2)+0.09*BG1</f>
        <v>1.0555199999999999E-2</v>
      </c>
      <c r="BN1">
        <f>0.174*BI1*BG1-1.582*(BG1^2)+5.923*BG1</f>
        <v>1.6031808000000001</v>
      </c>
      <c r="BO1" t="s">
        <v>14</v>
      </c>
      <c r="BP1" t="s">
        <v>13</v>
      </c>
      <c r="BR1" t="s">
        <v>25</v>
      </c>
    </row>
    <row r="2" spans="1:77" x14ac:dyDescent="0.15">
      <c r="A2" t="s">
        <v>0</v>
      </c>
      <c r="B2" t="s">
        <v>16</v>
      </c>
      <c r="C2" t="s">
        <v>15</v>
      </c>
      <c r="D2" t="s">
        <v>12</v>
      </c>
      <c r="E2" t="s">
        <v>11</v>
      </c>
      <c r="F2" t="s">
        <v>10</v>
      </c>
      <c r="G2" t="s">
        <v>9</v>
      </c>
      <c r="J2" t="s">
        <v>0</v>
      </c>
      <c r="K2" t="s">
        <v>14</v>
      </c>
      <c r="L2" t="s">
        <v>16</v>
      </c>
      <c r="M2" t="s">
        <v>15</v>
      </c>
      <c r="N2" t="s">
        <v>12</v>
      </c>
      <c r="O2" t="s">
        <v>11</v>
      </c>
      <c r="P2" t="s">
        <v>10</v>
      </c>
      <c r="Q2" t="s">
        <v>9</v>
      </c>
      <c r="T2" t="s">
        <v>0</v>
      </c>
      <c r="U2" t="s">
        <v>14</v>
      </c>
      <c r="V2" t="s">
        <v>16</v>
      </c>
      <c r="W2" t="s">
        <v>15</v>
      </c>
      <c r="X2" t="s">
        <v>12</v>
      </c>
      <c r="Y2" t="s">
        <v>11</v>
      </c>
      <c r="Z2" t="s">
        <v>10</v>
      </c>
      <c r="AA2" t="s">
        <v>9</v>
      </c>
      <c r="AD2" t="s">
        <v>0</v>
      </c>
      <c r="AE2" t="s">
        <v>14</v>
      </c>
      <c r="AF2" t="s">
        <v>16</v>
      </c>
      <c r="AG2" t="s">
        <v>15</v>
      </c>
      <c r="AH2" t="s">
        <v>12</v>
      </c>
      <c r="AI2" t="s">
        <v>11</v>
      </c>
      <c r="AJ2" t="s">
        <v>10</v>
      </c>
      <c r="AK2" t="s">
        <v>9</v>
      </c>
      <c r="AN2" t="s">
        <v>0</v>
      </c>
      <c r="AO2" t="s">
        <v>14</v>
      </c>
      <c r="AP2" t="s">
        <v>16</v>
      </c>
      <c r="AQ2" t="s">
        <v>15</v>
      </c>
      <c r="AR2" t="s">
        <v>12</v>
      </c>
      <c r="AS2" t="s">
        <v>11</v>
      </c>
      <c r="AT2" t="s">
        <v>10</v>
      </c>
      <c r="AU2" t="s">
        <v>9</v>
      </c>
      <c r="AX2" t="s">
        <v>0</v>
      </c>
      <c r="AY2" t="s">
        <v>14</v>
      </c>
      <c r="AZ2" t="s">
        <v>16</v>
      </c>
      <c r="BA2" t="s">
        <v>15</v>
      </c>
      <c r="BB2" t="s">
        <v>12</v>
      </c>
      <c r="BC2" t="s">
        <v>11</v>
      </c>
      <c r="BD2" t="s">
        <v>10</v>
      </c>
      <c r="BE2" t="s">
        <v>9</v>
      </c>
      <c r="BH2" t="s">
        <v>0</v>
      </c>
      <c r="BI2" t="s">
        <v>16</v>
      </c>
      <c r="BJ2" t="s">
        <v>15</v>
      </c>
      <c r="BK2" t="s">
        <v>12</v>
      </c>
      <c r="BL2" t="s">
        <v>11</v>
      </c>
      <c r="BM2" t="s">
        <v>10</v>
      </c>
      <c r="BN2" t="s">
        <v>9</v>
      </c>
      <c r="BR2" t="s">
        <v>0</v>
      </c>
      <c r="BS2" t="s">
        <v>14</v>
      </c>
      <c r="BT2" t="s">
        <v>16</v>
      </c>
      <c r="BU2" t="s">
        <v>15</v>
      </c>
      <c r="BV2" t="s">
        <v>12</v>
      </c>
      <c r="BW2" t="s">
        <v>11</v>
      </c>
      <c r="BX2" t="s">
        <v>10</v>
      </c>
      <c r="BY2" t="s">
        <v>9</v>
      </c>
    </row>
    <row r="3" spans="1:77" x14ac:dyDescent="0.15">
      <c r="A3" t="e">
        <f>Reflection!A3</f>
        <v>#REF!</v>
      </c>
      <c r="B3" t="e">
        <f t="shared" ref="B3:B34" si="0">IMSUM(4.1,IMDIV((78.4-4.1),IMSUM(IMPRODUCT($C$1,2*PI()*A3*0.0000000000083),1)))</f>
        <v>#REF!</v>
      </c>
      <c r="C3" t="e">
        <f t="shared" ref="C3:C34" si="1">IMPRODUCT(IMPRODUCT(B3,$C$1),2*PI()*A3*0.000000000008854)</f>
        <v>#REF!</v>
      </c>
      <c r="D3" t="e">
        <f>IMREAL(B3)</f>
        <v>#REF!</v>
      </c>
      <c r="E3" t="e">
        <f>-IMAGINARY(B3)</f>
        <v>#REF!</v>
      </c>
      <c r="F3" t="e">
        <f>IMREAL(C3)</f>
        <v>#REF!</v>
      </c>
      <c r="G3" t="e">
        <f t="shared" ref="G3:G34" si="2">IMAGINARY(C3)</f>
        <v>#REF!</v>
      </c>
      <c r="J3" t="e">
        <f>Reflection!A3</f>
        <v>#REF!</v>
      </c>
      <c r="K3" t="s">
        <v>13</v>
      </c>
      <c r="L3" t="e">
        <f>IMSUM(2.6,IMDIV(19.94,IMSUM(1,IMPOWER(IMPRODUCT(K3,2*PI()*J3,0.0000000001649),1))),IMDIV(0.74,IMSUM(1,IMPRODUCT(K3,2*PI()*J3*0.0000000000104))),IMDIV(1.19,IMSUM(1,IMPRODUCT(K3,2*PI()*J3*0.00000000000169))))</f>
        <v>#REF!</v>
      </c>
      <c r="M3" t="e">
        <f>IMPRODUCT(IMPRODUCT(L3,K3),2*PI()*J3*0.0000000000088542)</f>
        <v>#REF!</v>
      </c>
      <c r="N3" t="e">
        <f>IMREAL(L3)</f>
        <v>#REF!</v>
      </c>
      <c r="O3" t="e">
        <f>-IMAGINARY(L3)</f>
        <v>#REF!</v>
      </c>
      <c r="P3" t="e">
        <f>IMREAL(M3)</f>
        <v>#REF!</v>
      </c>
      <c r="Q3" t="e">
        <f>IMAGINARY(M3)</f>
        <v>#REF!</v>
      </c>
      <c r="T3" t="e">
        <f>Reflection!A3</f>
        <v>#REF!</v>
      </c>
      <c r="U3" t="s">
        <v>13</v>
      </c>
      <c r="V3" t="e">
        <f>IMSUM(2.68,IMDIV(21.73,IMSUM(1,IMPOWER(IMPRODUCT(U3,2*PI()*T3,0.0000000001422),0.988))),IMDIV(0.77,IMSUM(1,IMPRODUCT(U3,2*PI()*T3*0.00000000000957))),IMDIV(1.32,IMSUM(1,IMPRODUCT(U3,2*PI()*T3*0.00000000000197))))</f>
        <v>#REF!</v>
      </c>
      <c r="W3" t="e">
        <f>IMPRODUCT(IMPRODUCT(V3,U3),2*PI()*T3*0.0000000000088542)</f>
        <v>#REF!</v>
      </c>
      <c r="X3" t="e">
        <f>IMREAL(V3)</f>
        <v>#REF!</v>
      </c>
      <c r="Y3" t="e">
        <f>-IMAGINARY(V3)</f>
        <v>#REF!</v>
      </c>
      <c r="Z3" t="e">
        <f>IMREAL(W3)</f>
        <v>#REF!</v>
      </c>
      <c r="AA3" t="e">
        <f>IMAGINARY(W3)</f>
        <v>#REF!</v>
      </c>
      <c r="AD3" t="e">
        <f>Reflection!A3</f>
        <v>#REF!</v>
      </c>
      <c r="AE3" t="s">
        <v>13</v>
      </c>
      <c r="AF3" t="e">
        <f>IMSUM(2.7,IMDIV(25.93,IMSUM(1,IMPOWER(IMPRODUCT(AE3,2*PI()*AD3,0.00000000009441),0.956))),IMDIV(1.44,IMSUM(1,IMPRODUCT(AE3,2*PI()*AD3*0.00000000000891))),IMDIV(1.28,IMSUM(1,IMPRODUCT(AE3,2*PI()*AD3*0.00000000000139))))</f>
        <v>#REF!</v>
      </c>
      <c r="AG3" t="e">
        <f>IMPRODUCT(IMPRODUCT(AF3,AE3),2*PI()*AD3*0.0000000000088542)</f>
        <v>#REF!</v>
      </c>
      <c r="AH3" t="e">
        <f>IMREAL(AF3)</f>
        <v>#REF!</v>
      </c>
      <c r="AI3" t="e">
        <f>-IMAGINARY(AF3)</f>
        <v>#REF!</v>
      </c>
      <c r="AJ3" t="e">
        <f>IMREAL(AG3)</f>
        <v>#REF!</v>
      </c>
      <c r="AK3" t="e">
        <f>IMAGINARY(AG3)</f>
        <v>#REF!</v>
      </c>
      <c r="AN3" t="e">
        <f>Reflection!A3</f>
        <v>#REF!</v>
      </c>
      <c r="AO3" t="s">
        <v>13</v>
      </c>
      <c r="AP3" t="e">
        <f>IMSUM(2.87,IMDIV(31.07,IMSUM(1,IMPOWER(IMPRODUCT(AO3,2*PI()*AN3,0.00000000005957),0.934))),IMDIV(1.79,IMSUM(1,IMPRODUCT(AO3,2*PI()*AN3*0.0000000000095))),IMDIV(1.21,IMSUM(1,IMPRODUCT(AO3,2*PI()*AN3*0.00000000000108))))</f>
        <v>#REF!</v>
      </c>
      <c r="AQ3" t="e">
        <f>IMPRODUCT(IMPRODUCT(AP3,AO3),2*PI()*AN3*0.0000000000088542)</f>
        <v>#REF!</v>
      </c>
      <c r="AR3" t="e">
        <f>IMREAL(AP3)</f>
        <v>#REF!</v>
      </c>
      <c r="AS3" t="e">
        <f>-IMAGINARY(AP3)</f>
        <v>#REF!</v>
      </c>
      <c r="AT3" t="e">
        <f>IMREAL(AQ3)</f>
        <v>#REF!</v>
      </c>
      <c r="AU3" t="e">
        <f>IMAGINARY(AQ3)</f>
        <v>#REF!</v>
      </c>
      <c r="AX3" t="e">
        <f>Reflection!A3</f>
        <v>#REF!</v>
      </c>
      <c r="AY3" t="s">
        <v>13</v>
      </c>
      <c r="AZ3" t="e">
        <f>IMSUM(3.14,IMDIV(42.45,IMSUM(1,IMPOWER(IMPRODUCT(AY3,2*PI()*AX3,0.00000000003598),0.94))),IMDIV(0.86,IMSUM(1,IMPRODUCT(AY3,2*PI()*AX3*0.00000000000744))),IMDIV(1.49,IMSUM(1,IMPRODUCT(AY3,2*PI()*AX3*0.00000000000125))))</f>
        <v>#REF!</v>
      </c>
      <c r="BA3" t="e">
        <f>IMPRODUCT(IMPRODUCT(AZ3,AY3),2*PI()*AX3*0.0000000000088542)</f>
        <v>#REF!</v>
      </c>
      <c r="BB3" t="e">
        <f>IMREAL(AZ3)</f>
        <v>#REF!</v>
      </c>
      <c r="BC3" t="e">
        <f>-IMAGINARY(AZ3)</f>
        <v>#REF!</v>
      </c>
      <c r="BD3" t="e">
        <f>IMREAL(BA3)</f>
        <v>#REF!</v>
      </c>
      <c r="BE3" t="e">
        <f>IMAGINARY(BA3)</f>
        <v>#REF!</v>
      </c>
      <c r="BH3" t="e">
        <f>Reflection!A3</f>
        <v>#REF!</v>
      </c>
      <c r="BI3" t="e">
        <f>IMSUM($BJ$1,IMSUM(IMDIV(($BK$1-$BJ$1),IMSUM(IMPOWER(IMPRODUCT($BP$1,2*PI()*BH3*$BL$1),(1-$BM$1)),1)),IMDIV($BN$1,IMPRODUCT($BP$1,2*PI()*BH3*0.000000000008854))))</f>
        <v>#REF!</v>
      </c>
      <c r="BJ3" t="e">
        <f>IMPRODUCT(IMPRODUCT(BI3,$BP$1),2*PI()*BH3*0.000000000008854)</f>
        <v>#REF!</v>
      </c>
      <c r="BK3" t="e">
        <f>IMREAL(BI3)</f>
        <v>#REF!</v>
      </c>
      <c r="BL3" t="e">
        <f>-IMAGINARY(BI3)</f>
        <v>#REF!</v>
      </c>
      <c r="BM3" t="e">
        <f>IMREAL(BJ3)</f>
        <v>#REF!</v>
      </c>
      <c r="BN3" t="e">
        <f t="shared" ref="BN3:BN67" si="3">IMAGINARY(BJ3)</f>
        <v>#REF!</v>
      </c>
      <c r="BR3" t="e">
        <f>Reflection!A3</f>
        <v>#REF!</v>
      </c>
      <c r="BS3" t="s">
        <v>13</v>
      </c>
      <c r="BT3" t="e">
        <f>IMSUM(4.1,IMDIV((78.4-4.1),IMSUM(IMPRODUCT(BS3,2*PI()*BR3*0.0000000000083),1)))</f>
        <v>#REF!</v>
      </c>
      <c r="BU3" t="e">
        <f t="shared" ref="BU3:BU34" si="4">IMPRODUCT(IMPRODUCT(BT3,BS3),2*PI()*BR3*0.000000000008854)</f>
        <v>#REF!</v>
      </c>
      <c r="BV3" t="e">
        <f>IMREAL(BT3)</f>
        <v>#REF!</v>
      </c>
      <c r="BW3" t="e">
        <f>-IMAGINARY(BT3)</f>
        <v>#REF!</v>
      </c>
      <c r="BX3" t="e">
        <f>IMREAL(BU3)</f>
        <v>#REF!</v>
      </c>
      <c r="BY3" t="e">
        <f t="shared" ref="BY3:BY67" si="5">IMAGINARY(BU3)</f>
        <v>#REF!</v>
      </c>
    </row>
    <row r="4" spans="1:77" x14ac:dyDescent="0.15">
      <c r="A4" t="e">
        <f>Reflection!A4</f>
        <v>#REF!</v>
      </c>
      <c r="B4" t="e">
        <f t="shared" si="0"/>
        <v>#REF!</v>
      </c>
      <c r="C4" t="e">
        <f t="shared" si="1"/>
        <v>#REF!</v>
      </c>
      <c r="D4" t="e">
        <f t="shared" ref="D4:D67" si="6">IMREAL(B4)</f>
        <v>#REF!</v>
      </c>
      <c r="E4" t="e">
        <f t="shared" ref="E4:E67" si="7">-IMAGINARY(B4)</f>
        <v>#REF!</v>
      </c>
      <c r="F4" t="e">
        <f t="shared" ref="F4:F67" si="8">IMREAL(C4)</f>
        <v>#REF!</v>
      </c>
      <c r="G4" t="e">
        <f t="shared" si="2"/>
        <v>#REF!</v>
      </c>
      <c r="J4" t="e">
        <f>Reflection!A4</f>
        <v>#REF!</v>
      </c>
      <c r="K4" t="s">
        <v>13</v>
      </c>
      <c r="L4" t="e">
        <f t="shared" ref="L4:L67" si="9">IMSUM(2.6,IMDIV(19.94,IMSUM(1,IMPOWER(IMPRODUCT(K4,2*PI()*J4,0.0000000001649),1))),IMDIV(0.74,IMSUM(1,IMPRODUCT(K4,2*PI()*J4*0.0000000000104))),IMDIV(1.19,IMSUM(1,IMPRODUCT(K4,2*PI()*J4*0.00000000000169))))</f>
        <v>#REF!</v>
      </c>
      <c r="M4" t="e">
        <f t="shared" ref="M4:M67" si="10">IMPRODUCT(IMPRODUCT(L4,K4),2*PI()*J4*0.0000000000088542)</f>
        <v>#REF!</v>
      </c>
      <c r="N4" t="e">
        <f t="shared" ref="N4:N67" si="11">IMREAL(L4)</f>
        <v>#REF!</v>
      </c>
      <c r="O4" t="e">
        <f t="shared" ref="O4:O67" si="12">-IMAGINARY(L4)</f>
        <v>#REF!</v>
      </c>
      <c r="P4" t="e">
        <f t="shared" ref="P4:P67" si="13">IMREAL(M4)</f>
        <v>#REF!</v>
      </c>
      <c r="Q4" t="e">
        <f t="shared" ref="Q4:Q67" si="14">IMAGINARY(M4)</f>
        <v>#REF!</v>
      </c>
      <c r="T4" t="e">
        <f>Reflection!A4</f>
        <v>#REF!</v>
      </c>
      <c r="U4" t="s">
        <v>13</v>
      </c>
      <c r="V4" t="e">
        <f t="shared" ref="V4:V67" si="15">IMSUM(2.68,IMDIV(21.73,IMSUM(1,IMPOWER(IMPRODUCT(U4,2*PI()*T4,0.0000000001422),0.988))),IMDIV(0.77,IMSUM(1,IMPRODUCT(U4,2*PI()*T4*0.00000000000957))),IMDIV(1.32,IMSUM(1,IMPRODUCT(U4,2*PI()*T4*0.00000000000197))))</f>
        <v>#REF!</v>
      </c>
      <c r="W4" t="e">
        <f t="shared" ref="W4:W67" si="16">IMPRODUCT(IMPRODUCT(V4,U4),2*PI()*T4*0.0000000000088542)</f>
        <v>#REF!</v>
      </c>
      <c r="X4" t="e">
        <f t="shared" ref="X4:X67" si="17">IMREAL(V4)</f>
        <v>#REF!</v>
      </c>
      <c r="Y4" t="e">
        <f t="shared" ref="Y4:Y67" si="18">-IMAGINARY(V4)</f>
        <v>#REF!</v>
      </c>
      <c r="Z4" t="e">
        <f t="shared" ref="Z4:Z67" si="19">IMREAL(W4)</f>
        <v>#REF!</v>
      </c>
      <c r="AA4" t="e">
        <f t="shared" ref="AA4:AA67" si="20">IMAGINARY(W4)</f>
        <v>#REF!</v>
      </c>
      <c r="AD4" t="e">
        <f>Reflection!A4</f>
        <v>#REF!</v>
      </c>
      <c r="AE4" t="s">
        <v>13</v>
      </c>
      <c r="AF4" t="e">
        <f t="shared" ref="AF4:AF67" si="21">IMSUM(2.7,IMDIV(25.93,IMSUM(1,IMPOWER(IMPRODUCT(AE4,2*PI()*AD4,0.00000000009441),0.956))),IMDIV(1.44,IMSUM(1,IMPRODUCT(AE4,2*PI()*AD4*0.00000000000891))),IMDIV(1.28,IMSUM(1,IMPRODUCT(AE4,2*PI()*AD4*0.00000000000139))))</f>
        <v>#REF!</v>
      </c>
      <c r="AG4" t="e">
        <f t="shared" ref="AG4:AG67" si="22">IMPRODUCT(IMPRODUCT(AF4,AE4),2*PI()*AD4*0.0000000000088542)</f>
        <v>#REF!</v>
      </c>
      <c r="AH4" t="e">
        <f t="shared" ref="AH4:AH67" si="23">IMREAL(AF4)</f>
        <v>#REF!</v>
      </c>
      <c r="AI4" t="e">
        <f t="shared" ref="AI4:AI67" si="24">-IMAGINARY(AF4)</f>
        <v>#REF!</v>
      </c>
      <c r="AJ4" t="e">
        <f t="shared" ref="AJ4:AJ67" si="25">IMREAL(AG4)</f>
        <v>#REF!</v>
      </c>
      <c r="AK4" t="e">
        <f t="shared" ref="AK4:AK67" si="26">IMAGINARY(AG4)</f>
        <v>#REF!</v>
      </c>
      <c r="AN4" t="e">
        <f>Reflection!A4</f>
        <v>#REF!</v>
      </c>
      <c r="AO4" t="s">
        <v>13</v>
      </c>
      <c r="AP4" t="e">
        <f t="shared" ref="AP4:AP67" si="27">IMSUM(2.87,IMDIV(31.07,IMSUM(1,IMPOWER(IMPRODUCT(AO4,2*PI()*AN4,0.00000000005957),0.934))),IMDIV(1.79,IMSUM(1,IMPRODUCT(AO4,2*PI()*AN4*0.0000000000095))),IMDIV(1.21,IMSUM(1,IMPRODUCT(AO4,2*PI()*AN4*0.00000000000108))))</f>
        <v>#REF!</v>
      </c>
      <c r="AQ4" t="e">
        <f t="shared" ref="AQ4:AQ67" si="28">IMPRODUCT(IMPRODUCT(AP4,AO4),2*PI()*AN4*0.0000000000088542)</f>
        <v>#REF!</v>
      </c>
      <c r="AR4" t="e">
        <f t="shared" ref="AR4:AR67" si="29">IMREAL(AP4)</f>
        <v>#REF!</v>
      </c>
      <c r="AS4" t="e">
        <f t="shared" ref="AS4:AS67" si="30">-IMAGINARY(AP4)</f>
        <v>#REF!</v>
      </c>
      <c r="AT4" t="e">
        <f t="shared" ref="AT4:AT67" si="31">IMREAL(AQ4)</f>
        <v>#REF!</v>
      </c>
      <c r="AU4" t="e">
        <f t="shared" ref="AU4:AU67" si="32">IMAGINARY(AQ4)</f>
        <v>#REF!</v>
      </c>
      <c r="AX4" t="e">
        <f>Reflection!A4</f>
        <v>#REF!</v>
      </c>
      <c r="AY4" t="s">
        <v>13</v>
      </c>
      <c r="AZ4" t="e">
        <f t="shared" ref="AZ4:AZ67" si="33">IMSUM(3.14,IMDIV(42.45,IMSUM(1,IMPOWER(IMPRODUCT(AY4,2*PI()*AX4,0.00000000003598),0.94))),IMDIV(0.86,IMSUM(1,IMPRODUCT(AY4,2*PI()*AX4*0.00000000000744))),IMDIV(1.49,IMSUM(1,IMPRODUCT(AY4,2*PI()*AX4*0.00000000000125))))</f>
        <v>#REF!</v>
      </c>
      <c r="BA4" t="e">
        <f t="shared" ref="BA4:BA67" si="34">IMPRODUCT(IMPRODUCT(AZ4,AY4),2*PI()*AX4*0.0000000000088542)</f>
        <v>#REF!</v>
      </c>
      <c r="BB4" t="e">
        <f t="shared" ref="BB4:BB67" si="35">IMREAL(AZ4)</f>
        <v>#REF!</v>
      </c>
      <c r="BC4" t="e">
        <f t="shared" ref="BC4:BC67" si="36">-IMAGINARY(AZ4)</f>
        <v>#REF!</v>
      </c>
      <c r="BD4" t="e">
        <f t="shared" ref="BD4:BD67" si="37">IMREAL(BA4)</f>
        <v>#REF!</v>
      </c>
      <c r="BE4" t="e">
        <f t="shared" ref="BE4:BE67" si="38">IMAGINARY(BA4)</f>
        <v>#REF!</v>
      </c>
      <c r="BH4" t="e">
        <f>Reflection!A4</f>
        <v>#REF!</v>
      </c>
      <c r="BI4" t="e">
        <f t="shared" ref="BI4:BI67" si="39">IMSUM($BJ$1,IMSUM(IMDIV(($BK$1-$BJ$1),IMSUM(IMPOWER(IMPRODUCT($BP$1,2*PI()*BH4*$BL$1),(1-$BM$1)),1)),IMDIV($BN$1,IMPRODUCT($BP$1,2*PI()*BH4*0.000000000008854))))</f>
        <v>#REF!</v>
      </c>
      <c r="BJ4" t="e">
        <f t="shared" ref="BJ4:BJ67" si="40">IMPRODUCT(IMPRODUCT(BI4,$BP$1),2*PI()*BH4*0.000000000008854)</f>
        <v>#REF!</v>
      </c>
      <c r="BK4" t="e">
        <f t="shared" ref="BK4:BK67" si="41">IMREAL(BI4)</f>
        <v>#REF!</v>
      </c>
      <c r="BL4" t="e">
        <f t="shared" ref="BL4:BL67" si="42">-IMAGINARY(BI4)</f>
        <v>#REF!</v>
      </c>
      <c r="BM4" t="e">
        <f t="shared" ref="BM4:BM67" si="43">IMREAL(BJ4)</f>
        <v>#REF!</v>
      </c>
      <c r="BN4" t="e">
        <f t="shared" si="3"/>
        <v>#REF!</v>
      </c>
      <c r="BR4" t="e">
        <f>Reflection!A4</f>
        <v>#REF!</v>
      </c>
      <c r="BS4" t="s">
        <v>13</v>
      </c>
      <c r="BT4" t="e">
        <f t="shared" ref="BT4:BT67" si="44">IMSUM(4.1,IMDIV((78.4-4.1),IMSUM(IMPRODUCT(BS4,2*PI()*BR4*0.0000000000083),1)))</f>
        <v>#REF!</v>
      </c>
      <c r="BU4" t="e">
        <f t="shared" si="4"/>
        <v>#REF!</v>
      </c>
      <c r="BV4" t="e">
        <f t="shared" ref="BV4:BV67" si="45">IMREAL(BT4)</f>
        <v>#REF!</v>
      </c>
      <c r="BW4" t="e">
        <f t="shared" ref="BW4:BW67" si="46">-IMAGINARY(BT4)</f>
        <v>#REF!</v>
      </c>
      <c r="BX4" t="e">
        <f t="shared" ref="BX4:BX67" si="47">IMREAL(BU4)</f>
        <v>#REF!</v>
      </c>
      <c r="BY4" t="e">
        <f t="shared" si="5"/>
        <v>#REF!</v>
      </c>
    </row>
    <row r="5" spans="1:77" x14ac:dyDescent="0.15">
      <c r="A5" t="e">
        <f>Reflection!A5</f>
        <v>#REF!</v>
      </c>
      <c r="B5" t="e">
        <f t="shared" si="0"/>
        <v>#REF!</v>
      </c>
      <c r="C5" t="e">
        <f t="shared" si="1"/>
        <v>#REF!</v>
      </c>
      <c r="D5" t="e">
        <f t="shared" si="6"/>
        <v>#REF!</v>
      </c>
      <c r="E5" t="e">
        <f t="shared" si="7"/>
        <v>#REF!</v>
      </c>
      <c r="F5" t="e">
        <f t="shared" si="8"/>
        <v>#REF!</v>
      </c>
      <c r="G5" t="e">
        <f t="shared" si="2"/>
        <v>#REF!</v>
      </c>
      <c r="J5" t="e">
        <f>Reflection!A5</f>
        <v>#REF!</v>
      </c>
      <c r="K5" t="s">
        <v>13</v>
      </c>
      <c r="L5" t="e">
        <f t="shared" si="9"/>
        <v>#REF!</v>
      </c>
      <c r="M5" t="e">
        <f t="shared" si="10"/>
        <v>#REF!</v>
      </c>
      <c r="N5" t="e">
        <f t="shared" si="11"/>
        <v>#REF!</v>
      </c>
      <c r="O5" t="e">
        <f t="shared" si="12"/>
        <v>#REF!</v>
      </c>
      <c r="P5" t="e">
        <f t="shared" si="13"/>
        <v>#REF!</v>
      </c>
      <c r="Q5" t="e">
        <f t="shared" si="14"/>
        <v>#REF!</v>
      </c>
      <c r="T5" t="e">
        <f>Reflection!A5</f>
        <v>#REF!</v>
      </c>
      <c r="U5" t="s">
        <v>13</v>
      </c>
      <c r="V5" t="e">
        <f t="shared" si="15"/>
        <v>#REF!</v>
      </c>
      <c r="W5" t="e">
        <f t="shared" si="16"/>
        <v>#REF!</v>
      </c>
      <c r="X5" t="e">
        <f t="shared" si="17"/>
        <v>#REF!</v>
      </c>
      <c r="Y5" t="e">
        <f t="shared" si="18"/>
        <v>#REF!</v>
      </c>
      <c r="Z5" t="e">
        <f t="shared" si="19"/>
        <v>#REF!</v>
      </c>
      <c r="AA5" t="e">
        <f t="shared" si="20"/>
        <v>#REF!</v>
      </c>
      <c r="AD5" t="e">
        <f>Reflection!A5</f>
        <v>#REF!</v>
      </c>
      <c r="AE5" t="s">
        <v>13</v>
      </c>
      <c r="AF5" t="e">
        <f t="shared" si="21"/>
        <v>#REF!</v>
      </c>
      <c r="AG5" t="e">
        <f t="shared" si="22"/>
        <v>#REF!</v>
      </c>
      <c r="AH5" t="e">
        <f t="shared" si="23"/>
        <v>#REF!</v>
      </c>
      <c r="AI5" t="e">
        <f t="shared" si="24"/>
        <v>#REF!</v>
      </c>
      <c r="AJ5" t="e">
        <f t="shared" si="25"/>
        <v>#REF!</v>
      </c>
      <c r="AK5" t="e">
        <f t="shared" si="26"/>
        <v>#REF!</v>
      </c>
      <c r="AN5" t="e">
        <f>Reflection!A5</f>
        <v>#REF!</v>
      </c>
      <c r="AO5" t="s">
        <v>13</v>
      </c>
      <c r="AP5" t="e">
        <f t="shared" si="27"/>
        <v>#REF!</v>
      </c>
      <c r="AQ5" t="e">
        <f t="shared" si="28"/>
        <v>#REF!</v>
      </c>
      <c r="AR5" t="e">
        <f t="shared" si="29"/>
        <v>#REF!</v>
      </c>
      <c r="AS5" t="e">
        <f t="shared" si="30"/>
        <v>#REF!</v>
      </c>
      <c r="AT5" t="e">
        <f t="shared" si="31"/>
        <v>#REF!</v>
      </c>
      <c r="AU5" t="e">
        <f t="shared" si="32"/>
        <v>#REF!</v>
      </c>
      <c r="AX5" t="e">
        <f>Reflection!A5</f>
        <v>#REF!</v>
      </c>
      <c r="AY5" t="s">
        <v>13</v>
      </c>
      <c r="AZ5" t="e">
        <f t="shared" si="33"/>
        <v>#REF!</v>
      </c>
      <c r="BA5" t="e">
        <f t="shared" si="34"/>
        <v>#REF!</v>
      </c>
      <c r="BB5" t="e">
        <f t="shared" si="35"/>
        <v>#REF!</v>
      </c>
      <c r="BC5" t="e">
        <f t="shared" si="36"/>
        <v>#REF!</v>
      </c>
      <c r="BD5" t="e">
        <f t="shared" si="37"/>
        <v>#REF!</v>
      </c>
      <c r="BE5" t="e">
        <f t="shared" si="38"/>
        <v>#REF!</v>
      </c>
      <c r="BH5" t="e">
        <f>Reflection!A5</f>
        <v>#REF!</v>
      </c>
      <c r="BI5" t="e">
        <f t="shared" si="39"/>
        <v>#REF!</v>
      </c>
      <c r="BJ5" t="e">
        <f t="shared" si="40"/>
        <v>#REF!</v>
      </c>
      <c r="BK5" t="e">
        <f t="shared" si="41"/>
        <v>#REF!</v>
      </c>
      <c r="BL5" t="e">
        <f t="shared" si="42"/>
        <v>#REF!</v>
      </c>
      <c r="BM5" t="e">
        <f t="shared" si="43"/>
        <v>#REF!</v>
      </c>
      <c r="BN5" t="e">
        <f t="shared" si="3"/>
        <v>#REF!</v>
      </c>
      <c r="BR5" t="e">
        <f>Reflection!A5</f>
        <v>#REF!</v>
      </c>
      <c r="BS5" t="s">
        <v>13</v>
      </c>
      <c r="BT5" t="e">
        <f t="shared" si="44"/>
        <v>#REF!</v>
      </c>
      <c r="BU5" t="e">
        <f t="shared" si="4"/>
        <v>#REF!</v>
      </c>
      <c r="BV5" t="e">
        <f t="shared" si="45"/>
        <v>#REF!</v>
      </c>
      <c r="BW5" t="e">
        <f t="shared" si="46"/>
        <v>#REF!</v>
      </c>
      <c r="BX5" t="e">
        <f t="shared" si="47"/>
        <v>#REF!</v>
      </c>
      <c r="BY5" t="e">
        <f t="shared" si="5"/>
        <v>#REF!</v>
      </c>
    </row>
    <row r="6" spans="1:77" x14ac:dyDescent="0.15">
      <c r="A6" t="e">
        <f>Reflection!A6</f>
        <v>#REF!</v>
      </c>
      <c r="B6" t="e">
        <f t="shared" si="0"/>
        <v>#REF!</v>
      </c>
      <c r="C6" t="e">
        <f t="shared" si="1"/>
        <v>#REF!</v>
      </c>
      <c r="D6" t="e">
        <f t="shared" si="6"/>
        <v>#REF!</v>
      </c>
      <c r="E6" t="e">
        <f t="shared" si="7"/>
        <v>#REF!</v>
      </c>
      <c r="F6" t="e">
        <f t="shared" si="8"/>
        <v>#REF!</v>
      </c>
      <c r="G6" t="e">
        <f t="shared" si="2"/>
        <v>#REF!</v>
      </c>
      <c r="J6" t="e">
        <f>Reflection!A6</f>
        <v>#REF!</v>
      </c>
      <c r="K6" t="s">
        <v>13</v>
      </c>
      <c r="L6" t="e">
        <f t="shared" si="9"/>
        <v>#REF!</v>
      </c>
      <c r="M6" t="e">
        <f t="shared" si="10"/>
        <v>#REF!</v>
      </c>
      <c r="N6" t="e">
        <f t="shared" si="11"/>
        <v>#REF!</v>
      </c>
      <c r="O6" t="e">
        <f t="shared" si="12"/>
        <v>#REF!</v>
      </c>
      <c r="P6" t="e">
        <f t="shared" si="13"/>
        <v>#REF!</v>
      </c>
      <c r="Q6" t="e">
        <f t="shared" si="14"/>
        <v>#REF!</v>
      </c>
      <c r="T6" t="e">
        <f>Reflection!A6</f>
        <v>#REF!</v>
      </c>
      <c r="U6" t="s">
        <v>13</v>
      </c>
      <c r="V6" t="e">
        <f t="shared" si="15"/>
        <v>#REF!</v>
      </c>
      <c r="W6" t="e">
        <f t="shared" si="16"/>
        <v>#REF!</v>
      </c>
      <c r="X6" t="e">
        <f t="shared" si="17"/>
        <v>#REF!</v>
      </c>
      <c r="Y6" t="e">
        <f t="shared" si="18"/>
        <v>#REF!</v>
      </c>
      <c r="Z6" t="e">
        <f t="shared" si="19"/>
        <v>#REF!</v>
      </c>
      <c r="AA6" t="e">
        <f t="shared" si="20"/>
        <v>#REF!</v>
      </c>
      <c r="AD6" t="e">
        <f>Reflection!A6</f>
        <v>#REF!</v>
      </c>
      <c r="AE6" t="s">
        <v>13</v>
      </c>
      <c r="AF6" t="e">
        <f t="shared" si="21"/>
        <v>#REF!</v>
      </c>
      <c r="AG6" t="e">
        <f t="shared" si="22"/>
        <v>#REF!</v>
      </c>
      <c r="AH6" t="e">
        <f t="shared" si="23"/>
        <v>#REF!</v>
      </c>
      <c r="AI6" t="e">
        <f t="shared" si="24"/>
        <v>#REF!</v>
      </c>
      <c r="AJ6" t="e">
        <f t="shared" si="25"/>
        <v>#REF!</v>
      </c>
      <c r="AK6" t="e">
        <f t="shared" si="26"/>
        <v>#REF!</v>
      </c>
      <c r="AN6" t="e">
        <f>Reflection!A6</f>
        <v>#REF!</v>
      </c>
      <c r="AO6" t="s">
        <v>13</v>
      </c>
      <c r="AP6" t="e">
        <f t="shared" si="27"/>
        <v>#REF!</v>
      </c>
      <c r="AQ6" t="e">
        <f t="shared" si="28"/>
        <v>#REF!</v>
      </c>
      <c r="AR6" t="e">
        <f t="shared" si="29"/>
        <v>#REF!</v>
      </c>
      <c r="AS6" t="e">
        <f t="shared" si="30"/>
        <v>#REF!</v>
      </c>
      <c r="AT6" t="e">
        <f t="shared" si="31"/>
        <v>#REF!</v>
      </c>
      <c r="AU6" t="e">
        <f t="shared" si="32"/>
        <v>#REF!</v>
      </c>
      <c r="AX6" t="e">
        <f>Reflection!A6</f>
        <v>#REF!</v>
      </c>
      <c r="AY6" t="s">
        <v>13</v>
      </c>
      <c r="AZ6" t="e">
        <f t="shared" si="33"/>
        <v>#REF!</v>
      </c>
      <c r="BA6" t="e">
        <f t="shared" si="34"/>
        <v>#REF!</v>
      </c>
      <c r="BB6" t="e">
        <f t="shared" si="35"/>
        <v>#REF!</v>
      </c>
      <c r="BC6" t="e">
        <f t="shared" si="36"/>
        <v>#REF!</v>
      </c>
      <c r="BD6" t="e">
        <f t="shared" si="37"/>
        <v>#REF!</v>
      </c>
      <c r="BE6" t="e">
        <f t="shared" si="38"/>
        <v>#REF!</v>
      </c>
      <c r="BH6" t="e">
        <f>Reflection!A6</f>
        <v>#REF!</v>
      </c>
      <c r="BI6" t="e">
        <f t="shared" si="39"/>
        <v>#REF!</v>
      </c>
      <c r="BJ6" t="e">
        <f t="shared" si="40"/>
        <v>#REF!</v>
      </c>
      <c r="BK6" t="e">
        <f t="shared" si="41"/>
        <v>#REF!</v>
      </c>
      <c r="BL6" t="e">
        <f t="shared" si="42"/>
        <v>#REF!</v>
      </c>
      <c r="BM6" t="e">
        <f t="shared" si="43"/>
        <v>#REF!</v>
      </c>
      <c r="BN6" t="e">
        <f t="shared" si="3"/>
        <v>#REF!</v>
      </c>
      <c r="BR6" t="e">
        <f>Reflection!A6</f>
        <v>#REF!</v>
      </c>
      <c r="BS6" t="s">
        <v>13</v>
      </c>
      <c r="BT6" t="e">
        <f t="shared" si="44"/>
        <v>#REF!</v>
      </c>
      <c r="BU6" t="e">
        <f t="shared" si="4"/>
        <v>#REF!</v>
      </c>
      <c r="BV6" t="e">
        <f t="shared" si="45"/>
        <v>#REF!</v>
      </c>
      <c r="BW6" t="e">
        <f t="shared" si="46"/>
        <v>#REF!</v>
      </c>
      <c r="BX6" t="e">
        <f t="shared" si="47"/>
        <v>#REF!</v>
      </c>
      <c r="BY6" t="e">
        <f t="shared" si="5"/>
        <v>#REF!</v>
      </c>
    </row>
    <row r="7" spans="1:77" x14ac:dyDescent="0.15">
      <c r="A7" t="e">
        <f>Reflection!A7</f>
        <v>#REF!</v>
      </c>
      <c r="B7" t="e">
        <f t="shared" si="0"/>
        <v>#REF!</v>
      </c>
      <c r="C7" t="e">
        <f t="shared" si="1"/>
        <v>#REF!</v>
      </c>
      <c r="D7" t="e">
        <f t="shared" si="6"/>
        <v>#REF!</v>
      </c>
      <c r="E7" t="e">
        <f t="shared" si="7"/>
        <v>#REF!</v>
      </c>
      <c r="F7" t="e">
        <f t="shared" si="8"/>
        <v>#REF!</v>
      </c>
      <c r="G7" t="e">
        <f t="shared" si="2"/>
        <v>#REF!</v>
      </c>
      <c r="J7" t="e">
        <f>Reflection!A7</f>
        <v>#REF!</v>
      </c>
      <c r="K7" t="s">
        <v>13</v>
      </c>
      <c r="L7" t="e">
        <f t="shared" si="9"/>
        <v>#REF!</v>
      </c>
      <c r="M7" t="e">
        <f t="shared" si="10"/>
        <v>#REF!</v>
      </c>
      <c r="N7" t="e">
        <f t="shared" si="11"/>
        <v>#REF!</v>
      </c>
      <c r="O7" t="e">
        <f t="shared" si="12"/>
        <v>#REF!</v>
      </c>
      <c r="P7" t="e">
        <f t="shared" si="13"/>
        <v>#REF!</v>
      </c>
      <c r="Q7" t="e">
        <f t="shared" si="14"/>
        <v>#REF!</v>
      </c>
      <c r="T7" t="e">
        <f>Reflection!A7</f>
        <v>#REF!</v>
      </c>
      <c r="U7" t="s">
        <v>13</v>
      </c>
      <c r="V7" t="e">
        <f t="shared" si="15"/>
        <v>#REF!</v>
      </c>
      <c r="W7" t="e">
        <f t="shared" si="16"/>
        <v>#REF!</v>
      </c>
      <c r="X7" t="e">
        <f t="shared" si="17"/>
        <v>#REF!</v>
      </c>
      <c r="Y7" t="e">
        <f t="shared" si="18"/>
        <v>#REF!</v>
      </c>
      <c r="Z7" t="e">
        <f t="shared" si="19"/>
        <v>#REF!</v>
      </c>
      <c r="AA7" t="e">
        <f t="shared" si="20"/>
        <v>#REF!</v>
      </c>
      <c r="AD7" t="e">
        <f>Reflection!A7</f>
        <v>#REF!</v>
      </c>
      <c r="AE7" t="s">
        <v>13</v>
      </c>
      <c r="AF7" t="e">
        <f t="shared" si="21"/>
        <v>#REF!</v>
      </c>
      <c r="AG7" t="e">
        <f t="shared" si="22"/>
        <v>#REF!</v>
      </c>
      <c r="AH7" t="e">
        <f t="shared" si="23"/>
        <v>#REF!</v>
      </c>
      <c r="AI7" t="e">
        <f t="shared" si="24"/>
        <v>#REF!</v>
      </c>
      <c r="AJ7" t="e">
        <f t="shared" si="25"/>
        <v>#REF!</v>
      </c>
      <c r="AK7" t="e">
        <f t="shared" si="26"/>
        <v>#REF!</v>
      </c>
      <c r="AN7" t="e">
        <f>Reflection!A7</f>
        <v>#REF!</v>
      </c>
      <c r="AO7" t="s">
        <v>13</v>
      </c>
      <c r="AP7" t="e">
        <f t="shared" si="27"/>
        <v>#REF!</v>
      </c>
      <c r="AQ7" t="e">
        <f t="shared" si="28"/>
        <v>#REF!</v>
      </c>
      <c r="AR7" t="e">
        <f t="shared" si="29"/>
        <v>#REF!</v>
      </c>
      <c r="AS7" t="e">
        <f t="shared" si="30"/>
        <v>#REF!</v>
      </c>
      <c r="AT7" t="e">
        <f t="shared" si="31"/>
        <v>#REF!</v>
      </c>
      <c r="AU7" t="e">
        <f t="shared" si="32"/>
        <v>#REF!</v>
      </c>
      <c r="AX7" t="e">
        <f>Reflection!A7</f>
        <v>#REF!</v>
      </c>
      <c r="AY7" t="s">
        <v>13</v>
      </c>
      <c r="AZ7" t="e">
        <f t="shared" si="33"/>
        <v>#REF!</v>
      </c>
      <c r="BA7" t="e">
        <f t="shared" si="34"/>
        <v>#REF!</v>
      </c>
      <c r="BB7" t="e">
        <f t="shared" si="35"/>
        <v>#REF!</v>
      </c>
      <c r="BC7" t="e">
        <f t="shared" si="36"/>
        <v>#REF!</v>
      </c>
      <c r="BD7" t="e">
        <f t="shared" si="37"/>
        <v>#REF!</v>
      </c>
      <c r="BE7" t="e">
        <f t="shared" si="38"/>
        <v>#REF!</v>
      </c>
      <c r="BH7" t="e">
        <f>Reflection!A7</f>
        <v>#REF!</v>
      </c>
      <c r="BI7" t="e">
        <f t="shared" si="39"/>
        <v>#REF!</v>
      </c>
      <c r="BJ7" t="e">
        <f t="shared" si="40"/>
        <v>#REF!</v>
      </c>
      <c r="BK7" t="e">
        <f t="shared" si="41"/>
        <v>#REF!</v>
      </c>
      <c r="BL7" t="e">
        <f t="shared" si="42"/>
        <v>#REF!</v>
      </c>
      <c r="BM7" t="e">
        <f t="shared" si="43"/>
        <v>#REF!</v>
      </c>
      <c r="BN7" t="e">
        <f t="shared" si="3"/>
        <v>#REF!</v>
      </c>
      <c r="BR7" t="e">
        <f>Reflection!A7</f>
        <v>#REF!</v>
      </c>
      <c r="BS7" t="s">
        <v>13</v>
      </c>
      <c r="BT7" t="e">
        <f t="shared" si="44"/>
        <v>#REF!</v>
      </c>
      <c r="BU7" t="e">
        <f t="shared" si="4"/>
        <v>#REF!</v>
      </c>
      <c r="BV7" t="e">
        <f t="shared" si="45"/>
        <v>#REF!</v>
      </c>
      <c r="BW7" t="e">
        <f t="shared" si="46"/>
        <v>#REF!</v>
      </c>
      <c r="BX7" t="e">
        <f t="shared" si="47"/>
        <v>#REF!</v>
      </c>
      <c r="BY7" t="e">
        <f t="shared" si="5"/>
        <v>#REF!</v>
      </c>
    </row>
    <row r="8" spans="1:77" x14ac:dyDescent="0.15">
      <c r="A8" t="e">
        <f>Reflection!A8</f>
        <v>#REF!</v>
      </c>
      <c r="B8" t="e">
        <f t="shared" si="0"/>
        <v>#REF!</v>
      </c>
      <c r="C8" t="e">
        <f t="shared" si="1"/>
        <v>#REF!</v>
      </c>
      <c r="D8" t="e">
        <f t="shared" si="6"/>
        <v>#REF!</v>
      </c>
      <c r="E8" t="e">
        <f t="shared" si="7"/>
        <v>#REF!</v>
      </c>
      <c r="F8" t="e">
        <f t="shared" si="8"/>
        <v>#REF!</v>
      </c>
      <c r="G8" t="e">
        <f t="shared" si="2"/>
        <v>#REF!</v>
      </c>
      <c r="J8" t="e">
        <f>Reflection!A8</f>
        <v>#REF!</v>
      </c>
      <c r="K8" t="s">
        <v>13</v>
      </c>
      <c r="L8" t="e">
        <f t="shared" si="9"/>
        <v>#REF!</v>
      </c>
      <c r="M8" t="e">
        <f t="shared" si="10"/>
        <v>#REF!</v>
      </c>
      <c r="N8" t="e">
        <f t="shared" si="11"/>
        <v>#REF!</v>
      </c>
      <c r="O8" t="e">
        <f t="shared" si="12"/>
        <v>#REF!</v>
      </c>
      <c r="P8" t="e">
        <f t="shared" si="13"/>
        <v>#REF!</v>
      </c>
      <c r="Q8" t="e">
        <f t="shared" si="14"/>
        <v>#REF!</v>
      </c>
      <c r="T8" t="e">
        <f>Reflection!A8</f>
        <v>#REF!</v>
      </c>
      <c r="U8" t="s">
        <v>13</v>
      </c>
      <c r="V8" t="e">
        <f t="shared" si="15"/>
        <v>#REF!</v>
      </c>
      <c r="W8" t="e">
        <f t="shared" si="16"/>
        <v>#REF!</v>
      </c>
      <c r="X8" t="e">
        <f t="shared" si="17"/>
        <v>#REF!</v>
      </c>
      <c r="Y8" t="e">
        <f t="shared" si="18"/>
        <v>#REF!</v>
      </c>
      <c r="Z8" t="e">
        <f t="shared" si="19"/>
        <v>#REF!</v>
      </c>
      <c r="AA8" t="e">
        <f t="shared" si="20"/>
        <v>#REF!</v>
      </c>
      <c r="AD8" t="e">
        <f>Reflection!A8</f>
        <v>#REF!</v>
      </c>
      <c r="AE8" t="s">
        <v>13</v>
      </c>
      <c r="AF8" t="e">
        <f t="shared" si="21"/>
        <v>#REF!</v>
      </c>
      <c r="AG8" t="e">
        <f t="shared" si="22"/>
        <v>#REF!</v>
      </c>
      <c r="AH8" t="e">
        <f t="shared" si="23"/>
        <v>#REF!</v>
      </c>
      <c r="AI8" t="e">
        <f t="shared" si="24"/>
        <v>#REF!</v>
      </c>
      <c r="AJ8" t="e">
        <f t="shared" si="25"/>
        <v>#REF!</v>
      </c>
      <c r="AK8" t="e">
        <f t="shared" si="26"/>
        <v>#REF!</v>
      </c>
      <c r="AN8" t="e">
        <f>Reflection!A8</f>
        <v>#REF!</v>
      </c>
      <c r="AO8" t="s">
        <v>13</v>
      </c>
      <c r="AP8" t="e">
        <f t="shared" si="27"/>
        <v>#REF!</v>
      </c>
      <c r="AQ8" t="e">
        <f t="shared" si="28"/>
        <v>#REF!</v>
      </c>
      <c r="AR8" t="e">
        <f t="shared" si="29"/>
        <v>#REF!</v>
      </c>
      <c r="AS8" t="e">
        <f t="shared" si="30"/>
        <v>#REF!</v>
      </c>
      <c r="AT8" t="e">
        <f t="shared" si="31"/>
        <v>#REF!</v>
      </c>
      <c r="AU8" t="e">
        <f t="shared" si="32"/>
        <v>#REF!</v>
      </c>
      <c r="AX8" t="e">
        <f>Reflection!A8</f>
        <v>#REF!</v>
      </c>
      <c r="AY8" t="s">
        <v>13</v>
      </c>
      <c r="AZ8" t="e">
        <f t="shared" si="33"/>
        <v>#REF!</v>
      </c>
      <c r="BA8" t="e">
        <f t="shared" si="34"/>
        <v>#REF!</v>
      </c>
      <c r="BB8" t="e">
        <f t="shared" si="35"/>
        <v>#REF!</v>
      </c>
      <c r="BC8" t="e">
        <f t="shared" si="36"/>
        <v>#REF!</v>
      </c>
      <c r="BD8" t="e">
        <f t="shared" si="37"/>
        <v>#REF!</v>
      </c>
      <c r="BE8" t="e">
        <f t="shared" si="38"/>
        <v>#REF!</v>
      </c>
      <c r="BH8" t="e">
        <f>Reflection!A8</f>
        <v>#REF!</v>
      </c>
      <c r="BI8" t="e">
        <f t="shared" si="39"/>
        <v>#REF!</v>
      </c>
      <c r="BJ8" t="e">
        <f t="shared" si="40"/>
        <v>#REF!</v>
      </c>
      <c r="BK8" t="e">
        <f t="shared" si="41"/>
        <v>#REF!</v>
      </c>
      <c r="BL8" t="e">
        <f t="shared" si="42"/>
        <v>#REF!</v>
      </c>
      <c r="BM8" t="e">
        <f t="shared" si="43"/>
        <v>#REF!</v>
      </c>
      <c r="BN8" t="e">
        <f t="shared" si="3"/>
        <v>#REF!</v>
      </c>
      <c r="BR8" t="e">
        <f>Reflection!A8</f>
        <v>#REF!</v>
      </c>
      <c r="BS8" t="s">
        <v>13</v>
      </c>
      <c r="BT8" t="e">
        <f t="shared" si="44"/>
        <v>#REF!</v>
      </c>
      <c r="BU8" t="e">
        <f t="shared" si="4"/>
        <v>#REF!</v>
      </c>
      <c r="BV8" t="e">
        <f t="shared" si="45"/>
        <v>#REF!</v>
      </c>
      <c r="BW8" t="e">
        <f t="shared" si="46"/>
        <v>#REF!</v>
      </c>
      <c r="BX8" t="e">
        <f t="shared" si="47"/>
        <v>#REF!</v>
      </c>
      <c r="BY8" t="e">
        <f t="shared" si="5"/>
        <v>#REF!</v>
      </c>
    </row>
    <row r="9" spans="1:77" x14ac:dyDescent="0.15">
      <c r="A9" t="e">
        <f>Reflection!A9</f>
        <v>#REF!</v>
      </c>
      <c r="B9" t="e">
        <f t="shared" si="0"/>
        <v>#REF!</v>
      </c>
      <c r="C9" t="e">
        <f t="shared" si="1"/>
        <v>#REF!</v>
      </c>
      <c r="D9" t="e">
        <f t="shared" si="6"/>
        <v>#REF!</v>
      </c>
      <c r="E9" t="e">
        <f t="shared" si="7"/>
        <v>#REF!</v>
      </c>
      <c r="F9" t="e">
        <f t="shared" si="8"/>
        <v>#REF!</v>
      </c>
      <c r="G9" t="e">
        <f t="shared" si="2"/>
        <v>#REF!</v>
      </c>
      <c r="J9" t="e">
        <f>Reflection!A9</f>
        <v>#REF!</v>
      </c>
      <c r="K9" t="s">
        <v>13</v>
      </c>
      <c r="L9" t="e">
        <f t="shared" si="9"/>
        <v>#REF!</v>
      </c>
      <c r="M9" t="e">
        <f t="shared" si="10"/>
        <v>#REF!</v>
      </c>
      <c r="N9" t="e">
        <f t="shared" si="11"/>
        <v>#REF!</v>
      </c>
      <c r="O9" t="e">
        <f t="shared" si="12"/>
        <v>#REF!</v>
      </c>
      <c r="P9" t="e">
        <f t="shared" si="13"/>
        <v>#REF!</v>
      </c>
      <c r="Q9" t="e">
        <f t="shared" si="14"/>
        <v>#REF!</v>
      </c>
      <c r="T9" t="e">
        <f>Reflection!A9</f>
        <v>#REF!</v>
      </c>
      <c r="U9" t="s">
        <v>13</v>
      </c>
      <c r="V9" t="e">
        <f t="shared" si="15"/>
        <v>#REF!</v>
      </c>
      <c r="W9" t="e">
        <f t="shared" si="16"/>
        <v>#REF!</v>
      </c>
      <c r="X9" t="e">
        <f t="shared" si="17"/>
        <v>#REF!</v>
      </c>
      <c r="Y9" t="e">
        <f t="shared" si="18"/>
        <v>#REF!</v>
      </c>
      <c r="Z9" t="e">
        <f t="shared" si="19"/>
        <v>#REF!</v>
      </c>
      <c r="AA9" t="e">
        <f t="shared" si="20"/>
        <v>#REF!</v>
      </c>
      <c r="AD9" t="e">
        <f>Reflection!A9</f>
        <v>#REF!</v>
      </c>
      <c r="AE9" t="s">
        <v>13</v>
      </c>
      <c r="AF9" t="e">
        <f t="shared" si="21"/>
        <v>#REF!</v>
      </c>
      <c r="AG9" t="e">
        <f t="shared" si="22"/>
        <v>#REF!</v>
      </c>
      <c r="AH9" t="e">
        <f t="shared" si="23"/>
        <v>#REF!</v>
      </c>
      <c r="AI9" t="e">
        <f t="shared" si="24"/>
        <v>#REF!</v>
      </c>
      <c r="AJ9" t="e">
        <f t="shared" si="25"/>
        <v>#REF!</v>
      </c>
      <c r="AK9" t="e">
        <f t="shared" si="26"/>
        <v>#REF!</v>
      </c>
      <c r="AN9" t="e">
        <f>Reflection!A9</f>
        <v>#REF!</v>
      </c>
      <c r="AO9" t="s">
        <v>13</v>
      </c>
      <c r="AP9" t="e">
        <f t="shared" si="27"/>
        <v>#REF!</v>
      </c>
      <c r="AQ9" t="e">
        <f t="shared" si="28"/>
        <v>#REF!</v>
      </c>
      <c r="AR9" t="e">
        <f t="shared" si="29"/>
        <v>#REF!</v>
      </c>
      <c r="AS9" t="e">
        <f t="shared" si="30"/>
        <v>#REF!</v>
      </c>
      <c r="AT9" t="e">
        <f t="shared" si="31"/>
        <v>#REF!</v>
      </c>
      <c r="AU9" t="e">
        <f t="shared" si="32"/>
        <v>#REF!</v>
      </c>
      <c r="AX9" t="e">
        <f>Reflection!A9</f>
        <v>#REF!</v>
      </c>
      <c r="AY9" t="s">
        <v>13</v>
      </c>
      <c r="AZ9" t="e">
        <f t="shared" si="33"/>
        <v>#REF!</v>
      </c>
      <c r="BA9" t="e">
        <f t="shared" si="34"/>
        <v>#REF!</v>
      </c>
      <c r="BB9" t="e">
        <f t="shared" si="35"/>
        <v>#REF!</v>
      </c>
      <c r="BC9" t="e">
        <f t="shared" si="36"/>
        <v>#REF!</v>
      </c>
      <c r="BD9" t="e">
        <f t="shared" si="37"/>
        <v>#REF!</v>
      </c>
      <c r="BE9" t="e">
        <f t="shared" si="38"/>
        <v>#REF!</v>
      </c>
      <c r="BH9" t="e">
        <f>Reflection!A9</f>
        <v>#REF!</v>
      </c>
      <c r="BI9" t="e">
        <f t="shared" si="39"/>
        <v>#REF!</v>
      </c>
      <c r="BJ9" t="e">
        <f t="shared" si="40"/>
        <v>#REF!</v>
      </c>
      <c r="BK9" t="e">
        <f t="shared" si="41"/>
        <v>#REF!</v>
      </c>
      <c r="BL9" t="e">
        <f t="shared" si="42"/>
        <v>#REF!</v>
      </c>
      <c r="BM9" t="e">
        <f t="shared" si="43"/>
        <v>#REF!</v>
      </c>
      <c r="BN9" t="e">
        <f t="shared" si="3"/>
        <v>#REF!</v>
      </c>
      <c r="BR9" t="e">
        <f>Reflection!A9</f>
        <v>#REF!</v>
      </c>
      <c r="BS9" t="s">
        <v>13</v>
      </c>
      <c r="BT9" t="e">
        <f t="shared" si="44"/>
        <v>#REF!</v>
      </c>
      <c r="BU9" t="e">
        <f t="shared" si="4"/>
        <v>#REF!</v>
      </c>
      <c r="BV9" t="e">
        <f t="shared" si="45"/>
        <v>#REF!</v>
      </c>
      <c r="BW9" t="e">
        <f t="shared" si="46"/>
        <v>#REF!</v>
      </c>
      <c r="BX9" t="e">
        <f t="shared" si="47"/>
        <v>#REF!</v>
      </c>
      <c r="BY9" t="e">
        <f t="shared" si="5"/>
        <v>#REF!</v>
      </c>
    </row>
    <row r="10" spans="1:77" x14ac:dyDescent="0.15">
      <c r="A10" t="e">
        <f>Reflection!A10</f>
        <v>#REF!</v>
      </c>
      <c r="B10" t="e">
        <f t="shared" si="0"/>
        <v>#REF!</v>
      </c>
      <c r="C10" t="e">
        <f t="shared" si="1"/>
        <v>#REF!</v>
      </c>
      <c r="D10" t="e">
        <f t="shared" si="6"/>
        <v>#REF!</v>
      </c>
      <c r="E10" t="e">
        <f t="shared" si="7"/>
        <v>#REF!</v>
      </c>
      <c r="F10" t="e">
        <f t="shared" si="8"/>
        <v>#REF!</v>
      </c>
      <c r="G10" t="e">
        <f t="shared" si="2"/>
        <v>#REF!</v>
      </c>
      <c r="J10" t="e">
        <f>Reflection!A10</f>
        <v>#REF!</v>
      </c>
      <c r="K10" t="s">
        <v>13</v>
      </c>
      <c r="L10" t="e">
        <f t="shared" si="9"/>
        <v>#REF!</v>
      </c>
      <c r="M10" t="e">
        <f t="shared" si="10"/>
        <v>#REF!</v>
      </c>
      <c r="N10" t="e">
        <f t="shared" si="11"/>
        <v>#REF!</v>
      </c>
      <c r="O10" t="e">
        <f t="shared" si="12"/>
        <v>#REF!</v>
      </c>
      <c r="P10" t="e">
        <f t="shared" si="13"/>
        <v>#REF!</v>
      </c>
      <c r="Q10" t="e">
        <f t="shared" si="14"/>
        <v>#REF!</v>
      </c>
      <c r="T10" t="e">
        <f>Reflection!A10</f>
        <v>#REF!</v>
      </c>
      <c r="U10" t="s">
        <v>13</v>
      </c>
      <c r="V10" t="e">
        <f t="shared" si="15"/>
        <v>#REF!</v>
      </c>
      <c r="W10" t="e">
        <f t="shared" si="16"/>
        <v>#REF!</v>
      </c>
      <c r="X10" t="e">
        <f t="shared" si="17"/>
        <v>#REF!</v>
      </c>
      <c r="Y10" t="e">
        <f t="shared" si="18"/>
        <v>#REF!</v>
      </c>
      <c r="Z10" t="e">
        <f t="shared" si="19"/>
        <v>#REF!</v>
      </c>
      <c r="AA10" t="e">
        <f t="shared" si="20"/>
        <v>#REF!</v>
      </c>
      <c r="AD10" t="e">
        <f>Reflection!A10</f>
        <v>#REF!</v>
      </c>
      <c r="AE10" t="s">
        <v>13</v>
      </c>
      <c r="AF10" t="e">
        <f t="shared" si="21"/>
        <v>#REF!</v>
      </c>
      <c r="AG10" t="e">
        <f t="shared" si="22"/>
        <v>#REF!</v>
      </c>
      <c r="AH10" t="e">
        <f t="shared" si="23"/>
        <v>#REF!</v>
      </c>
      <c r="AI10" t="e">
        <f t="shared" si="24"/>
        <v>#REF!</v>
      </c>
      <c r="AJ10" t="e">
        <f t="shared" si="25"/>
        <v>#REF!</v>
      </c>
      <c r="AK10" t="e">
        <f t="shared" si="26"/>
        <v>#REF!</v>
      </c>
      <c r="AN10" t="e">
        <f>Reflection!A10</f>
        <v>#REF!</v>
      </c>
      <c r="AO10" t="s">
        <v>13</v>
      </c>
      <c r="AP10" t="e">
        <f t="shared" si="27"/>
        <v>#REF!</v>
      </c>
      <c r="AQ10" t="e">
        <f t="shared" si="28"/>
        <v>#REF!</v>
      </c>
      <c r="AR10" t="e">
        <f t="shared" si="29"/>
        <v>#REF!</v>
      </c>
      <c r="AS10" t="e">
        <f t="shared" si="30"/>
        <v>#REF!</v>
      </c>
      <c r="AT10" t="e">
        <f t="shared" si="31"/>
        <v>#REF!</v>
      </c>
      <c r="AU10" t="e">
        <f t="shared" si="32"/>
        <v>#REF!</v>
      </c>
      <c r="AX10" t="e">
        <f>Reflection!A10</f>
        <v>#REF!</v>
      </c>
      <c r="AY10" t="s">
        <v>13</v>
      </c>
      <c r="AZ10" t="e">
        <f t="shared" si="33"/>
        <v>#REF!</v>
      </c>
      <c r="BA10" t="e">
        <f t="shared" si="34"/>
        <v>#REF!</v>
      </c>
      <c r="BB10" t="e">
        <f t="shared" si="35"/>
        <v>#REF!</v>
      </c>
      <c r="BC10" t="e">
        <f t="shared" si="36"/>
        <v>#REF!</v>
      </c>
      <c r="BD10" t="e">
        <f t="shared" si="37"/>
        <v>#REF!</v>
      </c>
      <c r="BE10" t="e">
        <f t="shared" si="38"/>
        <v>#REF!</v>
      </c>
      <c r="BH10" t="e">
        <f>Reflection!A10</f>
        <v>#REF!</v>
      </c>
      <c r="BI10" t="e">
        <f t="shared" si="39"/>
        <v>#REF!</v>
      </c>
      <c r="BJ10" t="e">
        <f t="shared" si="40"/>
        <v>#REF!</v>
      </c>
      <c r="BK10" t="e">
        <f t="shared" si="41"/>
        <v>#REF!</v>
      </c>
      <c r="BL10" t="e">
        <f t="shared" si="42"/>
        <v>#REF!</v>
      </c>
      <c r="BM10" t="e">
        <f t="shared" si="43"/>
        <v>#REF!</v>
      </c>
      <c r="BN10" t="e">
        <f t="shared" si="3"/>
        <v>#REF!</v>
      </c>
      <c r="BR10" t="e">
        <f>Reflection!A10</f>
        <v>#REF!</v>
      </c>
      <c r="BS10" t="s">
        <v>13</v>
      </c>
      <c r="BT10" t="e">
        <f t="shared" si="44"/>
        <v>#REF!</v>
      </c>
      <c r="BU10" t="e">
        <f t="shared" si="4"/>
        <v>#REF!</v>
      </c>
      <c r="BV10" t="e">
        <f t="shared" si="45"/>
        <v>#REF!</v>
      </c>
      <c r="BW10" t="e">
        <f t="shared" si="46"/>
        <v>#REF!</v>
      </c>
      <c r="BX10" t="e">
        <f t="shared" si="47"/>
        <v>#REF!</v>
      </c>
      <c r="BY10" t="e">
        <f t="shared" si="5"/>
        <v>#REF!</v>
      </c>
    </row>
    <row r="11" spans="1:77" x14ac:dyDescent="0.15">
      <c r="A11" t="e">
        <f>Reflection!A11</f>
        <v>#REF!</v>
      </c>
      <c r="B11" t="e">
        <f t="shared" si="0"/>
        <v>#REF!</v>
      </c>
      <c r="C11" t="e">
        <f t="shared" si="1"/>
        <v>#REF!</v>
      </c>
      <c r="D11" t="e">
        <f t="shared" si="6"/>
        <v>#REF!</v>
      </c>
      <c r="E11" t="e">
        <f t="shared" si="7"/>
        <v>#REF!</v>
      </c>
      <c r="F11" t="e">
        <f t="shared" si="8"/>
        <v>#REF!</v>
      </c>
      <c r="G11" t="e">
        <f t="shared" si="2"/>
        <v>#REF!</v>
      </c>
      <c r="J11" t="e">
        <f>Reflection!A11</f>
        <v>#REF!</v>
      </c>
      <c r="K11" t="s">
        <v>13</v>
      </c>
      <c r="L11" t="e">
        <f t="shared" si="9"/>
        <v>#REF!</v>
      </c>
      <c r="M11" t="e">
        <f t="shared" si="10"/>
        <v>#REF!</v>
      </c>
      <c r="N11" t="e">
        <f t="shared" si="11"/>
        <v>#REF!</v>
      </c>
      <c r="O11" t="e">
        <f t="shared" si="12"/>
        <v>#REF!</v>
      </c>
      <c r="P11" t="e">
        <f t="shared" si="13"/>
        <v>#REF!</v>
      </c>
      <c r="Q11" t="e">
        <f t="shared" si="14"/>
        <v>#REF!</v>
      </c>
      <c r="T11" t="e">
        <f>Reflection!A11</f>
        <v>#REF!</v>
      </c>
      <c r="U11" t="s">
        <v>13</v>
      </c>
      <c r="V11" t="e">
        <f t="shared" si="15"/>
        <v>#REF!</v>
      </c>
      <c r="W11" t="e">
        <f t="shared" si="16"/>
        <v>#REF!</v>
      </c>
      <c r="X11" t="e">
        <f t="shared" si="17"/>
        <v>#REF!</v>
      </c>
      <c r="Y11" t="e">
        <f t="shared" si="18"/>
        <v>#REF!</v>
      </c>
      <c r="Z11" t="e">
        <f t="shared" si="19"/>
        <v>#REF!</v>
      </c>
      <c r="AA11" t="e">
        <f t="shared" si="20"/>
        <v>#REF!</v>
      </c>
      <c r="AD11" t="e">
        <f>Reflection!A11</f>
        <v>#REF!</v>
      </c>
      <c r="AE11" t="s">
        <v>13</v>
      </c>
      <c r="AF11" t="e">
        <f t="shared" si="21"/>
        <v>#REF!</v>
      </c>
      <c r="AG11" t="e">
        <f t="shared" si="22"/>
        <v>#REF!</v>
      </c>
      <c r="AH11" t="e">
        <f t="shared" si="23"/>
        <v>#REF!</v>
      </c>
      <c r="AI11" t="e">
        <f t="shared" si="24"/>
        <v>#REF!</v>
      </c>
      <c r="AJ11" t="e">
        <f t="shared" si="25"/>
        <v>#REF!</v>
      </c>
      <c r="AK11" t="e">
        <f t="shared" si="26"/>
        <v>#REF!</v>
      </c>
      <c r="AN11" t="e">
        <f>Reflection!A11</f>
        <v>#REF!</v>
      </c>
      <c r="AO11" t="s">
        <v>13</v>
      </c>
      <c r="AP11" t="e">
        <f t="shared" si="27"/>
        <v>#REF!</v>
      </c>
      <c r="AQ11" t="e">
        <f t="shared" si="28"/>
        <v>#REF!</v>
      </c>
      <c r="AR11" t="e">
        <f t="shared" si="29"/>
        <v>#REF!</v>
      </c>
      <c r="AS11" t="e">
        <f t="shared" si="30"/>
        <v>#REF!</v>
      </c>
      <c r="AT11" t="e">
        <f t="shared" si="31"/>
        <v>#REF!</v>
      </c>
      <c r="AU11" t="e">
        <f t="shared" si="32"/>
        <v>#REF!</v>
      </c>
      <c r="AX11" t="e">
        <f>Reflection!A11</f>
        <v>#REF!</v>
      </c>
      <c r="AY11" t="s">
        <v>13</v>
      </c>
      <c r="AZ11" t="e">
        <f t="shared" si="33"/>
        <v>#REF!</v>
      </c>
      <c r="BA11" t="e">
        <f t="shared" si="34"/>
        <v>#REF!</v>
      </c>
      <c r="BB11" t="e">
        <f t="shared" si="35"/>
        <v>#REF!</v>
      </c>
      <c r="BC11" t="e">
        <f t="shared" si="36"/>
        <v>#REF!</v>
      </c>
      <c r="BD11" t="e">
        <f t="shared" si="37"/>
        <v>#REF!</v>
      </c>
      <c r="BE11" t="e">
        <f t="shared" si="38"/>
        <v>#REF!</v>
      </c>
      <c r="BH11" t="e">
        <f>Reflection!A11</f>
        <v>#REF!</v>
      </c>
      <c r="BI11" t="e">
        <f t="shared" si="39"/>
        <v>#REF!</v>
      </c>
      <c r="BJ11" t="e">
        <f t="shared" si="40"/>
        <v>#REF!</v>
      </c>
      <c r="BK11" t="e">
        <f t="shared" si="41"/>
        <v>#REF!</v>
      </c>
      <c r="BL11" t="e">
        <f t="shared" si="42"/>
        <v>#REF!</v>
      </c>
      <c r="BM11" t="e">
        <f t="shared" si="43"/>
        <v>#REF!</v>
      </c>
      <c r="BN11" t="e">
        <f t="shared" si="3"/>
        <v>#REF!</v>
      </c>
      <c r="BR11" t="e">
        <f>Reflection!A11</f>
        <v>#REF!</v>
      </c>
      <c r="BS11" t="s">
        <v>13</v>
      </c>
      <c r="BT11" t="e">
        <f t="shared" si="44"/>
        <v>#REF!</v>
      </c>
      <c r="BU11" t="e">
        <f t="shared" si="4"/>
        <v>#REF!</v>
      </c>
      <c r="BV11" t="e">
        <f t="shared" si="45"/>
        <v>#REF!</v>
      </c>
      <c r="BW11" t="e">
        <f t="shared" si="46"/>
        <v>#REF!</v>
      </c>
      <c r="BX11" t="e">
        <f t="shared" si="47"/>
        <v>#REF!</v>
      </c>
      <c r="BY11" t="e">
        <f t="shared" si="5"/>
        <v>#REF!</v>
      </c>
    </row>
    <row r="12" spans="1:77" x14ac:dyDescent="0.15">
      <c r="A12" t="e">
        <f>Reflection!A12</f>
        <v>#REF!</v>
      </c>
      <c r="B12" t="e">
        <f t="shared" si="0"/>
        <v>#REF!</v>
      </c>
      <c r="C12" t="e">
        <f t="shared" si="1"/>
        <v>#REF!</v>
      </c>
      <c r="D12" t="e">
        <f t="shared" si="6"/>
        <v>#REF!</v>
      </c>
      <c r="E12" t="e">
        <f t="shared" si="7"/>
        <v>#REF!</v>
      </c>
      <c r="F12" t="e">
        <f t="shared" si="8"/>
        <v>#REF!</v>
      </c>
      <c r="G12" t="e">
        <f t="shared" si="2"/>
        <v>#REF!</v>
      </c>
      <c r="J12" t="e">
        <f>Reflection!A12</f>
        <v>#REF!</v>
      </c>
      <c r="K12" t="s">
        <v>13</v>
      </c>
      <c r="L12" t="e">
        <f t="shared" si="9"/>
        <v>#REF!</v>
      </c>
      <c r="M12" t="e">
        <f t="shared" si="10"/>
        <v>#REF!</v>
      </c>
      <c r="N12" t="e">
        <f t="shared" si="11"/>
        <v>#REF!</v>
      </c>
      <c r="O12" t="e">
        <f t="shared" si="12"/>
        <v>#REF!</v>
      </c>
      <c r="P12" t="e">
        <f t="shared" si="13"/>
        <v>#REF!</v>
      </c>
      <c r="Q12" t="e">
        <f t="shared" si="14"/>
        <v>#REF!</v>
      </c>
      <c r="T12" t="e">
        <f>Reflection!A12</f>
        <v>#REF!</v>
      </c>
      <c r="U12" t="s">
        <v>13</v>
      </c>
      <c r="V12" t="e">
        <f t="shared" si="15"/>
        <v>#REF!</v>
      </c>
      <c r="W12" t="e">
        <f t="shared" si="16"/>
        <v>#REF!</v>
      </c>
      <c r="X12" t="e">
        <f t="shared" si="17"/>
        <v>#REF!</v>
      </c>
      <c r="Y12" t="e">
        <f t="shared" si="18"/>
        <v>#REF!</v>
      </c>
      <c r="Z12" t="e">
        <f t="shared" si="19"/>
        <v>#REF!</v>
      </c>
      <c r="AA12" t="e">
        <f t="shared" si="20"/>
        <v>#REF!</v>
      </c>
      <c r="AD12" t="e">
        <f>Reflection!A12</f>
        <v>#REF!</v>
      </c>
      <c r="AE12" t="s">
        <v>13</v>
      </c>
      <c r="AF12" t="e">
        <f t="shared" si="21"/>
        <v>#REF!</v>
      </c>
      <c r="AG12" t="e">
        <f t="shared" si="22"/>
        <v>#REF!</v>
      </c>
      <c r="AH12" t="e">
        <f t="shared" si="23"/>
        <v>#REF!</v>
      </c>
      <c r="AI12" t="e">
        <f t="shared" si="24"/>
        <v>#REF!</v>
      </c>
      <c r="AJ12" t="e">
        <f t="shared" si="25"/>
        <v>#REF!</v>
      </c>
      <c r="AK12" t="e">
        <f t="shared" si="26"/>
        <v>#REF!</v>
      </c>
      <c r="AN12" t="e">
        <f>Reflection!A12</f>
        <v>#REF!</v>
      </c>
      <c r="AO12" t="s">
        <v>13</v>
      </c>
      <c r="AP12" t="e">
        <f t="shared" si="27"/>
        <v>#REF!</v>
      </c>
      <c r="AQ12" t="e">
        <f t="shared" si="28"/>
        <v>#REF!</v>
      </c>
      <c r="AR12" t="e">
        <f t="shared" si="29"/>
        <v>#REF!</v>
      </c>
      <c r="AS12" t="e">
        <f t="shared" si="30"/>
        <v>#REF!</v>
      </c>
      <c r="AT12" t="e">
        <f t="shared" si="31"/>
        <v>#REF!</v>
      </c>
      <c r="AU12" t="e">
        <f t="shared" si="32"/>
        <v>#REF!</v>
      </c>
      <c r="AX12" t="e">
        <f>Reflection!A12</f>
        <v>#REF!</v>
      </c>
      <c r="AY12" t="s">
        <v>13</v>
      </c>
      <c r="AZ12" t="e">
        <f t="shared" si="33"/>
        <v>#REF!</v>
      </c>
      <c r="BA12" t="e">
        <f t="shared" si="34"/>
        <v>#REF!</v>
      </c>
      <c r="BB12" t="e">
        <f t="shared" si="35"/>
        <v>#REF!</v>
      </c>
      <c r="BC12" t="e">
        <f t="shared" si="36"/>
        <v>#REF!</v>
      </c>
      <c r="BD12" t="e">
        <f t="shared" si="37"/>
        <v>#REF!</v>
      </c>
      <c r="BE12" t="e">
        <f t="shared" si="38"/>
        <v>#REF!</v>
      </c>
      <c r="BH12" t="e">
        <f>Reflection!A12</f>
        <v>#REF!</v>
      </c>
      <c r="BI12" t="e">
        <f t="shared" si="39"/>
        <v>#REF!</v>
      </c>
      <c r="BJ12" t="e">
        <f t="shared" si="40"/>
        <v>#REF!</v>
      </c>
      <c r="BK12" t="e">
        <f t="shared" si="41"/>
        <v>#REF!</v>
      </c>
      <c r="BL12" t="e">
        <f t="shared" si="42"/>
        <v>#REF!</v>
      </c>
      <c r="BM12" t="e">
        <f t="shared" si="43"/>
        <v>#REF!</v>
      </c>
      <c r="BN12" t="e">
        <f t="shared" si="3"/>
        <v>#REF!</v>
      </c>
      <c r="BR12" t="e">
        <f>Reflection!A12</f>
        <v>#REF!</v>
      </c>
      <c r="BS12" t="s">
        <v>13</v>
      </c>
      <c r="BT12" t="e">
        <f t="shared" si="44"/>
        <v>#REF!</v>
      </c>
      <c r="BU12" t="e">
        <f t="shared" si="4"/>
        <v>#REF!</v>
      </c>
      <c r="BV12" t="e">
        <f t="shared" si="45"/>
        <v>#REF!</v>
      </c>
      <c r="BW12" t="e">
        <f t="shared" si="46"/>
        <v>#REF!</v>
      </c>
      <c r="BX12" t="e">
        <f t="shared" si="47"/>
        <v>#REF!</v>
      </c>
      <c r="BY12" t="e">
        <f t="shared" si="5"/>
        <v>#REF!</v>
      </c>
    </row>
    <row r="13" spans="1:77" x14ac:dyDescent="0.15">
      <c r="A13" t="e">
        <f>Reflection!A13</f>
        <v>#REF!</v>
      </c>
      <c r="B13" t="e">
        <f t="shared" si="0"/>
        <v>#REF!</v>
      </c>
      <c r="C13" t="e">
        <f t="shared" si="1"/>
        <v>#REF!</v>
      </c>
      <c r="D13" t="e">
        <f t="shared" si="6"/>
        <v>#REF!</v>
      </c>
      <c r="E13" t="e">
        <f t="shared" si="7"/>
        <v>#REF!</v>
      </c>
      <c r="F13" t="e">
        <f t="shared" si="8"/>
        <v>#REF!</v>
      </c>
      <c r="G13" t="e">
        <f t="shared" si="2"/>
        <v>#REF!</v>
      </c>
      <c r="J13" t="e">
        <f>Reflection!A13</f>
        <v>#REF!</v>
      </c>
      <c r="K13" t="s">
        <v>13</v>
      </c>
      <c r="L13" t="e">
        <f t="shared" si="9"/>
        <v>#REF!</v>
      </c>
      <c r="M13" t="e">
        <f t="shared" si="10"/>
        <v>#REF!</v>
      </c>
      <c r="N13" t="e">
        <f t="shared" si="11"/>
        <v>#REF!</v>
      </c>
      <c r="O13" t="e">
        <f t="shared" si="12"/>
        <v>#REF!</v>
      </c>
      <c r="P13" t="e">
        <f t="shared" si="13"/>
        <v>#REF!</v>
      </c>
      <c r="Q13" t="e">
        <f t="shared" si="14"/>
        <v>#REF!</v>
      </c>
      <c r="T13" t="e">
        <f>Reflection!A13</f>
        <v>#REF!</v>
      </c>
      <c r="U13" t="s">
        <v>13</v>
      </c>
      <c r="V13" t="e">
        <f t="shared" si="15"/>
        <v>#REF!</v>
      </c>
      <c r="W13" t="e">
        <f t="shared" si="16"/>
        <v>#REF!</v>
      </c>
      <c r="X13" t="e">
        <f t="shared" si="17"/>
        <v>#REF!</v>
      </c>
      <c r="Y13" t="e">
        <f t="shared" si="18"/>
        <v>#REF!</v>
      </c>
      <c r="Z13" t="e">
        <f t="shared" si="19"/>
        <v>#REF!</v>
      </c>
      <c r="AA13" t="e">
        <f t="shared" si="20"/>
        <v>#REF!</v>
      </c>
      <c r="AD13" t="e">
        <f>Reflection!A13</f>
        <v>#REF!</v>
      </c>
      <c r="AE13" t="s">
        <v>13</v>
      </c>
      <c r="AF13" t="e">
        <f t="shared" si="21"/>
        <v>#REF!</v>
      </c>
      <c r="AG13" t="e">
        <f t="shared" si="22"/>
        <v>#REF!</v>
      </c>
      <c r="AH13" t="e">
        <f t="shared" si="23"/>
        <v>#REF!</v>
      </c>
      <c r="AI13" t="e">
        <f t="shared" si="24"/>
        <v>#REF!</v>
      </c>
      <c r="AJ13" t="e">
        <f t="shared" si="25"/>
        <v>#REF!</v>
      </c>
      <c r="AK13" t="e">
        <f t="shared" si="26"/>
        <v>#REF!</v>
      </c>
      <c r="AN13" t="e">
        <f>Reflection!A13</f>
        <v>#REF!</v>
      </c>
      <c r="AO13" t="s">
        <v>13</v>
      </c>
      <c r="AP13" t="e">
        <f t="shared" si="27"/>
        <v>#REF!</v>
      </c>
      <c r="AQ13" t="e">
        <f t="shared" si="28"/>
        <v>#REF!</v>
      </c>
      <c r="AR13" t="e">
        <f t="shared" si="29"/>
        <v>#REF!</v>
      </c>
      <c r="AS13" t="e">
        <f t="shared" si="30"/>
        <v>#REF!</v>
      </c>
      <c r="AT13" t="e">
        <f t="shared" si="31"/>
        <v>#REF!</v>
      </c>
      <c r="AU13" t="e">
        <f t="shared" si="32"/>
        <v>#REF!</v>
      </c>
      <c r="AX13" t="e">
        <f>Reflection!A13</f>
        <v>#REF!</v>
      </c>
      <c r="AY13" t="s">
        <v>13</v>
      </c>
      <c r="AZ13" t="e">
        <f t="shared" si="33"/>
        <v>#REF!</v>
      </c>
      <c r="BA13" t="e">
        <f t="shared" si="34"/>
        <v>#REF!</v>
      </c>
      <c r="BB13" t="e">
        <f t="shared" si="35"/>
        <v>#REF!</v>
      </c>
      <c r="BC13" t="e">
        <f t="shared" si="36"/>
        <v>#REF!</v>
      </c>
      <c r="BD13" t="e">
        <f t="shared" si="37"/>
        <v>#REF!</v>
      </c>
      <c r="BE13" t="e">
        <f t="shared" si="38"/>
        <v>#REF!</v>
      </c>
      <c r="BH13" t="e">
        <f>Reflection!A13</f>
        <v>#REF!</v>
      </c>
      <c r="BI13" t="e">
        <f t="shared" si="39"/>
        <v>#REF!</v>
      </c>
      <c r="BJ13" t="e">
        <f t="shared" si="40"/>
        <v>#REF!</v>
      </c>
      <c r="BK13" t="e">
        <f t="shared" si="41"/>
        <v>#REF!</v>
      </c>
      <c r="BL13" t="e">
        <f t="shared" si="42"/>
        <v>#REF!</v>
      </c>
      <c r="BM13" t="e">
        <f t="shared" si="43"/>
        <v>#REF!</v>
      </c>
      <c r="BN13" t="e">
        <f t="shared" si="3"/>
        <v>#REF!</v>
      </c>
      <c r="BR13" t="e">
        <f>Reflection!A13</f>
        <v>#REF!</v>
      </c>
      <c r="BS13" t="s">
        <v>13</v>
      </c>
      <c r="BT13" t="e">
        <f t="shared" si="44"/>
        <v>#REF!</v>
      </c>
      <c r="BU13" t="e">
        <f t="shared" si="4"/>
        <v>#REF!</v>
      </c>
      <c r="BV13" t="e">
        <f t="shared" si="45"/>
        <v>#REF!</v>
      </c>
      <c r="BW13" t="e">
        <f t="shared" si="46"/>
        <v>#REF!</v>
      </c>
      <c r="BX13" t="e">
        <f t="shared" si="47"/>
        <v>#REF!</v>
      </c>
      <c r="BY13" t="e">
        <f t="shared" si="5"/>
        <v>#REF!</v>
      </c>
    </row>
    <row r="14" spans="1:77" x14ac:dyDescent="0.15">
      <c r="A14" t="e">
        <f>Reflection!A14</f>
        <v>#REF!</v>
      </c>
      <c r="B14" t="e">
        <f t="shared" si="0"/>
        <v>#REF!</v>
      </c>
      <c r="C14" t="e">
        <f t="shared" si="1"/>
        <v>#REF!</v>
      </c>
      <c r="D14" t="e">
        <f t="shared" si="6"/>
        <v>#REF!</v>
      </c>
      <c r="E14" t="e">
        <f t="shared" si="7"/>
        <v>#REF!</v>
      </c>
      <c r="F14" t="e">
        <f t="shared" si="8"/>
        <v>#REF!</v>
      </c>
      <c r="G14" t="e">
        <f t="shared" si="2"/>
        <v>#REF!</v>
      </c>
      <c r="J14" t="e">
        <f>Reflection!A14</f>
        <v>#REF!</v>
      </c>
      <c r="K14" t="s">
        <v>13</v>
      </c>
      <c r="L14" t="e">
        <f t="shared" si="9"/>
        <v>#REF!</v>
      </c>
      <c r="M14" t="e">
        <f t="shared" si="10"/>
        <v>#REF!</v>
      </c>
      <c r="N14" t="e">
        <f t="shared" si="11"/>
        <v>#REF!</v>
      </c>
      <c r="O14" t="e">
        <f t="shared" si="12"/>
        <v>#REF!</v>
      </c>
      <c r="P14" t="e">
        <f t="shared" si="13"/>
        <v>#REF!</v>
      </c>
      <c r="Q14" t="e">
        <f t="shared" si="14"/>
        <v>#REF!</v>
      </c>
      <c r="T14" t="e">
        <f>Reflection!A14</f>
        <v>#REF!</v>
      </c>
      <c r="U14" t="s">
        <v>13</v>
      </c>
      <c r="V14" t="e">
        <f t="shared" si="15"/>
        <v>#REF!</v>
      </c>
      <c r="W14" t="e">
        <f t="shared" si="16"/>
        <v>#REF!</v>
      </c>
      <c r="X14" t="e">
        <f t="shared" si="17"/>
        <v>#REF!</v>
      </c>
      <c r="Y14" t="e">
        <f t="shared" si="18"/>
        <v>#REF!</v>
      </c>
      <c r="Z14" t="e">
        <f t="shared" si="19"/>
        <v>#REF!</v>
      </c>
      <c r="AA14" t="e">
        <f t="shared" si="20"/>
        <v>#REF!</v>
      </c>
      <c r="AD14" t="e">
        <f>Reflection!A14</f>
        <v>#REF!</v>
      </c>
      <c r="AE14" t="s">
        <v>13</v>
      </c>
      <c r="AF14" t="e">
        <f t="shared" si="21"/>
        <v>#REF!</v>
      </c>
      <c r="AG14" t="e">
        <f t="shared" si="22"/>
        <v>#REF!</v>
      </c>
      <c r="AH14" t="e">
        <f t="shared" si="23"/>
        <v>#REF!</v>
      </c>
      <c r="AI14" t="e">
        <f t="shared" si="24"/>
        <v>#REF!</v>
      </c>
      <c r="AJ14" t="e">
        <f t="shared" si="25"/>
        <v>#REF!</v>
      </c>
      <c r="AK14" t="e">
        <f t="shared" si="26"/>
        <v>#REF!</v>
      </c>
      <c r="AN14" t="e">
        <f>Reflection!A14</f>
        <v>#REF!</v>
      </c>
      <c r="AO14" t="s">
        <v>13</v>
      </c>
      <c r="AP14" t="e">
        <f t="shared" si="27"/>
        <v>#REF!</v>
      </c>
      <c r="AQ14" t="e">
        <f t="shared" si="28"/>
        <v>#REF!</v>
      </c>
      <c r="AR14" t="e">
        <f t="shared" si="29"/>
        <v>#REF!</v>
      </c>
      <c r="AS14" t="e">
        <f t="shared" si="30"/>
        <v>#REF!</v>
      </c>
      <c r="AT14" t="e">
        <f t="shared" si="31"/>
        <v>#REF!</v>
      </c>
      <c r="AU14" t="e">
        <f t="shared" si="32"/>
        <v>#REF!</v>
      </c>
      <c r="AX14" t="e">
        <f>Reflection!A14</f>
        <v>#REF!</v>
      </c>
      <c r="AY14" t="s">
        <v>13</v>
      </c>
      <c r="AZ14" t="e">
        <f t="shared" si="33"/>
        <v>#REF!</v>
      </c>
      <c r="BA14" t="e">
        <f t="shared" si="34"/>
        <v>#REF!</v>
      </c>
      <c r="BB14" t="e">
        <f t="shared" si="35"/>
        <v>#REF!</v>
      </c>
      <c r="BC14" t="e">
        <f t="shared" si="36"/>
        <v>#REF!</v>
      </c>
      <c r="BD14" t="e">
        <f t="shared" si="37"/>
        <v>#REF!</v>
      </c>
      <c r="BE14" t="e">
        <f t="shared" si="38"/>
        <v>#REF!</v>
      </c>
      <c r="BH14" t="e">
        <f>Reflection!A14</f>
        <v>#REF!</v>
      </c>
      <c r="BI14" t="e">
        <f t="shared" si="39"/>
        <v>#REF!</v>
      </c>
      <c r="BJ14" t="e">
        <f t="shared" si="40"/>
        <v>#REF!</v>
      </c>
      <c r="BK14" t="e">
        <f t="shared" si="41"/>
        <v>#REF!</v>
      </c>
      <c r="BL14" t="e">
        <f t="shared" si="42"/>
        <v>#REF!</v>
      </c>
      <c r="BM14" t="e">
        <f t="shared" si="43"/>
        <v>#REF!</v>
      </c>
      <c r="BN14" t="e">
        <f t="shared" si="3"/>
        <v>#REF!</v>
      </c>
      <c r="BR14" t="e">
        <f>Reflection!A14</f>
        <v>#REF!</v>
      </c>
      <c r="BS14" t="s">
        <v>13</v>
      </c>
      <c r="BT14" t="e">
        <f t="shared" si="44"/>
        <v>#REF!</v>
      </c>
      <c r="BU14" t="e">
        <f t="shared" si="4"/>
        <v>#REF!</v>
      </c>
      <c r="BV14" t="e">
        <f t="shared" si="45"/>
        <v>#REF!</v>
      </c>
      <c r="BW14" t="e">
        <f t="shared" si="46"/>
        <v>#REF!</v>
      </c>
      <c r="BX14" t="e">
        <f t="shared" si="47"/>
        <v>#REF!</v>
      </c>
      <c r="BY14" t="e">
        <f t="shared" si="5"/>
        <v>#REF!</v>
      </c>
    </row>
    <row r="15" spans="1:77" x14ac:dyDescent="0.15">
      <c r="A15" t="e">
        <f>Reflection!A15</f>
        <v>#REF!</v>
      </c>
      <c r="B15" t="e">
        <f t="shared" si="0"/>
        <v>#REF!</v>
      </c>
      <c r="C15" t="e">
        <f t="shared" si="1"/>
        <v>#REF!</v>
      </c>
      <c r="D15" t="e">
        <f t="shared" si="6"/>
        <v>#REF!</v>
      </c>
      <c r="E15" t="e">
        <f t="shared" si="7"/>
        <v>#REF!</v>
      </c>
      <c r="F15" t="e">
        <f t="shared" si="8"/>
        <v>#REF!</v>
      </c>
      <c r="G15" t="e">
        <f t="shared" si="2"/>
        <v>#REF!</v>
      </c>
      <c r="J15" t="e">
        <f>Reflection!A15</f>
        <v>#REF!</v>
      </c>
      <c r="K15" t="s">
        <v>13</v>
      </c>
      <c r="L15" t="e">
        <f t="shared" si="9"/>
        <v>#REF!</v>
      </c>
      <c r="M15" t="e">
        <f t="shared" si="10"/>
        <v>#REF!</v>
      </c>
      <c r="N15" t="e">
        <f t="shared" si="11"/>
        <v>#REF!</v>
      </c>
      <c r="O15" t="e">
        <f t="shared" si="12"/>
        <v>#REF!</v>
      </c>
      <c r="P15" t="e">
        <f t="shared" si="13"/>
        <v>#REF!</v>
      </c>
      <c r="Q15" t="e">
        <f t="shared" si="14"/>
        <v>#REF!</v>
      </c>
      <c r="T15" t="e">
        <f>Reflection!A15</f>
        <v>#REF!</v>
      </c>
      <c r="U15" t="s">
        <v>13</v>
      </c>
      <c r="V15" t="e">
        <f t="shared" si="15"/>
        <v>#REF!</v>
      </c>
      <c r="W15" t="e">
        <f t="shared" si="16"/>
        <v>#REF!</v>
      </c>
      <c r="X15" t="e">
        <f t="shared" si="17"/>
        <v>#REF!</v>
      </c>
      <c r="Y15" t="e">
        <f t="shared" si="18"/>
        <v>#REF!</v>
      </c>
      <c r="Z15" t="e">
        <f t="shared" si="19"/>
        <v>#REF!</v>
      </c>
      <c r="AA15" t="e">
        <f t="shared" si="20"/>
        <v>#REF!</v>
      </c>
      <c r="AD15" t="e">
        <f>Reflection!A15</f>
        <v>#REF!</v>
      </c>
      <c r="AE15" t="s">
        <v>13</v>
      </c>
      <c r="AF15" t="e">
        <f t="shared" si="21"/>
        <v>#REF!</v>
      </c>
      <c r="AG15" t="e">
        <f t="shared" si="22"/>
        <v>#REF!</v>
      </c>
      <c r="AH15" t="e">
        <f t="shared" si="23"/>
        <v>#REF!</v>
      </c>
      <c r="AI15" t="e">
        <f t="shared" si="24"/>
        <v>#REF!</v>
      </c>
      <c r="AJ15" t="e">
        <f t="shared" si="25"/>
        <v>#REF!</v>
      </c>
      <c r="AK15" t="e">
        <f t="shared" si="26"/>
        <v>#REF!</v>
      </c>
      <c r="AN15" t="e">
        <f>Reflection!A15</f>
        <v>#REF!</v>
      </c>
      <c r="AO15" t="s">
        <v>13</v>
      </c>
      <c r="AP15" t="e">
        <f t="shared" si="27"/>
        <v>#REF!</v>
      </c>
      <c r="AQ15" t="e">
        <f t="shared" si="28"/>
        <v>#REF!</v>
      </c>
      <c r="AR15" t="e">
        <f t="shared" si="29"/>
        <v>#REF!</v>
      </c>
      <c r="AS15" t="e">
        <f t="shared" si="30"/>
        <v>#REF!</v>
      </c>
      <c r="AT15" t="e">
        <f t="shared" si="31"/>
        <v>#REF!</v>
      </c>
      <c r="AU15" t="e">
        <f t="shared" si="32"/>
        <v>#REF!</v>
      </c>
      <c r="AX15" t="e">
        <f>Reflection!A15</f>
        <v>#REF!</v>
      </c>
      <c r="AY15" t="s">
        <v>13</v>
      </c>
      <c r="AZ15" t="e">
        <f t="shared" si="33"/>
        <v>#REF!</v>
      </c>
      <c r="BA15" t="e">
        <f t="shared" si="34"/>
        <v>#REF!</v>
      </c>
      <c r="BB15" t="e">
        <f t="shared" si="35"/>
        <v>#REF!</v>
      </c>
      <c r="BC15" t="e">
        <f t="shared" si="36"/>
        <v>#REF!</v>
      </c>
      <c r="BD15" t="e">
        <f t="shared" si="37"/>
        <v>#REF!</v>
      </c>
      <c r="BE15" t="e">
        <f t="shared" si="38"/>
        <v>#REF!</v>
      </c>
      <c r="BH15" t="e">
        <f>Reflection!A15</f>
        <v>#REF!</v>
      </c>
      <c r="BI15" t="e">
        <f t="shared" si="39"/>
        <v>#REF!</v>
      </c>
      <c r="BJ15" t="e">
        <f t="shared" si="40"/>
        <v>#REF!</v>
      </c>
      <c r="BK15" t="e">
        <f t="shared" si="41"/>
        <v>#REF!</v>
      </c>
      <c r="BL15" t="e">
        <f t="shared" si="42"/>
        <v>#REF!</v>
      </c>
      <c r="BM15" t="e">
        <f t="shared" si="43"/>
        <v>#REF!</v>
      </c>
      <c r="BN15" t="e">
        <f t="shared" si="3"/>
        <v>#REF!</v>
      </c>
      <c r="BR15" t="e">
        <f>Reflection!A15</f>
        <v>#REF!</v>
      </c>
      <c r="BS15" t="s">
        <v>13</v>
      </c>
      <c r="BT15" t="e">
        <f t="shared" si="44"/>
        <v>#REF!</v>
      </c>
      <c r="BU15" t="e">
        <f t="shared" si="4"/>
        <v>#REF!</v>
      </c>
      <c r="BV15" t="e">
        <f t="shared" si="45"/>
        <v>#REF!</v>
      </c>
      <c r="BW15" t="e">
        <f t="shared" si="46"/>
        <v>#REF!</v>
      </c>
      <c r="BX15" t="e">
        <f t="shared" si="47"/>
        <v>#REF!</v>
      </c>
      <c r="BY15" t="e">
        <f t="shared" si="5"/>
        <v>#REF!</v>
      </c>
    </row>
    <row r="16" spans="1:77" x14ac:dyDescent="0.15">
      <c r="A16" t="e">
        <f>Reflection!A16</f>
        <v>#REF!</v>
      </c>
      <c r="B16" t="e">
        <f t="shared" si="0"/>
        <v>#REF!</v>
      </c>
      <c r="C16" t="e">
        <f t="shared" si="1"/>
        <v>#REF!</v>
      </c>
      <c r="D16" t="e">
        <f t="shared" si="6"/>
        <v>#REF!</v>
      </c>
      <c r="E16" t="e">
        <f t="shared" si="7"/>
        <v>#REF!</v>
      </c>
      <c r="F16" t="e">
        <f t="shared" si="8"/>
        <v>#REF!</v>
      </c>
      <c r="G16" t="e">
        <f t="shared" si="2"/>
        <v>#REF!</v>
      </c>
      <c r="J16" t="e">
        <f>Reflection!A16</f>
        <v>#REF!</v>
      </c>
      <c r="K16" t="s">
        <v>13</v>
      </c>
      <c r="L16" t="e">
        <f t="shared" si="9"/>
        <v>#REF!</v>
      </c>
      <c r="M16" t="e">
        <f t="shared" si="10"/>
        <v>#REF!</v>
      </c>
      <c r="N16" t="e">
        <f t="shared" si="11"/>
        <v>#REF!</v>
      </c>
      <c r="O16" t="e">
        <f t="shared" si="12"/>
        <v>#REF!</v>
      </c>
      <c r="P16" t="e">
        <f t="shared" si="13"/>
        <v>#REF!</v>
      </c>
      <c r="Q16" t="e">
        <f t="shared" si="14"/>
        <v>#REF!</v>
      </c>
      <c r="T16" t="e">
        <f>Reflection!A16</f>
        <v>#REF!</v>
      </c>
      <c r="U16" t="s">
        <v>13</v>
      </c>
      <c r="V16" t="e">
        <f t="shared" si="15"/>
        <v>#REF!</v>
      </c>
      <c r="W16" t="e">
        <f t="shared" si="16"/>
        <v>#REF!</v>
      </c>
      <c r="X16" t="e">
        <f t="shared" si="17"/>
        <v>#REF!</v>
      </c>
      <c r="Y16" t="e">
        <f t="shared" si="18"/>
        <v>#REF!</v>
      </c>
      <c r="Z16" t="e">
        <f t="shared" si="19"/>
        <v>#REF!</v>
      </c>
      <c r="AA16" t="e">
        <f t="shared" si="20"/>
        <v>#REF!</v>
      </c>
      <c r="AD16" t="e">
        <f>Reflection!A16</f>
        <v>#REF!</v>
      </c>
      <c r="AE16" t="s">
        <v>13</v>
      </c>
      <c r="AF16" t="e">
        <f t="shared" si="21"/>
        <v>#REF!</v>
      </c>
      <c r="AG16" t="e">
        <f t="shared" si="22"/>
        <v>#REF!</v>
      </c>
      <c r="AH16" t="e">
        <f t="shared" si="23"/>
        <v>#REF!</v>
      </c>
      <c r="AI16" t="e">
        <f t="shared" si="24"/>
        <v>#REF!</v>
      </c>
      <c r="AJ16" t="e">
        <f t="shared" si="25"/>
        <v>#REF!</v>
      </c>
      <c r="AK16" t="e">
        <f t="shared" si="26"/>
        <v>#REF!</v>
      </c>
      <c r="AN16" t="e">
        <f>Reflection!A16</f>
        <v>#REF!</v>
      </c>
      <c r="AO16" t="s">
        <v>13</v>
      </c>
      <c r="AP16" t="e">
        <f t="shared" si="27"/>
        <v>#REF!</v>
      </c>
      <c r="AQ16" t="e">
        <f t="shared" si="28"/>
        <v>#REF!</v>
      </c>
      <c r="AR16" t="e">
        <f t="shared" si="29"/>
        <v>#REF!</v>
      </c>
      <c r="AS16" t="e">
        <f t="shared" si="30"/>
        <v>#REF!</v>
      </c>
      <c r="AT16" t="e">
        <f t="shared" si="31"/>
        <v>#REF!</v>
      </c>
      <c r="AU16" t="e">
        <f t="shared" si="32"/>
        <v>#REF!</v>
      </c>
      <c r="AX16" t="e">
        <f>Reflection!A16</f>
        <v>#REF!</v>
      </c>
      <c r="AY16" t="s">
        <v>13</v>
      </c>
      <c r="AZ16" t="e">
        <f t="shared" si="33"/>
        <v>#REF!</v>
      </c>
      <c r="BA16" t="e">
        <f t="shared" si="34"/>
        <v>#REF!</v>
      </c>
      <c r="BB16" t="e">
        <f t="shared" si="35"/>
        <v>#REF!</v>
      </c>
      <c r="BC16" t="e">
        <f t="shared" si="36"/>
        <v>#REF!</v>
      </c>
      <c r="BD16" t="e">
        <f t="shared" si="37"/>
        <v>#REF!</v>
      </c>
      <c r="BE16" t="e">
        <f t="shared" si="38"/>
        <v>#REF!</v>
      </c>
      <c r="BH16" t="e">
        <f>Reflection!A16</f>
        <v>#REF!</v>
      </c>
      <c r="BI16" t="e">
        <f t="shared" si="39"/>
        <v>#REF!</v>
      </c>
      <c r="BJ16" t="e">
        <f t="shared" si="40"/>
        <v>#REF!</v>
      </c>
      <c r="BK16" t="e">
        <f t="shared" si="41"/>
        <v>#REF!</v>
      </c>
      <c r="BL16" t="e">
        <f t="shared" si="42"/>
        <v>#REF!</v>
      </c>
      <c r="BM16" t="e">
        <f t="shared" si="43"/>
        <v>#REF!</v>
      </c>
      <c r="BN16" t="e">
        <f t="shared" si="3"/>
        <v>#REF!</v>
      </c>
      <c r="BR16" t="e">
        <f>Reflection!A16</f>
        <v>#REF!</v>
      </c>
      <c r="BS16" t="s">
        <v>13</v>
      </c>
      <c r="BT16" t="e">
        <f t="shared" si="44"/>
        <v>#REF!</v>
      </c>
      <c r="BU16" t="e">
        <f t="shared" si="4"/>
        <v>#REF!</v>
      </c>
      <c r="BV16" t="e">
        <f t="shared" si="45"/>
        <v>#REF!</v>
      </c>
      <c r="BW16" t="e">
        <f t="shared" si="46"/>
        <v>#REF!</v>
      </c>
      <c r="BX16" t="e">
        <f t="shared" si="47"/>
        <v>#REF!</v>
      </c>
      <c r="BY16" t="e">
        <f t="shared" si="5"/>
        <v>#REF!</v>
      </c>
    </row>
    <row r="17" spans="1:77" x14ac:dyDescent="0.15">
      <c r="A17" t="e">
        <f>Reflection!A17</f>
        <v>#REF!</v>
      </c>
      <c r="B17" t="e">
        <f t="shared" si="0"/>
        <v>#REF!</v>
      </c>
      <c r="C17" t="e">
        <f t="shared" si="1"/>
        <v>#REF!</v>
      </c>
      <c r="D17" t="e">
        <f t="shared" si="6"/>
        <v>#REF!</v>
      </c>
      <c r="E17" t="e">
        <f t="shared" si="7"/>
        <v>#REF!</v>
      </c>
      <c r="F17" t="e">
        <f t="shared" si="8"/>
        <v>#REF!</v>
      </c>
      <c r="G17" t="e">
        <f t="shared" si="2"/>
        <v>#REF!</v>
      </c>
      <c r="J17" t="e">
        <f>Reflection!A17</f>
        <v>#REF!</v>
      </c>
      <c r="K17" t="s">
        <v>13</v>
      </c>
      <c r="L17" t="e">
        <f t="shared" si="9"/>
        <v>#REF!</v>
      </c>
      <c r="M17" t="e">
        <f t="shared" si="10"/>
        <v>#REF!</v>
      </c>
      <c r="N17" t="e">
        <f t="shared" si="11"/>
        <v>#REF!</v>
      </c>
      <c r="O17" t="e">
        <f t="shared" si="12"/>
        <v>#REF!</v>
      </c>
      <c r="P17" t="e">
        <f t="shared" si="13"/>
        <v>#REF!</v>
      </c>
      <c r="Q17" t="e">
        <f t="shared" si="14"/>
        <v>#REF!</v>
      </c>
      <c r="T17" t="e">
        <f>Reflection!A17</f>
        <v>#REF!</v>
      </c>
      <c r="U17" t="s">
        <v>13</v>
      </c>
      <c r="V17" t="e">
        <f t="shared" si="15"/>
        <v>#REF!</v>
      </c>
      <c r="W17" t="e">
        <f t="shared" si="16"/>
        <v>#REF!</v>
      </c>
      <c r="X17" t="e">
        <f t="shared" si="17"/>
        <v>#REF!</v>
      </c>
      <c r="Y17" t="e">
        <f t="shared" si="18"/>
        <v>#REF!</v>
      </c>
      <c r="Z17" t="e">
        <f t="shared" si="19"/>
        <v>#REF!</v>
      </c>
      <c r="AA17" t="e">
        <f t="shared" si="20"/>
        <v>#REF!</v>
      </c>
      <c r="AD17" t="e">
        <f>Reflection!A17</f>
        <v>#REF!</v>
      </c>
      <c r="AE17" t="s">
        <v>13</v>
      </c>
      <c r="AF17" t="e">
        <f t="shared" si="21"/>
        <v>#REF!</v>
      </c>
      <c r="AG17" t="e">
        <f t="shared" si="22"/>
        <v>#REF!</v>
      </c>
      <c r="AH17" t="e">
        <f t="shared" si="23"/>
        <v>#REF!</v>
      </c>
      <c r="AI17" t="e">
        <f t="shared" si="24"/>
        <v>#REF!</v>
      </c>
      <c r="AJ17" t="e">
        <f t="shared" si="25"/>
        <v>#REF!</v>
      </c>
      <c r="AK17" t="e">
        <f t="shared" si="26"/>
        <v>#REF!</v>
      </c>
      <c r="AN17" t="e">
        <f>Reflection!A17</f>
        <v>#REF!</v>
      </c>
      <c r="AO17" t="s">
        <v>13</v>
      </c>
      <c r="AP17" t="e">
        <f t="shared" si="27"/>
        <v>#REF!</v>
      </c>
      <c r="AQ17" t="e">
        <f t="shared" si="28"/>
        <v>#REF!</v>
      </c>
      <c r="AR17" t="e">
        <f t="shared" si="29"/>
        <v>#REF!</v>
      </c>
      <c r="AS17" t="e">
        <f t="shared" si="30"/>
        <v>#REF!</v>
      </c>
      <c r="AT17" t="e">
        <f t="shared" si="31"/>
        <v>#REF!</v>
      </c>
      <c r="AU17" t="e">
        <f t="shared" si="32"/>
        <v>#REF!</v>
      </c>
      <c r="AX17" t="e">
        <f>Reflection!A17</f>
        <v>#REF!</v>
      </c>
      <c r="AY17" t="s">
        <v>13</v>
      </c>
      <c r="AZ17" t="e">
        <f t="shared" si="33"/>
        <v>#REF!</v>
      </c>
      <c r="BA17" t="e">
        <f t="shared" si="34"/>
        <v>#REF!</v>
      </c>
      <c r="BB17" t="e">
        <f t="shared" si="35"/>
        <v>#REF!</v>
      </c>
      <c r="BC17" t="e">
        <f t="shared" si="36"/>
        <v>#REF!</v>
      </c>
      <c r="BD17" t="e">
        <f t="shared" si="37"/>
        <v>#REF!</v>
      </c>
      <c r="BE17" t="e">
        <f t="shared" si="38"/>
        <v>#REF!</v>
      </c>
      <c r="BH17" t="e">
        <f>Reflection!A17</f>
        <v>#REF!</v>
      </c>
      <c r="BI17" t="e">
        <f t="shared" si="39"/>
        <v>#REF!</v>
      </c>
      <c r="BJ17" t="e">
        <f t="shared" si="40"/>
        <v>#REF!</v>
      </c>
      <c r="BK17" t="e">
        <f t="shared" si="41"/>
        <v>#REF!</v>
      </c>
      <c r="BL17" t="e">
        <f t="shared" si="42"/>
        <v>#REF!</v>
      </c>
      <c r="BM17" t="e">
        <f t="shared" si="43"/>
        <v>#REF!</v>
      </c>
      <c r="BN17" t="e">
        <f t="shared" si="3"/>
        <v>#REF!</v>
      </c>
      <c r="BR17" t="e">
        <f>Reflection!A17</f>
        <v>#REF!</v>
      </c>
      <c r="BS17" t="s">
        <v>13</v>
      </c>
      <c r="BT17" t="e">
        <f t="shared" si="44"/>
        <v>#REF!</v>
      </c>
      <c r="BU17" t="e">
        <f t="shared" si="4"/>
        <v>#REF!</v>
      </c>
      <c r="BV17" t="e">
        <f t="shared" si="45"/>
        <v>#REF!</v>
      </c>
      <c r="BW17" t="e">
        <f t="shared" si="46"/>
        <v>#REF!</v>
      </c>
      <c r="BX17" t="e">
        <f t="shared" si="47"/>
        <v>#REF!</v>
      </c>
      <c r="BY17" t="e">
        <f t="shared" si="5"/>
        <v>#REF!</v>
      </c>
    </row>
    <row r="18" spans="1:77" x14ac:dyDescent="0.15">
      <c r="A18" t="e">
        <f>Reflection!A18</f>
        <v>#REF!</v>
      </c>
      <c r="B18" t="e">
        <f t="shared" si="0"/>
        <v>#REF!</v>
      </c>
      <c r="C18" t="e">
        <f t="shared" si="1"/>
        <v>#REF!</v>
      </c>
      <c r="D18" t="e">
        <f t="shared" si="6"/>
        <v>#REF!</v>
      </c>
      <c r="E18" t="e">
        <f t="shared" si="7"/>
        <v>#REF!</v>
      </c>
      <c r="F18" t="e">
        <f t="shared" si="8"/>
        <v>#REF!</v>
      </c>
      <c r="G18" t="e">
        <f t="shared" si="2"/>
        <v>#REF!</v>
      </c>
      <c r="J18" t="e">
        <f>Reflection!A18</f>
        <v>#REF!</v>
      </c>
      <c r="K18" t="s">
        <v>13</v>
      </c>
      <c r="L18" t="e">
        <f t="shared" si="9"/>
        <v>#REF!</v>
      </c>
      <c r="M18" t="e">
        <f t="shared" si="10"/>
        <v>#REF!</v>
      </c>
      <c r="N18" t="e">
        <f t="shared" si="11"/>
        <v>#REF!</v>
      </c>
      <c r="O18" t="e">
        <f t="shared" si="12"/>
        <v>#REF!</v>
      </c>
      <c r="P18" t="e">
        <f t="shared" si="13"/>
        <v>#REF!</v>
      </c>
      <c r="Q18" t="e">
        <f t="shared" si="14"/>
        <v>#REF!</v>
      </c>
      <c r="T18" t="e">
        <f>Reflection!A18</f>
        <v>#REF!</v>
      </c>
      <c r="U18" t="s">
        <v>13</v>
      </c>
      <c r="V18" t="e">
        <f t="shared" si="15"/>
        <v>#REF!</v>
      </c>
      <c r="W18" t="e">
        <f t="shared" si="16"/>
        <v>#REF!</v>
      </c>
      <c r="X18" t="e">
        <f t="shared" si="17"/>
        <v>#REF!</v>
      </c>
      <c r="Y18" t="e">
        <f t="shared" si="18"/>
        <v>#REF!</v>
      </c>
      <c r="Z18" t="e">
        <f t="shared" si="19"/>
        <v>#REF!</v>
      </c>
      <c r="AA18" t="e">
        <f t="shared" si="20"/>
        <v>#REF!</v>
      </c>
      <c r="AD18" t="e">
        <f>Reflection!A18</f>
        <v>#REF!</v>
      </c>
      <c r="AE18" t="s">
        <v>13</v>
      </c>
      <c r="AF18" t="e">
        <f t="shared" si="21"/>
        <v>#REF!</v>
      </c>
      <c r="AG18" t="e">
        <f t="shared" si="22"/>
        <v>#REF!</v>
      </c>
      <c r="AH18" t="e">
        <f t="shared" si="23"/>
        <v>#REF!</v>
      </c>
      <c r="AI18" t="e">
        <f t="shared" si="24"/>
        <v>#REF!</v>
      </c>
      <c r="AJ18" t="e">
        <f t="shared" si="25"/>
        <v>#REF!</v>
      </c>
      <c r="AK18" t="e">
        <f t="shared" si="26"/>
        <v>#REF!</v>
      </c>
      <c r="AN18" t="e">
        <f>Reflection!A18</f>
        <v>#REF!</v>
      </c>
      <c r="AO18" t="s">
        <v>13</v>
      </c>
      <c r="AP18" t="e">
        <f t="shared" si="27"/>
        <v>#REF!</v>
      </c>
      <c r="AQ18" t="e">
        <f t="shared" si="28"/>
        <v>#REF!</v>
      </c>
      <c r="AR18" t="e">
        <f t="shared" si="29"/>
        <v>#REF!</v>
      </c>
      <c r="AS18" t="e">
        <f t="shared" si="30"/>
        <v>#REF!</v>
      </c>
      <c r="AT18" t="e">
        <f t="shared" si="31"/>
        <v>#REF!</v>
      </c>
      <c r="AU18" t="e">
        <f t="shared" si="32"/>
        <v>#REF!</v>
      </c>
      <c r="AX18" t="e">
        <f>Reflection!A18</f>
        <v>#REF!</v>
      </c>
      <c r="AY18" t="s">
        <v>13</v>
      </c>
      <c r="AZ18" t="e">
        <f t="shared" si="33"/>
        <v>#REF!</v>
      </c>
      <c r="BA18" t="e">
        <f t="shared" si="34"/>
        <v>#REF!</v>
      </c>
      <c r="BB18" t="e">
        <f t="shared" si="35"/>
        <v>#REF!</v>
      </c>
      <c r="BC18" t="e">
        <f t="shared" si="36"/>
        <v>#REF!</v>
      </c>
      <c r="BD18" t="e">
        <f t="shared" si="37"/>
        <v>#REF!</v>
      </c>
      <c r="BE18" t="e">
        <f t="shared" si="38"/>
        <v>#REF!</v>
      </c>
      <c r="BH18" t="e">
        <f>Reflection!A18</f>
        <v>#REF!</v>
      </c>
      <c r="BI18" t="e">
        <f t="shared" si="39"/>
        <v>#REF!</v>
      </c>
      <c r="BJ18" t="e">
        <f t="shared" si="40"/>
        <v>#REF!</v>
      </c>
      <c r="BK18" t="e">
        <f t="shared" si="41"/>
        <v>#REF!</v>
      </c>
      <c r="BL18" t="e">
        <f t="shared" si="42"/>
        <v>#REF!</v>
      </c>
      <c r="BM18" t="e">
        <f t="shared" si="43"/>
        <v>#REF!</v>
      </c>
      <c r="BN18" t="e">
        <f t="shared" si="3"/>
        <v>#REF!</v>
      </c>
      <c r="BR18" t="e">
        <f>Reflection!A18</f>
        <v>#REF!</v>
      </c>
      <c r="BS18" t="s">
        <v>13</v>
      </c>
      <c r="BT18" t="e">
        <f t="shared" si="44"/>
        <v>#REF!</v>
      </c>
      <c r="BU18" t="e">
        <f t="shared" si="4"/>
        <v>#REF!</v>
      </c>
      <c r="BV18" t="e">
        <f t="shared" si="45"/>
        <v>#REF!</v>
      </c>
      <c r="BW18" t="e">
        <f t="shared" si="46"/>
        <v>#REF!</v>
      </c>
      <c r="BX18" t="e">
        <f t="shared" si="47"/>
        <v>#REF!</v>
      </c>
      <c r="BY18" t="e">
        <f t="shared" si="5"/>
        <v>#REF!</v>
      </c>
    </row>
    <row r="19" spans="1:77" x14ac:dyDescent="0.15">
      <c r="A19" t="e">
        <f>Reflection!A19</f>
        <v>#REF!</v>
      </c>
      <c r="B19" t="e">
        <f t="shared" si="0"/>
        <v>#REF!</v>
      </c>
      <c r="C19" t="e">
        <f t="shared" si="1"/>
        <v>#REF!</v>
      </c>
      <c r="D19" t="e">
        <f t="shared" si="6"/>
        <v>#REF!</v>
      </c>
      <c r="E19" t="e">
        <f t="shared" si="7"/>
        <v>#REF!</v>
      </c>
      <c r="F19" t="e">
        <f t="shared" si="8"/>
        <v>#REF!</v>
      </c>
      <c r="G19" t="e">
        <f t="shared" si="2"/>
        <v>#REF!</v>
      </c>
      <c r="J19" t="e">
        <f>Reflection!A19</f>
        <v>#REF!</v>
      </c>
      <c r="K19" t="s">
        <v>13</v>
      </c>
      <c r="L19" t="e">
        <f t="shared" si="9"/>
        <v>#REF!</v>
      </c>
      <c r="M19" t="e">
        <f t="shared" si="10"/>
        <v>#REF!</v>
      </c>
      <c r="N19" t="e">
        <f t="shared" si="11"/>
        <v>#REF!</v>
      </c>
      <c r="O19" t="e">
        <f t="shared" si="12"/>
        <v>#REF!</v>
      </c>
      <c r="P19" t="e">
        <f t="shared" si="13"/>
        <v>#REF!</v>
      </c>
      <c r="Q19" t="e">
        <f t="shared" si="14"/>
        <v>#REF!</v>
      </c>
      <c r="T19" t="e">
        <f>Reflection!A19</f>
        <v>#REF!</v>
      </c>
      <c r="U19" t="s">
        <v>13</v>
      </c>
      <c r="V19" t="e">
        <f t="shared" si="15"/>
        <v>#REF!</v>
      </c>
      <c r="W19" t="e">
        <f t="shared" si="16"/>
        <v>#REF!</v>
      </c>
      <c r="X19" t="e">
        <f t="shared" si="17"/>
        <v>#REF!</v>
      </c>
      <c r="Y19" t="e">
        <f t="shared" si="18"/>
        <v>#REF!</v>
      </c>
      <c r="Z19" t="e">
        <f t="shared" si="19"/>
        <v>#REF!</v>
      </c>
      <c r="AA19" t="e">
        <f t="shared" si="20"/>
        <v>#REF!</v>
      </c>
      <c r="AD19" t="e">
        <f>Reflection!A19</f>
        <v>#REF!</v>
      </c>
      <c r="AE19" t="s">
        <v>13</v>
      </c>
      <c r="AF19" t="e">
        <f t="shared" si="21"/>
        <v>#REF!</v>
      </c>
      <c r="AG19" t="e">
        <f t="shared" si="22"/>
        <v>#REF!</v>
      </c>
      <c r="AH19" t="e">
        <f t="shared" si="23"/>
        <v>#REF!</v>
      </c>
      <c r="AI19" t="e">
        <f t="shared" si="24"/>
        <v>#REF!</v>
      </c>
      <c r="AJ19" t="e">
        <f t="shared" si="25"/>
        <v>#REF!</v>
      </c>
      <c r="AK19" t="e">
        <f t="shared" si="26"/>
        <v>#REF!</v>
      </c>
      <c r="AN19" t="e">
        <f>Reflection!A19</f>
        <v>#REF!</v>
      </c>
      <c r="AO19" t="s">
        <v>13</v>
      </c>
      <c r="AP19" t="e">
        <f t="shared" si="27"/>
        <v>#REF!</v>
      </c>
      <c r="AQ19" t="e">
        <f t="shared" si="28"/>
        <v>#REF!</v>
      </c>
      <c r="AR19" t="e">
        <f t="shared" si="29"/>
        <v>#REF!</v>
      </c>
      <c r="AS19" t="e">
        <f t="shared" si="30"/>
        <v>#REF!</v>
      </c>
      <c r="AT19" t="e">
        <f t="shared" si="31"/>
        <v>#REF!</v>
      </c>
      <c r="AU19" t="e">
        <f t="shared" si="32"/>
        <v>#REF!</v>
      </c>
      <c r="AX19" t="e">
        <f>Reflection!A19</f>
        <v>#REF!</v>
      </c>
      <c r="AY19" t="s">
        <v>13</v>
      </c>
      <c r="AZ19" t="e">
        <f t="shared" si="33"/>
        <v>#REF!</v>
      </c>
      <c r="BA19" t="e">
        <f t="shared" si="34"/>
        <v>#REF!</v>
      </c>
      <c r="BB19" t="e">
        <f t="shared" si="35"/>
        <v>#REF!</v>
      </c>
      <c r="BC19" t="e">
        <f t="shared" si="36"/>
        <v>#REF!</v>
      </c>
      <c r="BD19" t="e">
        <f t="shared" si="37"/>
        <v>#REF!</v>
      </c>
      <c r="BE19" t="e">
        <f t="shared" si="38"/>
        <v>#REF!</v>
      </c>
      <c r="BH19" t="e">
        <f>Reflection!A19</f>
        <v>#REF!</v>
      </c>
      <c r="BI19" t="e">
        <f t="shared" si="39"/>
        <v>#REF!</v>
      </c>
      <c r="BJ19" t="e">
        <f t="shared" si="40"/>
        <v>#REF!</v>
      </c>
      <c r="BK19" t="e">
        <f t="shared" si="41"/>
        <v>#REF!</v>
      </c>
      <c r="BL19" t="e">
        <f t="shared" si="42"/>
        <v>#REF!</v>
      </c>
      <c r="BM19" t="e">
        <f t="shared" si="43"/>
        <v>#REF!</v>
      </c>
      <c r="BN19" t="e">
        <f t="shared" si="3"/>
        <v>#REF!</v>
      </c>
      <c r="BR19" t="e">
        <f>Reflection!A19</f>
        <v>#REF!</v>
      </c>
      <c r="BS19" t="s">
        <v>13</v>
      </c>
      <c r="BT19" t="e">
        <f t="shared" si="44"/>
        <v>#REF!</v>
      </c>
      <c r="BU19" t="e">
        <f t="shared" si="4"/>
        <v>#REF!</v>
      </c>
      <c r="BV19" t="e">
        <f t="shared" si="45"/>
        <v>#REF!</v>
      </c>
      <c r="BW19" t="e">
        <f t="shared" si="46"/>
        <v>#REF!</v>
      </c>
      <c r="BX19" t="e">
        <f t="shared" si="47"/>
        <v>#REF!</v>
      </c>
      <c r="BY19" t="e">
        <f t="shared" si="5"/>
        <v>#REF!</v>
      </c>
    </row>
    <row r="20" spans="1:77" x14ac:dyDescent="0.15">
      <c r="A20" t="e">
        <f>Reflection!A20</f>
        <v>#REF!</v>
      </c>
      <c r="B20" t="e">
        <f t="shared" si="0"/>
        <v>#REF!</v>
      </c>
      <c r="C20" t="e">
        <f t="shared" si="1"/>
        <v>#REF!</v>
      </c>
      <c r="D20" t="e">
        <f t="shared" si="6"/>
        <v>#REF!</v>
      </c>
      <c r="E20" t="e">
        <f t="shared" si="7"/>
        <v>#REF!</v>
      </c>
      <c r="F20" t="e">
        <f t="shared" si="8"/>
        <v>#REF!</v>
      </c>
      <c r="G20" t="e">
        <f t="shared" si="2"/>
        <v>#REF!</v>
      </c>
      <c r="J20" t="e">
        <f>Reflection!A20</f>
        <v>#REF!</v>
      </c>
      <c r="K20" t="s">
        <v>13</v>
      </c>
      <c r="L20" t="e">
        <f t="shared" si="9"/>
        <v>#REF!</v>
      </c>
      <c r="M20" t="e">
        <f t="shared" si="10"/>
        <v>#REF!</v>
      </c>
      <c r="N20" t="e">
        <f t="shared" si="11"/>
        <v>#REF!</v>
      </c>
      <c r="O20" t="e">
        <f t="shared" si="12"/>
        <v>#REF!</v>
      </c>
      <c r="P20" t="e">
        <f t="shared" si="13"/>
        <v>#REF!</v>
      </c>
      <c r="Q20" t="e">
        <f t="shared" si="14"/>
        <v>#REF!</v>
      </c>
      <c r="T20" t="e">
        <f>Reflection!A20</f>
        <v>#REF!</v>
      </c>
      <c r="U20" t="s">
        <v>13</v>
      </c>
      <c r="V20" t="e">
        <f t="shared" si="15"/>
        <v>#REF!</v>
      </c>
      <c r="W20" t="e">
        <f t="shared" si="16"/>
        <v>#REF!</v>
      </c>
      <c r="X20" t="e">
        <f t="shared" si="17"/>
        <v>#REF!</v>
      </c>
      <c r="Y20" t="e">
        <f t="shared" si="18"/>
        <v>#REF!</v>
      </c>
      <c r="Z20" t="e">
        <f t="shared" si="19"/>
        <v>#REF!</v>
      </c>
      <c r="AA20" t="e">
        <f t="shared" si="20"/>
        <v>#REF!</v>
      </c>
      <c r="AD20" t="e">
        <f>Reflection!A20</f>
        <v>#REF!</v>
      </c>
      <c r="AE20" t="s">
        <v>13</v>
      </c>
      <c r="AF20" t="e">
        <f t="shared" si="21"/>
        <v>#REF!</v>
      </c>
      <c r="AG20" t="e">
        <f t="shared" si="22"/>
        <v>#REF!</v>
      </c>
      <c r="AH20" t="e">
        <f t="shared" si="23"/>
        <v>#REF!</v>
      </c>
      <c r="AI20" t="e">
        <f t="shared" si="24"/>
        <v>#REF!</v>
      </c>
      <c r="AJ20" t="e">
        <f t="shared" si="25"/>
        <v>#REF!</v>
      </c>
      <c r="AK20" t="e">
        <f t="shared" si="26"/>
        <v>#REF!</v>
      </c>
      <c r="AN20" t="e">
        <f>Reflection!A20</f>
        <v>#REF!</v>
      </c>
      <c r="AO20" t="s">
        <v>13</v>
      </c>
      <c r="AP20" t="e">
        <f t="shared" si="27"/>
        <v>#REF!</v>
      </c>
      <c r="AQ20" t="e">
        <f t="shared" si="28"/>
        <v>#REF!</v>
      </c>
      <c r="AR20" t="e">
        <f t="shared" si="29"/>
        <v>#REF!</v>
      </c>
      <c r="AS20" t="e">
        <f t="shared" si="30"/>
        <v>#REF!</v>
      </c>
      <c r="AT20" t="e">
        <f t="shared" si="31"/>
        <v>#REF!</v>
      </c>
      <c r="AU20" t="e">
        <f t="shared" si="32"/>
        <v>#REF!</v>
      </c>
      <c r="AX20" t="e">
        <f>Reflection!A20</f>
        <v>#REF!</v>
      </c>
      <c r="AY20" t="s">
        <v>13</v>
      </c>
      <c r="AZ20" t="e">
        <f t="shared" si="33"/>
        <v>#REF!</v>
      </c>
      <c r="BA20" t="e">
        <f t="shared" si="34"/>
        <v>#REF!</v>
      </c>
      <c r="BB20" t="e">
        <f t="shared" si="35"/>
        <v>#REF!</v>
      </c>
      <c r="BC20" t="e">
        <f t="shared" si="36"/>
        <v>#REF!</v>
      </c>
      <c r="BD20" t="e">
        <f t="shared" si="37"/>
        <v>#REF!</v>
      </c>
      <c r="BE20" t="e">
        <f t="shared" si="38"/>
        <v>#REF!</v>
      </c>
      <c r="BH20" t="e">
        <f>Reflection!A20</f>
        <v>#REF!</v>
      </c>
      <c r="BI20" t="e">
        <f t="shared" si="39"/>
        <v>#REF!</v>
      </c>
      <c r="BJ20" t="e">
        <f t="shared" si="40"/>
        <v>#REF!</v>
      </c>
      <c r="BK20" t="e">
        <f t="shared" si="41"/>
        <v>#REF!</v>
      </c>
      <c r="BL20" t="e">
        <f t="shared" si="42"/>
        <v>#REF!</v>
      </c>
      <c r="BM20" t="e">
        <f t="shared" si="43"/>
        <v>#REF!</v>
      </c>
      <c r="BN20" t="e">
        <f t="shared" si="3"/>
        <v>#REF!</v>
      </c>
      <c r="BR20" t="e">
        <f>Reflection!A20</f>
        <v>#REF!</v>
      </c>
      <c r="BS20" t="s">
        <v>13</v>
      </c>
      <c r="BT20" t="e">
        <f t="shared" si="44"/>
        <v>#REF!</v>
      </c>
      <c r="BU20" t="e">
        <f t="shared" si="4"/>
        <v>#REF!</v>
      </c>
      <c r="BV20" t="e">
        <f t="shared" si="45"/>
        <v>#REF!</v>
      </c>
      <c r="BW20" t="e">
        <f t="shared" si="46"/>
        <v>#REF!</v>
      </c>
      <c r="BX20" t="e">
        <f t="shared" si="47"/>
        <v>#REF!</v>
      </c>
      <c r="BY20" t="e">
        <f t="shared" si="5"/>
        <v>#REF!</v>
      </c>
    </row>
    <row r="21" spans="1:77" x14ac:dyDescent="0.15">
      <c r="A21" t="e">
        <f>Reflection!A21</f>
        <v>#REF!</v>
      </c>
      <c r="B21" t="e">
        <f t="shared" si="0"/>
        <v>#REF!</v>
      </c>
      <c r="C21" t="e">
        <f t="shared" si="1"/>
        <v>#REF!</v>
      </c>
      <c r="D21" t="e">
        <f t="shared" si="6"/>
        <v>#REF!</v>
      </c>
      <c r="E21" t="e">
        <f t="shared" si="7"/>
        <v>#REF!</v>
      </c>
      <c r="F21" t="e">
        <f t="shared" si="8"/>
        <v>#REF!</v>
      </c>
      <c r="G21" t="e">
        <f t="shared" si="2"/>
        <v>#REF!</v>
      </c>
      <c r="J21" t="e">
        <f>Reflection!A21</f>
        <v>#REF!</v>
      </c>
      <c r="K21" t="s">
        <v>13</v>
      </c>
      <c r="L21" t="e">
        <f t="shared" si="9"/>
        <v>#REF!</v>
      </c>
      <c r="M21" t="e">
        <f t="shared" si="10"/>
        <v>#REF!</v>
      </c>
      <c r="N21" t="e">
        <f t="shared" si="11"/>
        <v>#REF!</v>
      </c>
      <c r="O21" t="e">
        <f t="shared" si="12"/>
        <v>#REF!</v>
      </c>
      <c r="P21" t="e">
        <f t="shared" si="13"/>
        <v>#REF!</v>
      </c>
      <c r="Q21" t="e">
        <f t="shared" si="14"/>
        <v>#REF!</v>
      </c>
      <c r="T21" t="e">
        <f>Reflection!A21</f>
        <v>#REF!</v>
      </c>
      <c r="U21" t="s">
        <v>13</v>
      </c>
      <c r="V21" t="e">
        <f t="shared" si="15"/>
        <v>#REF!</v>
      </c>
      <c r="W21" t="e">
        <f t="shared" si="16"/>
        <v>#REF!</v>
      </c>
      <c r="X21" t="e">
        <f t="shared" si="17"/>
        <v>#REF!</v>
      </c>
      <c r="Y21" t="e">
        <f t="shared" si="18"/>
        <v>#REF!</v>
      </c>
      <c r="Z21" t="e">
        <f t="shared" si="19"/>
        <v>#REF!</v>
      </c>
      <c r="AA21" t="e">
        <f t="shared" si="20"/>
        <v>#REF!</v>
      </c>
      <c r="AD21" t="e">
        <f>Reflection!A21</f>
        <v>#REF!</v>
      </c>
      <c r="AE21" t="s">
        <v>13</v>
      </c>
      <c r="AF21" t="e">
        <f t="shared" si="21"/>
        <v>#REF!</v>
      </c>
      <c r="AG21" t="e">
        <f t="shared" si="22"/>
        <v>#REF!</v>
      </c>
      <c r="AH21" t="e">
        <f t="shared" si="23"/>
        <v>#REF!</v>
      </c>
      <c r="AI21" t="e">
        <f t="shared" si="24"/>
        <v>#REF!</v>
      </c>
      <c r="AJ21" t="e">
        <f t="shared" si="25"/>
        <v>#REF!</v>
      </c>
      <c r="AK21" t="e">
        <f t="shared" si="26"/>
        <v>#REF!</v>
      </c>
      <c r="AN21" t="e">
        <f>Reflection!A21</f>
        <v>#REF!</v>
      </c>
      <c r="AO21" t="s">
        <v>13</v>
      </c>
      <c r="AP21" t="e">
        <f t="shared" si="27"/>
        <v>#REF!</v>
      </c>
      <c r="AQ21" t="e">
        <f t="shared" si="28"/>
        <v>#REF!</v>
      </c>
      <c r="AR21" t="e">
        <f t="shared" si="29"/>
        <v>#REF!</v>
      </c>
      <c r="AS21" t="e">
        <f t="shared" si="30"/>
        <v>#REF!</v>
      </c>
      <c r="AT21" t="e">
        <f t="shared" si="31"/>
        <v>#REF!</v>
      </c>
      <c r="AU21" t="e">
        <f t="shared" si="32"/>
        <v>#REF!</v>
      </c>
      <c r="AX21" t="e">
        <f>Reflection!A21</f>
        <v>#REF!</v>
      </c>
      <c r="AY21" t="s">
        <v>13</v>
      </c>
      <c r="AZ21" t="e">
        <f t="shared" si="33"/>
        <v>#REF!</v>
      </c>
      <c r="BA21" t="e">
        <f t="shared" si="34"/>
        <v>#REF!</v>
      </c>
      <c r="BB21" t="e">
        <f t="shared" si="35"/>
        <v>#REF!</v>
      </c>
      <c r="BC21" t="e">
        <f t="shared" si="36"/>
        <v>#REF!</v>
      </c>
      <c r="BD21" t="e">
        <f t="shared" si="37"/>
        <v>#REF!</v>
      </c>
      <c r="BE21" t="e">
        <f t="shared" si="38"/>
        <v>#REF!</v>
      </c>
      <c r="BH21" t="e">
        <f>Reflection!A21</f>
        <v>#REF!</v>
      </c>
      <c r="BI21" t="e">
        <f t="shared" si="39"/>
        <v>#REF!</v>
      </c>
      <c r="BJ21" t="e">
        <f t="shared" si="40"/>
        <v>#REF!</v>
      </c>
      <c r="BK21" t="e">
        <f t="shared" si="41"/>
        <v>#REF!</v>
      </c>
      <c r="BL21" t="e">
        <f t="shared" si="42"/>
        <v>#REF!</v>
      </c>
      <c r="BM21" t="e">
        <f t="shared" si="43"/>
        <v>#REF!</v>
      </c>
      <c r="BN21" t="e">
        <f t="shared" si="3"/>
        <v>#REF!</v>
      </c>
      <c r="BR21" t="e">
        <f>Reflection!A21</f>
        <v>#REF!</v>
      </c>
      <c r="BS21" t="s">
        <v>13</v>
      </c>
      <c r="BT21" t="e">
        <f t="shared" si="44"/>
        <v>#REF!</v>
      </c>
      <c r="BU21" t="e">
        <f t="shared" si="4"/>
        <v>#REF!</v>
      </c>
      <c r="BV21" t="e">
        <f t="shared" si="45"/>
        <v>#REF!</v>
      </c>
      <c r="BW21" t="e">
        <f t="shared" si="46"/>
        <v>#REF!</v>
      </c>
      <c r="BX21" t="e">
        <f t="shared" si="47"/>
        <v>#REF!</v>
      </c>
      <c r="BY21" t="e">
        <f t="shared" si="5"/>
        <v>#REF!</v>
      </c>
    </row>
    <row r="22" spans="1:77" x14ac:dyDescent="0.15">
      <c r="A22" t="e">
        <f>Reflection!A22</f>
        <v>#REF!</v>
      </c>
      <c r="B22" t="e">
        <f t="shared" si="0"/>
        <v>#REF!</v>
      </c>
      <c r="C22" t="e">
        <f t="shared" si="1"/>
        <v>#REF!</v>
      </c>
      <c r="D22" t="e">
        <f t="shared" si="6"/>
        <v>#REF!</v>
      </c>
      <c r="E22" t="e">
        <f t="shared" si="7"/>
        <v>#REF!</v>
      </c>
      <c r="F22" t="e">
        <f t="shared" si="8"/>
        <v>#REF!</v>
      </c>
      <c r="G22" t="e">
        <f t="shared" si="2"/>
        <v>#REF!</v>
      </c>
      <c r="J22" t="e">
        <f>Reflection!A22</f>
        <v>#REF!</v>
      </c>
      <c r="K22" t="s">
        <v>13</v>
      </c>
      <c r="L22" t="e">
        <f t="shared" si="9"/>
        <v>#REF!</v>
      </c>
      <c r="M22" t="e">
        <f t="shared" si="10"/>
        <v>#REF!</v>
      </c>
      <c r="N22" t="e">
        <f t="shared" si="11"/>
        <v>#REF!</v>
      </c>
      <c r="O22" t="e">
        <f t="shared" si="12"/>
        <v>#REF!</v>
      </c>
      <c r="P22" t="e">
        <f t="shared" si="13"/>
        <v>#REF!</v>
      </c>
      <c r="Q22" t="e">
        <f t="shared" si="14"/>
        <v>#REF!</v>
      </c>
      <c r="T22" t="e">
        <f>Reflection!A22</f>
        <v>#REF!</v>
      </c>
      <c r="U22" t="s">
        <v>13</v>
      </c>
      <c r="V22" t="e">
        <f t="shared" si="15"/>
        <v>#REF!</v>
      </c>
      <c r="W22" t="e">
        <f t="shared" si="16"/>
        <v>#REF!</v>
      </c>
      <c r="X22" t="e">
        <f t="shared" si="17"/>
        <v>#REF!</v>
      </c>
      <c r="Y22" t="e">
        <f t="shared" si="18"/>
        <v>#REF!</v>
      </c>
      <c r="Z22" t="e">
        <f t="shared" si="19"/>
        <v>#REF!</v>
      </c>
      <c r="AA22" t="e">
        <f t="shared" si="20"/>
        <v>#REF!</v>
      </c>
      <c r="AD22" t="e">
        <f>Reflection!A22</f>
        <v>#REF!</v>
      </c>
      <c r="AE22" t="s">
        <v>13</v>
      </c>
      <c r="AF22" t="e">
        <f t="shared" si="21"/>
        <v>#REF!</v>
      </c>
      <c r="AG22" t="e">
        <f t="shared" si="22"/>
        <v>#REF!</v>
      </c>
      <c r="AH22" t="e">
        <f t="shared" si="23"/>
        <v>#REF!</v>
      </c>
      <c r="AI22" t="e">
        <f t="shared" si="24"/>
        <v>#REF!</v>
      </c>
      <c r="AJ22" t="e">
        <f t="shared" si="25"/>
        <v>#REF!</v>
      </c>
      <c r="AK22" t="e">
        <f t="shared" si="26"/>
        <v>#REF!</v>
      </c>
      <c r="AN22" t="e">
        <f>Reflection!A22</f>
        <v>#REF!</v>
      </c>
      <c r="AO22" t="s">
        <v>13</v>
      </c>
      <c r="AP22" t="e">
        <f t="shared" si="27"/>
        <v>#REF!</v>
      </c>
      <c r="AQ22" t="e">
        <f t="shared" si="28"/>
        <v>#REF!</v>
      </c>
      <c r="AR22" t="e">
        <f t="shared" si="29"/>
        <v>#REF!</v>
      </c>
      <c r="AS22" t="e">
        <f t="shared" si="30"/>
        <v>#REF!</v>
      </c>
      <c r="AT22" t="e">
        <f t="shared" si="31"/>
        <v>#REF!</v>
      </c>
      <c r="AU22" t="e">
        <f t="shared" si="32"/>
        <v>#REF!</v>
      </c>
      <c r="AX22" t="e">
        <f>Reflection!A22</f>
        <v>#REF!</v>
      </c>
      <c r="AY22" t="s">
        <v>13</v>
      </c>
      <c r="AZ22" t="e">
        <f t="shared" si="33"/>
        <v>#REF!</v>
      </c>
      <c r="BA22" t="e">
        <f t="shared" si="34"/>
        <v>#REF!</v>
      </c>
      <c r="BB22" t="e">
        <f t="shared" si="35"/>
        <v>#REF!</v>
      </c>
      <c r="BC22" t="e">
        <f t="shared" si="36"/>
        <v>#REF!</v>
      </c>
      <c r="BD22" t="e">
        <f t="shared" si="37"/>
        <v>#REF!</v>
      </c>
      <c r="BE22" t="e">
        <f t="shared" si="38"/>
        <v>#REF!</v>
      </c>
      <c r="BH22" t="e">
        <f>Reflection!A22</f>
        <v>#REF!</v>
      </c>
      <c r="BI22" t="e">
        <f t="shared" si="39"/>
        <v>#REF!</v>
      </c>
      <c r="BJ22" t="e">
        <f t="shared" si="40"/>
        <v>#REF!</v>
      </c>
      <c r="BK22" t="e">
        <f t="shared" si="41"/>
        <v>#REF!</v>
      </c>
      <c r="BL22" t="e">
        <f t="shared" si="42"/>
        <v>#REF!</v>
      </c>
      <c r="BM22" t="e">
        <f t="shared" si="43"/>
        <v>#REF!</v>
      </c>
      <c r="BN22" t="e">
        <f t="shared" si="3"/>
        <v>#REF!</v>
      </c>
      <c r="BR22" t="e">
        <f>Reflection!A22</f>
        <v>#REF!</v>
      </c>
      <c r="BS22" t="s">
        <v>13</v>
      </c>
      <c r="BT22" t="e">
        <f t="shared" si="44"/>
        <v>#REF!</v>
      </c>
      <c r="BU22" t="e">
        <f t="shared" si="4"/>
        <v>#REF!</v>
      </c>
      <c r="BV22" t="e">
        <f t="shared" si="45"/>
        <v>#REF!</v>
      </c>
      <c r="BW22" t="e">
        <f t="shared" si="46"/>
        <v>#REF!</v>
      </c>
      <c r="BX22" t="e">
        <f t="shared" si="47"/>
        <v>#REF!</v>
      </c>
      <c r="BY22" t="e">
        <f t="shared" si="5"/>
        <v>#REF!</v>
      </c>
    </row>
    <row r="23" spans="1:77" x14ac:dyDescent="0.15">
      <c r="A23" t="e">
        <f>Reflection!A23</f>
        <v>#REF!</v>
      </c>
      <c r="B23" t="e">
        <f t="shared" si="0"/>
        <v>#REF!</v>
      </c>
      <c r="C23" t="e">
        <f t="shared" si="1"/>
        <v>#REF!</v>
      </c>
      <c r="D23" t="e">
        <f t="shared" si="6"/>
        <v>#REF!</v>
      </c>
      <c r="E23" t="e">
        <f t="shared" si="7"/>
        <v>#REF!</v>
      </c>
      <c r="F23" t="e">
        <f t="shared" si="8"/>
        <v>#REF!</v>
      </c>
      <c r="G23" t="e">
        <f t="shared" si="2"/>
        <v>#REF!</v>
      </c>
      <c r="J23" t="e">
        <f>Reflection!A23</f>
        <v>#REF!</v>
      </c>
      <c r="K23" t="s">
        <v>13</v>
      </c>
      <c r="L23" t="e">
        <f t="shared" si="9"/>
        <v>#REF!</v>
      </c>
      <c r="M23" t="e">
        <f t="shared" si="10"/>
        <v>#REF!</v>
      </c>
      <c r="N23" t="e">
        <f t="shared" si="11"/>
        <v>#REF!</v>
      </c>
      <c r="O23" t="e">
        <f t="shared" si="12"/>
        <v>#REF!</v>
      </c>
      <c r="P23" t="e">
        <f t="shared" si="13"/>
        <v>#REF!</v>
      </c>
      <c r="Q23" t="e">
        <f t="shared" si="14"/>
        <v>#REF!</v>
      </c>
      <c r="T23" t="e">
        <f>Reflection!A23</f>
        <v>#REF!</v>
      </c>
      <c r="U23" t="s">
        <v>13</v>
      </c>
      <c r="V23" t="e">
        <f t="shared" si="15"/>
        <v>#REF!</v>
      </c>
      <c r="W23" t="e">
        <f t="shared" si="16"/>
        <v>#REF!</v>
      </c>
      <c r="X23" t="e">
        <f t="shared" si="17"/>
        <v>#REF!</v>
      </c>
      <c r="Y23" t="e">
        <f t="shared" si="18"/>
        <v>#REF!</v>
      </c>
      <c r="Z23" t="e">
        <f t="shared" si="19"/>
        <v>#REF!</v>
      </c>
      <c r="AA23" t="e">
        <f t="shared" si="20"/>
        <v>#REF!</v>
      </c>
      <c r="AD23" t="e">
        <f>Reflection!A23</f>
        <v>#REF!</v>
      </c>
      <c r="AE23" t="s">
        <v>13</v>
      </c>
      <c r="AF23" t="e">
        <f t="shared" si="21"/>
        <v>#REF!</v>
      </c>
      <c r="AG23" t="e">
        <f t="shared" si="22"/>
        <v>#REF!</v>
      </c>
      <c r="AH23" t="e">
        <f t="shared" si="23"/>
        <v>#REF!</v>
      </c>
      <c r="AI23" t="e">
        <f t="shared" si="24"/>
        <v>#REF!</v>
      </c>
      <c r="AJ23" t="e">
        <f t="shared" si="25"/>
        <v>#REF!</v>
      </c>
      <c r="AK23" t="e">
        <f t="shared" si="26"/>
        <v>#REF!</v>
      </c>
      <c r="AN23" t="e">
        <f>Reflection!A23</f>
        <v>#REF!</v>
      </c>
      <c r="AO23" t="s">
        <v>13</v>
      </c>
      <c r="AP23" t="e">
        <f t="shared" si="27"/>
        <v>#REF!</v>
      </c>
      <c r="AQ23" t="e">
        <f t="shared" si="28"/>
        <v>#REF!</v>
      </c>
      <c r="AR23" t="e">
        <f t="shared" si="29"/>
        <v>#REF!</v>
      </c>
      <c r="AS23" t="e">
        <f t="shared" si="30"/>
        <v>#REF!</v>
      </c>
      <c r="AT23" t="e">
        <f t="shared" si="31"/>
        <v>#REF!</v>
      </c>
      <c r="AU23" t="e">
        <f t="shared" si="32"/>
        <v>#REF!</v>
      </c>
      <c r="AX23" t="e">
        <f>Reflection!A23</f>
        <v>#REF!</v>
      </c>
      <c r="AY23" t="s">
        <v>13</v>
      </c>
      <c r="AZ23" t="e">
        <f t="shared" si="33"/>
        <v>#REF!</v>
      </c>
      <c r="BA23" t="e">
        <f t="shared" si="34"/>
        <v>#REF!</v>
      </c>
      <c r="BB23" t="e">
        <f t="shared" si="35"/>
        <v>#REF!</v>
      </c>
      <c r="BC23" t="e">
        <f t="shared" si="36"/>
        <v>#REF!</v>
      </c>
      <c r="BD23" t="e">
        <f t="shared" si="37"/>
        <v>#REF!</v>
      </c>
      <c r="BE23" t="e">
        <f t="shared" si="38"/>
        <v>#REF!</v>
      </c>
      <c r="BH23" t="e">
        <f>Reflection!A23</f>
        <v>#REF!</v>
      </c>
      <c r="BI23" t="e">
        <f t="shared" si="39"/>
        <v>#REF!</v>
      </c>
      <c r="BJ23" t="e">
        <f t="shared" si="40"/>
        <v>#REF!</v>
      </c>
      <c r="BK23" t="e">
        <f t="shared" si="41"/>
        <v>#REF!</v>
      </c>
      <c r="BL23" t="e">
        <f t="shared" si="42"/>
        <v>#REF!</v>
      </c>
      <c r="BM23" t="e">
        <f t="shared" si="43"/>
        <v>#REF!</v>
      </c>
      <c r="BN23" t="e">
        <f t="shared" si="3"/>
        <v>#REF!</v>
      </c>
      <c r="BR23" t="e">
        <f>Reflection!A23</f>
        <v>#REF!</v>
      </c>
      <c r="BS23" t="s">
        <v>13</v>
      </c>
      <c r="BT23" t="e">
        <f t="shared" si="44"/>
        <v>#REF!</v>
      </c>
      <c r="BU23" t="e">
        <f t="shared" si="4"/>
        <v>#REF!</v>
      </c>
      <c r="BV23" t="e">
        <f t="shared" si="45"/>
        <v>#REF!</v>
      </c>
      <c r="BW23" t="e">
        <f t="shared" si="46"/>
        <v>#REF!</v>
      </c>
      <c r="BX23" t="e">
        <f t="shared" si="47"/>
        <v>#REF!</v>
      </c>
      <c r="BY23" t="e">
        <f t="shared" si="5"/>
        <v>#REF!</v>
      </c>
    </row>
    <row r="24" spans="1:77" x14ac:dyDescent="0.15">
      <c r="A24" t="e">
        <f>Reflection!A24</f>
        <v>#REF!</v>
      </c>
      <c r="B24" t="e">
        <f t="shared" si="0"/>
        <v>#REF!</v>
      </c>
      <c r="C24" t="e">
        <f t="shared" si="1"/>
        <v>#REF!</v>
      </c>
      <c r="D24" t="e">
        <f t="shared" si="6"/>
        <v>#REF!</v>
      </c>
      <c r="E24" t="e">
        <f t="shared" si="7"/>
        <v>#REF!</v>
      </c>
      <c r="F24" t="e">
        <f t="shared" si="8"/>
        <v>#REF!</v>
      </c>
      <c r="G24" t="e">
        <f t="shared" si="2"/>
        <v>#REF!</v>
      </c>
      <c r="J24" t="e">
        <f>Reflection!A24</f>
        <v>#REF!</v>
      </c>
      <c r="K24" t="s">
        <v>13</v>
      </c>
      <c r="L24" t="e">
        <f t="shared" si="9"/>
        <v>#REF!</v>
      </c>
      <c r="M24" t="e">
        <f t="shared" si="10"/>
        <v>#REF!</v>
      </c>
      <c r="N24" t="e">
        <f t="shared" si="11"/>
        <v>#REF!</v>
      </c>
      <c r="O24" t="e">
        <f t="shared" si="12"/>
        <v>#REF!</v>
      </c>
      <c r="P24" t="e">
        <f t="shared" si="13"/>
        <v>#REF!</v>
      </c>
      <c r="Q24" t="e">
        <f t="shared" si="14"/>
        <v>#REF!</v>
      </c>
      <c r="T24" t="e">
        <f>Reflection!A24</f>
        <v>#REF!</v>
      </c>
      <c r="U24" t="s">
        <v>13</v>
      </c>
      <c r="V24" t="e">
        <f t="shared" si="15"/>
        <v>#REF!</v>
      </c>
      <c r="W24" t="e">
        <f t="shared" si="16"/>
        <v>#REF!</v>
      </c>
      <c r="X24" t="e">
        <f t="shared" si="17"/>
        <v>#REF!</v>
      </c>
      <c r="Y24" t="e">
        <f t="shared" si="18"/>
        <v>#REF!</v>
      </c>
      <c r="Z24" t="e">
        <f t="shared" si="19"/>
        <v>#REF!</v>
      </c>
      <c r="AA24" t="e">
        <f t="shared" si="20"/>
        <v>#REF!</v>
      </c>
      <c r="AD24" t="e">
        <f>Reflection!A24</f>
        <v>#REF!</v>
      </c>
      <c r="AE24" t="s">
        <v>13</v>
      </c>
      <c r="AF24" t="e">
        <f t="shared" si="21"/>
        <v>#REF!</v>
      </c>
      <c r="AG24" t="e">
        <f t="shared" si="22"/>
        <v>#REF!</v>
      </c>
      <c r="AH24" t="e">
        <f t="shared" si="23"/>
        <v>#REF!</v>
      </c>
      <c r="AI24" t="e">
        <f t="shared" si="24"/>
        <v>#REF!</v>
      </c>
      <c r="AJ24" t="e">
        <f t="shared" si="25"/>
        <v>#REF!</v>
      </c>
      <c r="AK24" t="e">
        <f t="shared" si="26"/>
        <v>#REF!</v>
      </c>
      <c r="AN24" t="e">
        <f>Reflection!A24</f>
        <v>#REF!</v>
      </c>
      <c r="AO24" t="s">
        <v>13</v>
      </c>
      <c r="AP24" t="e">
        <f t="shared" si="27"/>
        <v>#REF!</v>
      </c>
      <c r="AQ24" t="e">
        <f t="shared" si="28"/>
        <v>#REF!</v>
      </c>
      <c r="AR24" t="e">
        <f t="shared" si="29"/>
        <v>#REF!</v>
      </c>
      <c r="AS24" t="e">
        <f t="shared" si="30"/>
        <v>#REF!</v>
      </c>
      <c r="AT24" t="e">
        <f t="shared" si="31"/>
        <v>#REF!</v>
      </c>
      <c r="AU24" t="e">
        <f t="shared" si="32"/>
        <v>#REF!</v>
      </c>
      <c r="AX24" t="e">
        <f>Reflection!A24</f>
        <v>#REF!</v>
      </c>
      <c r="AY24" t="s">
        <v>13</v>
      </c>
      <c r="AZ24" t="e">
        <f t="shared" si="33"/>
        <v>#REF!</v>
      </c>
      <c r="BA24" t="e">
        <f t="shared" si="34"/>
        <v>#REF!</v>
      </c>
      <c r="BB24" t="e">
        <f t="shared" si="35"/>
        <v>#REF!</v>
      </c>
      <c r="BC24" t="e">
        <f t="shared" si="36"/>
        <v>#REF!</v>
      </c>
      <c r="BD24" t="e">
        <f t="shared" si="37"/>
        <v>#REF!</v>
      </c>
      <c r="BE24" t="e">
        <f t="shared" si="38"/>
        <v>#REF!</v>
      </c>
      <c r="BH24" t="e">
        <f>Reflection!A24</f>
        <v>#REF!</v>
      </c>
      <c r="BI24" t="e">
        <f t="shared" si="39"/>
        <v>#REF!</v>
      </c>
      <c r="BJ24" t="e">
        <f t="shared" si="40"/>
        <v>#REF!</v>
      </c>
      <c r="BK24" t="e">
        <f t="shared" si="41"/>
        <v>#REF!</v>
      </c>
      <c r="BL24" t="e">
        <f t="shared" si="42"/>
        <v>#REF!</v>
      </c>
      <c r="BM24" t="e">
        <f t="shared" si="43"/>
        <v>#REF!</v>
      </c>
      <c r="BN24" t="e">
        <f t="shared" si="3"/>
        <v>#REF!</v>
      </c>
      <c r="BR24" t="e">
        <f>Reflection!A24</f>
        <v>#REF!</v>
      </c>
      <c r="BS24" t="s">
        <v>13</v>
      </c>
      <c r="BT24" t="e">
        <f t="shared" si="44"/>
        <v>#REF!</v>
      </c>
      <c r="BU24" t="e">
        <f t="shared" si="4"/>
        <v>#REF!</v>
      </c>
      <c r="BV24" t="e">
        <f t="shared" si="45"/>
        <v>#REF!</v>
      </c>
      <c r="BW24" t="e">
        <f t="shared" si="46"/>
        <v>#REF!</v>
      </c>
      <c r="BX24" t="e">
        <f t="shared" si="47"/>
        <v>#REF!</v>
      </c>
      <c r="BY24" t="e">
        <f t="shared" si="5"/>
        <v>#REF!</v>
      </c>
    </row>
    <row r="25" spans="1:77" x14ac:dyDescent="0.15">
      <c r="A25" t="e">
        <f>Reflection!A25</f>
        <v>#REF!</v>
      </c>
      <c r="B25" t="e">
        <f t="shared" si="0"/>
        <v>#REF!</v>
      </c>
      <c r="C25" t="e">
        <f t="shared" si="1"/>
        <v>#REF!</v>
      </c>
      <c r="D25" t="e">
        <f t="shared" si="6"/>
        <v>#REF!</v>
      </c>
      <c r="E25" t="e">
        <f t="shared" si="7"/>
        <v>#REF!</v>
      </c>
      <c r="F25" t="e">
        <f t="shared" si="8"/>
        <v>#REF!</v>
      </c>
      <c r="G25" t="e">
        <f t="shared" si="2"/>
        <v>#REF!</v>
      </c>
      <c r="J25" t="e">
        <f>Reflection!A25</f>
        <v>#REF!</v>
      </c>
      <c r="K25" t="s">
        <v>13</v>
      </c>
      <c r="L25" t="e">
        <f t="shared" si="9"/>
        <v>#REF!</v>
      </c>
      <c r="M25" t="e">
        <f t="shared" si="10"/>
        <v>#REF!</v>
      </c>
      <c r="N25" t="e">
        <f t="shared" si="11"/>
        <v>#REF!</v>
      </c>
      <c r="O25" t="e">
        <f t="shared" si="12"/>
        <v>#REF!</v>
      </c>
      <c r="P25" t="e">
        <f t="shared" si="13"/>
        <v>#REF!</v>
      </c>
      <c r="Q25" t="e">
        <f t="shared" si="14"/>
        <v>#REF!</v>
      </c>
      <c r="T25" t="e">
        <f>Reflection!A25</f>
        <v>#REF!</v>
      </c>
      <c r="U25" t="s">
        <v>13</v>
      </c>
      <c r="V25" t="e">
        <f t="shared" si="15"/>
        <v>#REF!</v>
      </c>
      <c r="W25" t="e">
        <f t="shared" si="16"/>
        <v>#REF!</v>
      </c>
      <c r="X25" t="e">
        <f t="shared" si="17"/>
        <v>#REF!</v>
      </c>
      <c r="Y25" t="e">
        <f t="shared" si="18"/>
        <v>#REF!</v>
      </c>
      <c r="Z25" t="e">
        <f t="shared" si="19"/>
        <v>#REF!</v>
      </c>
      <c r="AA25" t="e">
        <f t="shared" si="20"/>
        <v>#REF!</v>
      </c>
      <c r="AD25" t="e">
        <f>Reflection!A25</f>
        <v>#REF!</v>
      </c>
      <c r="AE25" t="s">
        <v>13</v>
      </c>
      <c r="AF25" t="e">
        <f t="shared" si="21"/>
        <v>#REF!</v>
      </c>
      <c r="AG25" t="e">
        <f t="shared" si="22"/>
        <v>#REF!</v>
      </c>
      <c r="AH25" t="e">
        <f t="shared" si="23"/>
        <v>#REF!</v>
      </c>
      <c r="AI25" t="e">
        <f t="shared" si="24"/>
        <v>#REF!</v>
      </c>
      <c r="AJ25" t="e">
        <f t="shared" si="25"/>
        <v>#REF!</v>
      </c>
      <c r="AK25" t="e">
        <f t="shared" si="26"/>
        <v>#REF!</v>
      </c>
      <c r="AN25" t="e">
        <f>Reflection!A25</f>
        <v>#REF!</v>
      </c>
      <c r="AO25" t="s">
        <v>13</v>
      </c>
      <c r="AP25" t="e">
        <f t="shared" si="27"/>
        <v>#REF!</v>
      </c>
      <c r="AQ25" t="e">
        <f t="shared" si="28"/>
        <v>#REF!</v>
      </c>
      <c r="AR25" t="e">
        <f t="shared" si="29"/>
        <v>#REF!</v>
      </c>
      <c r="AS25" t="e">
        <f t="shared" si="30"/>
        <v>#REF!</v>
      </c>
      <c r="AT25" t="e">
        <f t="shared" si="31"/>
        <v>#REF!</v>
      </c>
      <c r="AU25" t="e">
        <f t="shared" si="32"/>
        <v>#REF!</v>
      </c>
      <c r="AX25" t="e">
        <f>Reflection!A25</f>
        <v>#REF!</v>
      </c>
      <c r="AY25" t="s">
        <v>13</v>
      </c>
      <c r="AZ25" t="e">
        <f t="shared" si="33"/>
        <v>#REF!</v>
      </c>
      <c r="BA25" t="e">
        <f t="shared" si="34"/>
        <v>#REF!</v>
      </c>
      <c r="BB25" t="e">
        <f t="shared" si="35"/>
        <v>#REF!</v>
      </c>
      <c r="BC25" t="e">
        <f t="shared" si="36"/>
        <v>#REF!</v>
      </c>
      <c r="BD25" t="e">
        <f t="shared" si="37"/>
        <v>#REF!</v>
      </c>
      <c r="BE25" t="e">
        <f t="shared" si="38"/>
        <v>#REF!</v>
      </c>
      <c r="BH25" t="e">
        <f>Reflection!A25</f>
        <v>#REF!</v>
      </c>
      <c r="BI25" t="e">
        <f t="shared" si="39"/>
        <v>#REF!</v>
      </c>
      <c r="BJ25" t="e">
        <f t="shared" si="40"/>
        <v>#REF!</v>
      </c>
      <c r="BK25" t="e">
        <f t="shared" si="41"/>
        <v>#REF!</v>
      </c>
      <c r="BL25" t="e">
        <f t="shared" si="42"/>
        <v>#REF!</v>
      </c>
      <c r="BM25" t="e">
        <f t="shared" si="43"/>
        <v>#REF!</v>
      </c>
      <c r="BN25" t="e">
        <f t="shared" si="3"/>
        <v>#REF!</v>
      </c>
      <c r="BR25" t="e">
        <f>Reflection!A25</f>
        <v>#REF!</v>
      </c>
      <c r="BS25" t="s">
        <v>13</v>
      </c>
      <c r="BT25" t="e">
        <f t="shared" si="44"/>
        <v>#REF!</v>
      </c>
      <c r="BU25" t="e">
        <f t="shared" si="4"/>
        <v>#REF!</v>
      </c>
      <c r="BV25" t="e">
        <f t="shared" si="45"/>
        <v>#REF!</v>
      </c>
      <c r="BW25" t="e">
        <f t="shared" si="46"/>
        <v>#REF!</v>
      </c>
      <c r="BX25" t="e">
        <f t="shared" si="47"/>
        <v>#REF!</v>
      </c>
      <c r="BY25" t="e">
        <f t="shared" si="5"/>
        <v>#REF!</v>
      </c>
    </row>
    <row r="26" spans="1:77" x14ac:dyDescent="0.15">
      <c r="A26" t="e">
        <f>Reflection!A26</f>
        <v>#REF!</v>
      </c>
      <c r="B26" t="e">
        <f t="shared" si="0"/>
        <v>#REF!</v>
      </c>
      <c r="C26" t="e">
        <f t="shared" si="1"/>
        <v>#REF!</v>
      </c>
      <c r="D26" t="e">
        <f t="shared" si="6"/>
        <v>#REF!</v>
      </c>
      <c r="E26" t="e">
        <f t="shared" si="7"/>
        <v>#REF!</v>
      </c>
      <c r="F26" t="e">
        <f t="shared" si="8"/>
        <v>#REF!</v>
      </c>
      <c r="G26" t="e">
        <f t="shared" si="2"/>
        <v>#REF!</v>
      </c>
      <c r="J26" t="e">
        <f>Reflection!A26</f>
        <v>#REF!</v>
      </c>
      <c r="K26" t="s">
        <v>13</v>
      </c>
      <c r="L26" t="e">
        <f t="shared" si="9"/>
        <v>#REF!</v>
      </c>
      <c r="M26" t="e">
        <f t="shared" si="10"/>
        <v>#REF!</v>
      </c>
      <c r="N26" t="e">
        <f t="shared" si="11"/>
        <v>#REF!</v>
      </c>
      <c r="O26" t="e">
        <f t="shared" si="12"/>
        <v>#REF!</v>
      </c>
      <c r="P26" t="e">
        <f t="shared" si="13"/>
        <v>#REF!</v>
      </c>
      <c r="Q26" t="e">
        <f t="shared" si="14"/>
        <v>#REF!</v>
      </c>
      <c r="T26" t="e">
        <f>Reflection!A26</f>
        <v>#REF!</v>
      </c>
      <c r="U26" t="s">
        <v>13</v>
      </c>
      <c r="V26" t="e">
        <f t="shared" si="15"/>
        <v>#REF!</v>
      </c>
      <c r="W26" t="e">
        <f t="shared" si="16"/>
        <v>#REF!</v>
      </c>
      <c r="X26" t="e">
        <f t="shared" si="17"/>
        <v>#REF!</v>
      </c>
      <c r="Y26" t="e">
        <f t="shared" si="18"/>
        <v>#REF!</v>
      </c>
      <c r="Z26" t="e">
        <f t="shared" si="19"/>
        <v>#REF!</v>
      </c>
      <c r="AA26" t="e">
        <f t="shared" si="20"/>
        <v>#REF!</v>
      </c>
      <c r="AD26" t="e">
        <f>Reflection!A26</f>
        <v>#REF!</v>
      </c>
      <c r="AE26" t="s">
        <v>13</v>
      </c>
      <c r="AF26" t="e">
        <f t="shared" si="21"/>
        <v>#REF!</v>
      </c>
      <c r="AG26" t="e">
        <f t="shared" si="22"/>
        <v>#REF!</v>
      </c>
      <c r="AH26" t="e">
        <f t="shared" si="23"/>
        <v>#REF!</v>
      </c>
      <c r="AI26" t="e">
        <f t="shared" si="24"/>
        <v>#REF!</v>
      </c>
      <c r="AJ26" t="e">
        <f t="shared" si="25"/>
        <v>#REF!</v>
      </c>
      <c r="AK26" t="e">
        <f t="shared" si="26"/>
        <v>#REF!</v>
      </c>
      <c r="AN26" t="e">
        <f>Reflection!A26</f>
        <v>#REF!</v>
      </c>
      <c r="AO26" t="s">
        <v>13</v>
      </c>
      <c r="AP26" t="e">
        <f t="shared" si="27"/>
        <v>#REF!</v>
      </c>
      <c r="AQ26" t="e">
        <f t="shared" si="28"/>
        <v>#REF!</v>
      </c>
      <c r="AR26" t="e">
        <f t="shared" si="29"/>
        <v>#REF!</v>
      </c>
      <c r="AS26" t="e">
        <f t="shared" si="30"/>
        <v>#REF!</v>
      </c>
      <c r="AT26" t="e">
        <f t="shared" si="31"/>
        <v>#REF!</v>
      </c>
      <c r="AU26" t="e">
        <f t="shared" si="32"/>
        <v>#REF!</v>
      </c>
      <c r="AX26" t="e">
        <f>Reflection!A26</f>
        <v>#REF!</v>
      </c>
      <c r="AY26" t="s">
        <v>13</v>
      </c>
      <c r="AZ26" t="e">
        <f t="shared" si="33"/>
        <v>#REF!</v>
      </c>
      <c r="BA26" t="e">
        <f t="shared" si="34"/>
        <v>#REF!</v>
      </c>
      <c r="BB26" t="e">
        <f t="shared" si="35"/>
        <v>#REF!</v>
      </c>
      <c r="BC26" t="e">
        <f t="shared" si="36"/>
        <v>#REF!</v>
      </c>
      <c r="BD26" t="e">
        <f t="shared" si="37"/>
        <v>#REF!</v>
      </c>
      <c r="BE26" t="e">
        <f t="shared" si="38"/>
        <v>#REF!</v>
      </c>
      <c r="BH26" t="e">
        <f>Reflection!A26</f>
        <v>#REF!</v>
      </c>
      <c r="BI26" t="e">
        <f t="shared" si="39"/>
        <v>#REF!</v>
      </c>
      <c r="BJ26" t="e">
        <f t="shared" si="40"/>
        <v>#REF!</v>
      </c>
      <c r="BK26" t="e">
        <f t="shared" si="41"/>
        <v>#REF!</v>
      </c>
      <c r="BL26" t="e">
        <f t="shared" si="42"/>
        <v>#REF!</v>
      </c>
      <c r="BM26" t="e">
        <f t="shared" si="43"/>
        <v>#REF!</v>
      </c>
      <c r="BN26" t="e">
        <f t="shared" si="3"/>
        <v>#REF!</v>
      </c>
      <c r="BR26" t="e">
        <f>Reflection!A26</f>
        <v>#REF!</v>
      </c>
      <c r="BS26" t="s">
        <v>13</v>
      </c>
      <c r="BT26" t="e">
        <f t="shared" si="44"/>
        <v>#REF!</v>
      </c>
      <c r="BU26" t="e">
        <f t="shared" si="4"/>
        <v>#REF!</v>
      </c>
      <c r="BV26" t="e">
        <f t="shared" si="45"/>
        <v>#REF!</v>
      </c>
      <c r="BW26" t="e">
        <f t="shared" si="46"/>
        <v>#REF!</v>
      </c>
      <c r="BX26" t="e">
        <f t="shared" si="47"/>
        <v>#REF!</v>
      </c>
      <c r="BY26" t="e">
        <f t="shared" si="5"/>
        <v>#REF!</v>
      </c>
    </row>
    <row r="27" spans="1:77" x14ac:dyDescent="0.15">
      <c r="A27" t="e">
        <f>Reflection!A27</f>
        <v>#REF!</v>
      </c>
      <c r="B27" t="e">
        <f t="shared" si="0"/>
        <v>#REF!</v>
      </c>
      <c r="C27" t="e">
        <f t="shared" si="1"/>
        <v>#REF!</v>
      </c>
      <c r="D27" t="e">
        <f t="shared" si="6"/>
        <v>#REF!</v>
      </c>
      <c r="E27" t="e">
        <f t="shared" si="7"/>
        <v>#REF!</v>
      </c>
      <c r="F27" t="e">
        <f t="shared" si="8"/>
        <v>#REF!</v>
      </c>
      <c r="G27" t="e">
        <f t="shared" si="2"/>
        <v>#REF!</v>
      </c>
      <c r="J27" t="e">
        <f>Reflection!A27</f>
        <v>#REF!</v>
      </c>
      <c r="K27" t="s">
        <v>13</v>
      </c>
      <c r="L27" t="e">
        <f t="shared" si="9"/>
        <v>#REF!</v>
      </c>
      <c r="M27" t="e">
        <f t="shared" si="10"/>
        <v>#REF!</v>
      </c>
      <c r="N27" t="e">
        <f t="shared" si="11"/>
        <v>#REF!</v>
      </c>
      <c r="O27" t="e">
        <f t="shared" si="12"/>
        <v>#REF!</v>
      </c>
      <c r="P27" t="e">
        <f t="shared" si="13"/>
        <v>#REF!</v>
      </c>
      <c r="Q27" t="e">
        <f t="shared" si="14"/>
        <v>#REF!</v>
      </c>
      <c r="T27" t="e">
        <f>Reflection!A27</f>
        <v>#REF!</v>
      </c>
      <c r="U27" t="s">
        <v>13</v>
      </c>
      <c r="V27" t="e">
        <f t="shared" si="15"/>
        <v>#REF!</v>
      </c>
      <c r="W27" t="e">
        <f t="shared" si="16"/>
        <v>#REF!</v>
      </c>
      <c r="X27" t="e">
        <f t="shared" si="17"/>
        <v>#REF!</v>
      </c>
      <c r="Y27" t="e">
        <f t="shared" si="18"/>
        <v>#REF!</v>
      </c>
      <c r="Z27" t="e">
        <f t="shared" si="19"/>
        <v>#REF!</v>
      </c>
      <c r="AA27" t="e">
        <f t="shared" si="20"/>
        <v>#REF!</v>
      </c>
      <c r="AD27" t="e">
        <f>Reflection!A27</f>
        <v>#REF!</v>
      </c>
      <c r="AE27" t="s">
        <v>13</v>
      </c>
      <c r="AF27" t="e">
        <f t="shared" si="21"/>
        <v>#REF!</v>
      </c>
      <c r="AG27" t="e">
        <f t="shared" si="22"/>
        <v>#REF!</v>
      </c>
      <c r="AH27" t="e">
        <f t="shared" si="23"/>
        <v>#REF!</v>
      </c>
      <c r="AI27" t="e">
        <f t="shared" si="24"/>
        <v>#REF!</v>
      </c>
      <c r="AJ27" t="e">
        <f t="shared" si="25"/>
        <v>#REF!</v>
      </c>
      <c r="AK27" t="e">
        <f t="shared" si="26"/>
        <v>#REF!</v>
      </c>
      <c r="AN27" t="e">
        <f>Reflection!A27</f>
        <v>#REF!</v>
      </c>
      <c r="AO27" t="s">
        <v>13</v>
      </c>
      <c r="AP27" t="e">
        <f t="shared" si="27"/>
        <v>#REF!</v>
      </c>
      <c r="AQ27" t="e">
        <f t="shared" si="28"/>
        <v>#REF!</v>
      </c>
      <c r="AR27" t="e">
        <f t="shared" si="29"/>
        <v>#REF!</v>
      </c>
      <c r="AS27" t="e">
        <f t="shared" si="30"/>
        <v>#REF!</v>
      </c>
      <c r="AT27" t="e">
        <f t="shared" si="31"/>
        <v>#REF!</v>
      </c>
      <c r="AU27" t="e">
        <f t="shared" si="32"/>
        <v>#REF!</v>
      </c>
      <c r="AX27" t="e">
        <f>Reflection!A27</f>
        <v>#REF!</v>
      </c>
      <c r="AY27" t="s">
        <v>13</v>
      </c>
      <c r="AZ27" t="e">
        <f t="shared" si="33"/>
        <v>#REF!</v>
      </c>
      <c r="BA27" t="e">
        <f t="shared" si="34"/>
        <v>#REF!</v>
      </c>
      <c r="BB27" t="e">
        <f t="shared" si="35"/>
        <v>#REF!</v>
      </c>
      <c r="BC27" t="e">
        <f t="shared" si="36"/>
        <v>#REF!</v>
      </c>
      <c r="BD27" t="e">
        <f t="shared" si="37"/>
        <v>#REF!</v>
      </c>
      <c r="BE27" t="e">
        <f t="shared" si="38"/>
        <v>#REF!</v>
      </c>
      <c r="BH27" t="e">
        <f>Reflection!A27</f>
        <v>#REF!</v>
      </c>
      <c r="BI27" t="e">
        <f t="shared" si="39"/>
        <v>#REF!</v>
      </c>
      <c r="BJ27" t="e">
        <f t="shared" si="40"/>
        <v>#REF!</v>
      </c>
      <c r="BK27" t="e">
        <f t="shared" si="41"/>
        <v>#REF!</v>
      </c>
      <c r="BL27" t="e">
        <f t="shared" si="42"/>
        <v>#REF!</v>
      </c>
      <c r="BM27" t="e">
        <f t="shared" si="43"/>
        <v>#REF!</v>
      </c>
      <c r="BN27" t="e">
        <f t="shared" si="3"/>
        <v>#REF!</v>
      </c>
      <c r="BR27" t="e">
        <f>Reflection!A27</f>
        <v>#REF!</v>
      </c>
      <c r="BS27" t="s">
        <v>13</v>
      </c>
      <c r="BT27" t="e">
        <f t="shared" si="44"/>
        <v>#REF!</v>
      </c>
      <c r="BU27" t="e">
        <f t="shared" si="4"/>
        <v>#REF!</v>
      </c>
      <c r="BV27" t="e">
        <f t="shared" si="45"/>
        <v>#REF!</v>
      </c>
      <c r="BW27" t="e">
        <f t="shared" si="46"/>
        <v>#REF!</v>
      </c>
      <c r="BX27" t="e">
        <f t="shared" si="47"/>
        <v>#REF!</v>
      </c>
      <c r="BY27" t="e">
        <f t="shared" si="5"/>
        <v>#REF!</v>
      </c>
    </row>
    <row r="28" spans="1:77" x14ac:dyDescent="0.15">
      <c r="A28" t="e">
        <f>Reflection!A28</f>
        <v>#REF!</v>
      </c>
      <c r="B28" t="e">
        <f t="shared" si="0"/>
        <v>#REF!</v>
      </c>
      <c r="C28" t="e">
        <f t="shared" si="1"/>
        <v>#REF!</v>
      </c>
      <c r="D28" t="e">
        <f t="shared" si="6"/>
        <v>#REF!</v>
      </c>
      <c r="E28" t="e">
        <f t="shared" si="7"/>
        <v>#REF!</v>
      </c>
      <c r="F28" t="e">
        <f t="shared" si="8"/>
        <v>#REF!</v>
      </c>
      <c r="G28" t="e">
        <f t="shared" si="2"/>
        <v>#REF!</v>
      </c>
      <c r="J28" t="e">
        <f>Reflection!A28</f>
        <v>#REF!</v>
      </c>
      <c r="K28" t="s">
        <v>13</v>
      </c>
      <c r="L28" t="e">
        <f t="shared" si="9"/>
        <v>#REF!</v>
      </c>
      <c r="M28" t="e">
        <f t="shared" si="10"/>
        <v>#REF!</v>
      </c>
      <c r="N28" t="e">
        <f t="shared" si="11"/>
        <v>#REF!</v>
      </c>
      <c r="O28" t="e">
        <f t="shared" si="12"/>
        <v>#REF!</v>
      </c>
      <c r="P28" t="e">
        <f t="shared" si="13"/>
        <v>#REF!</v>
      </c>
      <c r="Q28" t="e">
        <f t="shared" si="14"/>
        <v>#REF!</v>
      </c>
      <c r="T28" t="e">
        <f>Reflection!A28</f>
        <v>#REF!</v>
      </c>
      <c r="U28" t="s">
        <v>13</v>
      </c>
      <c r="V28" t="e">
        <f t="shared" si="15"/>
        <v>#REF!</v>
      </c>
      <c r="W28" t="e">
        <f t="shared" si="16"/>
        <v>#REF!</v>
      </c>
      <c r="X28" t="e">
        <f t="shared" si="17"/>
        <v>#REF!</v>
      </c>
      <c r="Y28" t="e">
        <f t="shared" si="18"/>
        <v>#REF!</v>
      </c>
      <c r="Z28" t="e">
        <f t="shared" si="19"/>
        <v>#REF!</v>
      </c>
      <c r="AA28" t="e">
        <f t="shared" si="20"/>
        <v>#REF!</v>
      </c>
      <c r="AD28" t="e">
        <f>Reflection!A28</f>
        <v>#REF!</v>
      </c>
      <c r="AE28" t="s">
        <v>13</v>
      </c>
      <c r="AF28" t="e">
        <f t="shared" si="21"/>
        <v>#REF!</v>
      </c>
      <c r="AG28" t="e">
        <f t="shared" si="22"/>
        <v>#REF!</v>
      </c>
      <c r="AH28" t="e">
        <f t="shared" si="23"/>
        <v>#REF!</v>
      </c>
      <c r="AI28" t="e">
        <f t="shared" si="24"/>
        <v>#REF!</v>
      </c>
      <c r="AJ28" t="e">
        <f t="shared" si="25"/>
        <v>#REF!</v>
      </c>
      <c r="AK28" t="e">
        <f t="shared" si="26"/>
        <v>#REF!</v>
      </c>
      <c r="AN28" t="e">
        <f>Reflection!A28</f>
        <v>#REF!</v>
      </c>
      <c r="AO28" t="s">
        <v>13</v>
      </c>
      <c r="AP28" t="e">
        <f t="shared" si="27"/>
        <v>#REF!</v>
      </c>
      <c r="AQ28" t="e">
        <f t="shared" si="28"/>
        <v>#REF!</v>
      </c>
      <c r="AR28" t="e">
        <f t="shared" si="29"/>
        <v>#REF!</v>
      </c>
      <c r="AS28" t="e">
        <f t="shared" si="30"/>
        <v>#REF!</v>
      </c>
      <c r="AT28" t="e">
        <f t="shared" si="31"/>
        <v>#REF!</v>
      </c>
      <c r="AU28" t="e">
        <f t="shared" si="32"/>
        <v>#REF!</v>
      </c>
      <c r="AX28" t="e">
        <f>Reflection!A28</f>
        <v>#REF!</v>
      </c>
      <c r="AY28" t="s">
        <v>13</v>
      </c>
      <c r="AZ28" t="e">
        <f t="shared" si="33"/>
        <v>#REF!</v>
      </c>
      <c r="BA28" t="e">
        <f t="shared" si="34"/>
        <v>#REF!</v>
      </c>
      <c r="BB28" t="e">
        <f t="shared" si="35"/>
        <v>#REF!</v>
      </c>
      <c r="BC28" t="e">
        <f t="shared" si="36"/>
        <v>#REF!</v>
      </c>
      <c r="BD28" t="e">
        <f t="shared" si="37"/>
        <v>#REF!</v>
      </c>
      <c r="BE28" t="e">
        <f t="shared" si="38"/>
        <v>#REF!</v>
      </c>
      <c r="BH28" t="e">
        <f>Reflection!A28</f>
        <v>#REF!</v>
      </c>
      <c r="BI28" t="e">
        <f t="shared" si="39"/>
        <v>#REF!</v>
      </c>
      <c r="BJ28" t="e">
        <f t="shared" si="40"/>
        <v>#REF!</v>
      </c>
      <c r="BK28" t="e">
        <f t="shared" si="41"/>
        <v>#REF!</v>
      </c>
      <c r="BL28" t="e">
        <f t="shared" si="42"/>
        <v>#REF!</v>
      </c>
      <c r="BM28" t="e">
        <f t="shared" si="43"/>
        <v>#REF!</v>
      </c>
      <c r="BN28" t="e">
        <f t="shared" si="3"/>
        <v>#REF!</v>
      </c>
      <c r="BR28" t="e">
        <f>Reflection!A28</f>
        <v>#REF!</v>
      </c>
      <c r="BS28" t="s">
        <v>13</v>
      </c>
      <c r="BT28" t="e">
        <f t="shared" si="44"/>
        <v>#REF!</v>
      </c>
      <c r="BU28" t="e">
        <f t="shared" si="4"/>
        <v>#REF!</v>
      </c>
      <c r="BV28" t="e">
        <f t="shared" si="45"/>
        <v>#REF!</v>
      </c>
      <c r="BW28" t="e">
        <f t="shared" si="46"/>
        <v>#REF!</v>
      </c>
      <c r="BX28" t="e">
        <f t="shared" si="47"/>
        <v>#REF!</v>
      </c>
      <c r="BY28" t="e">
        <f t="shared" si="5"/>
        <v>#REF!</v>
      </c>
    </row>
    <row r="29" spans="1:77" x14ac:dyDescent="0.15">
      <c r="A29" t="e">
        <f>Reflection!A29</f>
        <v>#REF!</v>
      </c>
      <c r="B29" t="e">
        <f t="shared" si="0"/>
        <v>#REF!</v>
      </c>
      <c r="C29" t="e">
        <f t="shared" si="1"/>
        <v>#REF!</v>
      </c>
      <c r="D29" t="e">
        <f t="shared" si="6"/>
        <v>#REF!</v>
      </c>
      <c r="E29" t="e">
        <f t="shared" si="7"/>
        <v>#REF!</v>
      </c>
      <c r="F29" t="e">
        <f t="shared" si="8"/>
        <v>#REF!</v>
      </c>
      <c r="G29" t="e">
        <f t="shared" si="2"/>
        <v>#REF!</v>
      </c>
      <c r="J29" t="e">
        <f>Reflection!A29</f>
        <v>#REF!</v>
      </c>
      <c r="K29" t="s">
        <v>13</v>
      </c>
      <c r="L29" t="e">
        <f t="shared" si="9"/>
        <v>#REF!</v>
      </c>
      <c r="M29" t="e">
        <f t="shared" si="10"/>
        <v>#REF!</v>
      </c>
      <c r="N29" t="e">
        <f t="shared" si="11"/>
        <v>#REF!</v>
      </c>
      <c r="O29" t="e">
        <f t="shared" si="12"/>
        <v>#REF!</v>
      </c>
      <c r="P29" t="e">
        <f t="shared" si="13"/>
        <v>#REF!</v>
      </c>
      <c r="Q29" t="e">
        <f t="shared" si="14"/>
        <v>#REF!</v>
      </c>
      <c r="T29" t="e">
        <f>Reflection!A29</f>
        <v>#REF!</v>
      </c>
      <c r="U29" t="s">
        <v>13</v>
      </c>
      <c r="V29" t="e">
        <f t="shared" si="15"/>
        <v>#REF!</v>
      </c>
      <c r="W29" t="e">
        <f t="shared" si="16"/>
        <v>#REF!</v>
      </c>
      <c r="X29" t="e">
        <f t="shared" si="17"/>
        <v>#REF!</v>
      </c>
      <c r="Y29" t="e">
        <f t="shared" si="18"/>
        <v>#REF!</v>
      </c>
      <c r="Z29" t="e">
        <f t="shared" si="19"/>
        <v>#REF!</v>
      </c>
      <c r="AA29" t="e">
        <f t="shared" si="20"/>
        <v>#REF!</v>
      </c>
      <c r="AD29" t="e">
        <f>Reflection!A29</f>
        <v>#REF!</v>
      </c>
      <c r="AE29" t="s">
        <v>13</v>
      </c>
      <c r="AF29" t="e">
        <f t="shared" si="21"/>
        <v>#REF!</v>
      </c>
      <c r="AG29" t="e">
        <f t="shared" si="22"/>
        <v>#REF!</v>
      </c>
      <c r="AH29" t="e">
        <f t="shared" si="23"/>
        <v>#REF!</v>
      </c>
      <c r="AI29" t="e">
        <f t="shared" si="24"/>
        <v>#REF!</v>
      </c>
      <c r="AJ29" t="e">
        <f t="shared" si="25"/>
        <v>#REF!</v>
      </c>
      <c r="AK29" t="e">
        <f t="shared" si="26"/>
        <v>#REF!</v>
      </c>
      <c r="AN29" t="e">
        <f>Reflection!A29</f>
        <v>#REF!</v>
      </c>
      <c r="AO29" t="s">
        <v>13</v>
      </c>
      <c r="AP29" t="e">
        <f t="shared" si="27"/>
        <v>#REF!</v>
      </c>
      <c r="AQ29" t="e">
        <f t="shared" si="28"/>
        <v>#REF!</v>
      </c>
      <c r="AR29" t="e">
        <f t="shared" si="29"/>
        <v>#REF!</v>
      </c>
      <c r="AS29" t="e">
        <f t="shared" si="30"/>
        <v>#REF!</v>
      </c>
      <c r="AT29" t="e">
        <f t="shared" si="31"/>
        <v>#REF!</v>
      </c>
      <c r="AU29" t="e">
        <f t="shared" si="32"/>
        <v>#REF!</v>
      </c>
      <c r="AX29" t="e">
        <f>Reflection!A29</f>
        <v>#REF!</v>
      </c>
      <c r="AY29" t="s">
        <v>13</v>
      </c>
      <c r="AZ29" t="e">
        <f t="shared" si="33"/>
        <v>#REF!</v>
      </c>
      <c r="BA29" t="e">
        <f t="shared" si="34"/>
        <v>#REF!</v>
      </c>
      <c r="BB29" t="e">
        <f t="shared" si="35"/>
        <v>#REF!</v>
      </c>
      <c r="BC29" t="e">
        <f t="shared" si="36"/>
        <v>#REF!</v>
      </c>
      <c r="BD29" t="e">
        <f t="shared" si="37"/>
        <v>#REF!</v>
      </c>
      <c r="BE29" t="e">
        <f t="shared" si="38"/>
        <v>#REF!</v>
      </c>
      <c r="BH29" t="e">
        <f>Reflection!A29</f>
        <v>#REF!</v>
      </c>
      <c r="BI29" t="e">
        <f t="shared" si="39"/>
        <v>#REF!</v>
      </c>
      <c r="BJ29" t="e">
        <f t="shared" si="40"/>
        <v>#REF!</v>
      </c>
      <c r="BK29" t="e">
        <f t="shared" si="41"/>
        <v>#REF!</v>
      </c>
      <c r="BL29" t="e">
        <f t="shared" si="42"/>
        <v>#REF!</v>
      </c>
      <c r="BM29" t="e">
        <f t="shared" si="43"/>
        <v>#REF!</v>
      </c>
      <c r="BN29" t="e">
        <f t="shared" si="3"/>
        <v>#REF!</v>
      </c>
      <c r="BR29" t="e">
        <f>Reflection!A29</f>
        <v>#REF!</v>
      </c>
      <c r="BS29" t="s">
        <v>13</v>
      </c>
      <c r="BT29" t="e">
        <f t="shared" si="44"/>
        <v>#REF!</v>
      </c>
      <c r="BU29" t="e">
        <f t="shared" si="4"/>
        <v>#REF!</v>
      </c>
      <c r="BV29" t="e">
        <f t="shared" si="45"/>
        <v>#REF!</v>
      </c>
      <c r="BW29" t="e">
        <f t="shared" si="46"/>
        <v>#REF!</v>
      </c>
      <c r="BX29" t="e">
        <f t="shared" si="47"/>
        <v>#REF!</v>
      </c>
      <c r="BY29" t="e">
        <f t="shared" si="5"/>
        <v>#REF!</v>
      </c>
    </row>
    <row r="30" spans="1:77" x14ac:dyDescent="0.15">
      <c r="A30" t="e">
        <f>Reflection!A30</f>
        <v>#REF!</v>
      </c>
      <c r="B30" t="e">
        <f t="shared" si="0"/>
        <v>#REF!</v>
      </c>
      <c r="C30" t="e">
        <f t="shared" si="1"/>
        <v>#REF!</v>
      </c>
      <c r="D30" t="e">
        <f t="shared" si="6"/>
        <v>#REF!</v>
      </c>
      <c r="E30" t="e">
        <f t="shared" si="7"/>
        <v>#REF!</v>
      </c>
      <c r="F30" t="e">
        <f t="shared" si="8"/>
        <v>#REF!</v>
      </c>
      <c r="G30" t="e">
        <f t="shared" si="2"/>
        <v>#REF!</v>
      </c>
      <c r="J30" t="e">
        <f>Reflection!A30</f>
        <v>#REF!</v>
      </c>
      <c r="K30" t="s">
        <v>13</v>
      </c>
      <c r="L30" t="e">
        <f t="shared" si="9"/>
        <v>#REF!</v>
      </c>
      <c r="M30" t="e">
        <f t="shared" si="10"/>
        <v>#REF!</v>
      </c>
      <c r="N30" t="e">
        <f t="shared" si="11"/>
        <v>#REF!</v>
      </c>
      <c r="O30" t="e">
        <f t="shared" si="12"/>
        <v>#REF!</v>
      </c>
      <c r="P30" t="e">
        <f t="shared" si="13"/>
        <v>#REF!</v>
      </c>
      <c r="Q30" t="e">
        <f t="shared" si="14"/>
        <v>#REF!</v>
      </c>
      <c r="T30" t="e">
        <f>Reflection!A30</f>
        <v>#REF!</v>
      </c>
      <c r="U30" t="s">
        <v>13</v>
      </c>
      <c r="V30" t="e">
        <f t="shared" si="15"/>
        <v>#REF!</v>
      </c>
      <c r="W30" t="e">
        <f t="shared" si="16"/>
        <v>#REF!</v>
      </c>
      <c r="X30" t="e">
        <f t="shared" si="17"/>
        <v>#REF!</v>
      </c>
      <c r="Y30" t="e">
        <f t="shared" si="18"/>
        <v>#REF!</v>
      </c>
      <c r="Z30" t="e">
        <f t="shared" si="19"/>
        <v>#REF!</v>
      </c>
      <c r="AA30" t="e">
        <f t="shared" si="20"/>
        <v>#REF!</v>
      </c>
      <c r="AD30" t="e">
        <f>Reflection!A30</f>
        <v>#REF!</v>
      </c>
      <c r="AE30" t="s">
        <v>13</v>
      </c>
      <c r="AF30" t="e">
        <f t="shared" si="21"/>
        <v>#REF!</v>
      </c>
      <c r="AG30" t="e">
        <f t="shared" si="22"/>
        <v>#REF!</v>
      </c>
      <c r="AH30" t="e">
        <f t="shared" si="23"/>
        <v>#REF!</v>
      </c>
      <c r="AI30" t="e">
        <f t="shared" si="24"/>
        <v>#REF!</v>
      </c>
      <c r="AJ30" t="e">
        <f t="shared" si="25"/>
        <v>#REF!</v>
      </c>
      <c r="AK30" t="e">
        <f t="shared" si="26"/>
        <v>#REF!</v>
      </c>
      <c r="AN30" t="e">
        <f>Reflection!A30</f>
        <v>#REF!</v>
      </c>
      <c r="AO30" t="s">
        <v>13</v>
      </c>
      <c r="AP30" t="e">
        <f t="shared" si="27"/>
        <v>#REF!</v>
      </c>
      <c r="AQ30" t="e">
        <f t="shared" si="28"/>
        <v>#REF!</v>
      </c>
      <c r="AR30" t="e">
        <f t="shared" si="29"/>
        <v>#REF!</v>
      </c>
      <c r="AS30" t="e">
        <f t="shared" si="30"/>
        <v>#REF!</v>
      </c>
      <c r="AT30" t="e">
        <f t="shared" si="31"/>
        <v>#REF!</v>
      </c>
      <c r="AU30" t="e">
        <f t="shared" si="32"/>
        <v>#REF!</v>
      </c>
      <c r="AX30" t="e">
        <f>Reflection!A30</f>
        <v>#REF!</v>
      </c>
      <c r="AY30" t="s">
        <v>13</v>
      </c>
      <c r="AZ30" t="e">
        <f t="shared" si="33"/>
        <v>#REF!</v>
      </c>
      <c r="BA30" t="e">
        <f t="shared" si="34"/>
        <v>#REF!</v>
      </c>
      <c r="BB30" t="e">
        <f t="shared" si="35"/>
        <v>#REF!</v>
      </c>
      <c r="BC30" t="e">
        <f t="shared" si="36"/>
        <v>#REF!</v>
      </c>
      <c r="BD30" t="e">
        <f t="shared" si="37"/>
        <v>#REF!</v>
      </c>
      <c r="BE30" t="e">
        <f t="shared" si="38"/>
        <v>#REF!</v>
      </c>
      <c r="BH30" t="e">
        <f>Reflection!A30</f>
        <v>#REF!</v>
      </c>
      <c r="BI30" t="e">
        <f t="shared" si="39"/>
        <v>#REF!</v>
      </c>
      <c r="BJ30" t="e">
        <f t="shared" si="40"/>
        <v>#REF!</v>
      </c>
      <c r="BK30" t="e">
        <f t="shared" si="41"/>
        <v>#REF!</v>
      </c>
      <c r="BL30" t="e">
        <f t="shared" si="42"/>
        <v>#REF!</v>
      </c>
      <c r="BM30" t="e">
        <f t="shared" si="43"/>
        <v>#REF!</v>
      </c>
      <c r="BN30" t="e">
        <f t="shared" si="3"/>
        <v>#REF!</v>
      </c>
      <c r="BR30" t="e">
        <f>Reflection!A30</f>
        <v>#REF!</v>
      </c>
      <c r="BS30" t="s">
        <v>13</v>
      </c>
      <c r="BT30" t="e">
        <f t="shared" si="44"/>
        <v>#REF!</v>
      </c>
      <c r="BU30" t="e">
        <f t="shared" si="4"/>
        <v>#REF!</v>
      </c>
      <c r="BV30" t="e">
        <f t="shared" si="45"/>
        <v>#REF!</v>
      </c>
      <c r="BW30" t="e">
        <f t="shared" si="46"/>
        <v>#REF!</v>
      </c>
      <c r="BX30" t="e">
        <f t="shared" si="47"/>
        <v>#REF!</v>
      </c>
      <c r="BY30" t="e">
        <f t="shared" si="5"/>
        <v>#REF!</v>
      </c>
    </row>
    <row r="31" spans="1:77" x14ac:dyDescent="0.15">
      <c r="A31" t="e">
        <f>Reflection!A31</f>
        <v>#REF!</v>
      </c>
      <c r="B31" t="e">
        <f t="shared" si="0"/>
        <v>#REF!</v>
      </c>
      <c r="C31" t="e">
        <f t="shared" si="1"/>
        <v>#REF!</v>
      </c>
      <c r="D31" t="e">
        <f t="shared" si="6"/>
        <v>#REF!</v>
      </c>
      <c r="E31" t="e">
        <f t="shared" si="7"/>
        <v>#REF!</v>
      </c>
      <c r="F31" t="e">
        <f t="shared" si="8"/>
        <v>#REF!</v>
      </c>
      <c r="G31" t="e">
        <f t="shared" si="2"/>
        <v>#REF!</v>
      </c>
      <c r="J31" t="e">
        <f>Reflection!A31</f>
        <v>#REF!</v>
      </c>
      <c r="K31" t="s">
        <v>13</v>
      </c>
      <c r="L31" t="e">
        <f t="shared" si="9"/>
        <v>#REF!</v>
      </c>
      <c r="M31" t="e">
        <f t="shared" si="10"/>
        <v>#REF!</v>
      </c>
      <c r="N31" t="e">
        <f t="shared" si="11"/>
        <v>#REF!</v>
      </c>
      <c r="O31" t="e">
        <f t="shared" si="12"/>
        <v>#REF!</v>
      </c>
      <c r="P31" t="e">
        <f t="shared" si="13"/>
        <v>#REF!</v>
      </c>
      <c r="Q31" t="e">
        <f t="shared" si="14"/>
        <v>#REF!</v>
      </c>
      <c r="T31" t="e">
        <f>Reflection!A31</f>
        <v>#REF!</v>
      </c>
      <c r="U31" t="s">
        <v>13</v>
      </c>
      <c r="V31" t="e">
        <f t="shared" si="15"/>
        <v>#REF!</v>
      </c>
      <c r="W31" t="e">
        <f t="shared" si="16"/>
        <v>#REF!</v>
      </c>
      <c r="X31" t="e">
        <f t="shared" si="17"/>
        <v>#REF!</v>
      </c>
      <c r="Y31" t="e">
        <f t="shared" si="18"/>
        <v>#REF!</v>
      </c>
      <c r="Z31" t="e">
        <f t="shared" si="19"/>
        <v>#REF!</v>
      </c>
      <c r="AA31" t="e">
        <f t="shared" si="20"/>
        <v>#REF!</v>
      </c>
      <c r="AD31" t="e">
        <f>Reflection!A31</f>
        <v>#REF!</v>
      </c>
      <c r="AE31" t="s">
        <v>13</v>
      </c>
      <c r="AF31" t="e">
        <f t="shared" si="21"/>
        <v>#REF!</v>
      </c>
      <c r="AG31" t="e">
        <f t="shared" si="22"/>
        <v>#REF!</v>
      </c>
      <c r="AH31" t="e">
        <f t="shared" si="23"/>
        <v>#REF!</v>
      </c>
      <c r="AI31" t="e">
        <f t="shared" si="24"/>
        <v>#REF!</v>
      </c>
      <c r="AJ31" t="e">
        <f t="shared" si="25"/>
        <v>#REF!</v>
      </c>
      <c r="AK31" t="e">
        <f t="shared" si="26"/>
        <v>#REF!</v>
      </c>
      <c r="AN31" t="e">
        <f>Reflection!A31</f>
        <v>#REF!</v>
      </c>
      <c r="AO31" t="s">
        <v>13</v>
      </c>
      <c r="AP31" t="e">
        <f t="shared" si="27"/>
        <v>#REF!</v>
      </c>
      <c r="AQ31" t="e">
        <f t="shared" si="28"/>
        <v>#REF!</v>
      </c>
      <c r="AR31" t="e">
        <f t="shared" si="29"/>
        <v>#REF!</v>
      </c>
      <c r="AS31" t="e">
        <f t="shared" si="30"/>
        <v>#REF!</v>
      </c>
      <c r="AT31" t="e">
        <f t="shared" si="31"/>
        <v>#REF!</v>
      </c>
      <c r="AU31" t="e">
        <f t="shared" si="32"/>
        <v>#REF!</v>
      </c>
      <c r="AX31" t="e">
        <f>Reflection!A31</f>
        <v>#REF!</v>
      </c>
      <c r="AY31" t="s">
        <v>13</v>
      </c>
      <c r="AZ31" t="e">
        <f t="shared" si="33"/>
        <v>#REF!</v>
      </c>
      <c r="BA31" t="e">
        <f t="shared" si="34"/>
        <v>#REF!</v>
      </c>
      <c r="BB31" t="e">
        <f t="shared" si="35"/>
        <v>#REF!</v>
      </c>
      <c r="BC31" t="e">
        <f t="shared" si="36"/>
        <v>#REF!</v>
      </c>
      <c r="BD31" t="e">
        <f t="shared" si="37"/>
        <v>#REF!</v>
      </c>
      <c r="BE31" t="e">
        <f t="shared" si="38"/>
        <v>#REF!</v>
      </c>
      <c r="BH31" t="e">
        <f>Reflection!A31</f>
        <v>#REF!</v>
      </c>
      <c r="BI31" t="e">
        <f t="shared" si="39"/>
        <v>#REF!</v>
      </c>
      <c r="BJ31" t="e">
        <f t="shared" si="40"/>
        <v>#REF!</v>
      </c>
      <c r="BK31" t="e">
        <f t="shared" si="41"/>
        <v>#REF!</v>
      </c>
      <c r="BL31" t="e">
        <f t="shared" si="42"/>
        <v>#REF!</v>
      </c>
      <c r="BM31" t="e">
        <f t="shared" si="43"/>
        <v>#REF!</v>
      </c>
      <c r="BN31" t="e">
        <f t="shared" si="3"/>
        <v>#REF!</v>
      </c>
      <c r="BR31" t="e">
        <f>Reflection!A31</f>
        <v>#REF!</v>
      </c>
      <c r="BS31" t="s">
        <v>13</v>
      </c>
      <c r="BT31" t="e">
        <f t="shared" si="44"/>
        <v>#REF!</v>
      </c>
      <c r="BU31" t="e">
        <f t="shared" si="4"/>
        <v>#REF!</v>
      </c>
      <c r="BV31" t="e">
        <f t="shared" si="45"/>
        <v>#REF!</v>
      </c>
      <c r="BW31" t="e">
        <f t="shared" si="46"/>
        <v>#REF!</v>
      </c>
      <c r="BX31" t="e">
        <f t="shared" si="47"/>
        <v>#REF!</v>
      </c>
      <c r="BY31" t="e">
        <f t="shared" si="5"/>
        <v>#REF!</v>
      </c>
    </row>
    <row r="32" spans="1:77" x14ac:dyDescent="0.15">
      <c r="A32" t="e">
        <f>Reflection!A32</f>
        <v>#REF!</v>
      </c>
      <c r="B32" t="e">
        <f t="shared" si="0"/>
        <v>#REF!</v>
      </c>
      <c r="C32" t="e">
        <f t="shared" si="1"/>
        <v>#REF!</v>
      </c>
      <c r="D32" t="e">
        <f t="shared" si="6"/>
        <v>#REF!</v>
      </c>
      <c r="E32" t="e">
        <f t="shared" si="7"/>
        <v>#REF!</v>
      </c>
      <c r="F32" t="e">
        <f t="shared" si="8"/>
        <v>#REF!</v>
      </c>
      <c r="G32" t="e">
        <f t="shared" si="2"/>
        <v>#REF!</v>
      </c>
      <c r="J32" t="e">
        <f>Reflection!A32</f>
        <v>#REF!</v>
      </c>
      <c r="K32" t="s">
        <v>13</v>
      </c>
      <c r="L32" t="e">
        <f t="shared" si="9"/>
        <v>#REF!</v>
      </c>
      <c r="M32" t="e">
        <f t="shared" si="10"/>
        <v>#REF!</v>
      </c>
      <c r="N32" t="e">
        <f t="shared" si="11"/>
        <v>#REF!</v>
      </c>
      <c r="O32" t="e">
        <f t="shared" si="12"/>
        <v>#REF!</v>
      </c>
      <c r="P32" t="e">
        <f t="shared" si="13"/>
        <v>#REF!</v>
      </c>
      <c r="Q32" t="e">
        <f t="shared" si="14"/>
        <v>#REF!</v>
      </c>
      <c r="T32" t="e">
        <f>Reflection!A32</f>
        <v>#REF!</v>
      </c>
      <c r="U32" t="s">
        <v>13</v>
      </c>
      <c r="V32" t="e">
        <f t="shared" si="15"/>
        <v>#REF!</v>
      </c>
      <c r="W32" t="e">
        <f t="shared" si="16"/>
        <v>#REF!</v>
      </c>
      <c r="X32" t="e">
        <f t="shared" si="17"/>
        <v>#REF!</v>
      </c>
      <c r="Y32" t="e">
        <f t="shared" si="18"/>
        <v>#REF!</v>
      </c>
      <c r="Z32" t="e">
        <f t="shared" si="19"/>
        <v>#REF!</v>
      </c>
      <c r="AA32" t="e">
        <f t="shared" si="20"/>
        <v>#REF!</v>
      </c>
      <c r="AD32" t="e">
        <f>Reflection!A32</f>
        <v>#REF!</v>
      </c>
      <c r="AE32" t="s">
        <v>13</v>
      </c>
      <c r="AF32" t="e">
        <f t="shared" si="21"/>
        <v>#REF!</v>
      </c>
      <c r="AG32" t="e">
        <f t="shared" si="22"/>
        <v>#REF!</v>
      </c>
      <c r="AH32" t="e">
        <f t="shared" si="23"/>
        <v>#REF!</v>
      </c>
      <c r="AI32" t="e">
        <f t="shared" si="24"/>
        <v>#REF!</v>
      </c>
      <c r="AJ32" t="e">
        <f t="shared" si="25"/>
        <v>#REF!</v>
      </c>
      <c r="AK32" t="e">
        <f t="shared" si="26"/>
        <v>#REF!</v>
      </c>
      <c r="AN32" t="e">
        <f>Reflection!A32</f>
        <v>#REF!</v>
      </c>
      <c r="AO32" t="s">
        <v>13</v>
      </c>
      <c r="AP32" t="e">
        <f t="shared" si="27"/>
        <v>#REF!</v>
      </c>
      <c r="AQ32" t="e">
        <f t="shared" si="28"/>
        <v>#REF!</v>
      </c>
      <c r="AR32" t="e">
        <f t="shared" si="29"/>
        <v>#REF!</v>
      </c>
      <c r="AS32" t="e">
        <f t="shared" si="30"/>
        <v>#REF!</v>
      </c>
      <c r="AT32" t="e">
        <f t="shared" si="31"/>
        <v>#REF!</v>
      </c>
      <c r="AU32" t="e">
        <f t="shared" si="32"/>
        <v>#REF!</v>
      </c>
      <c r="AX32" t="e">
        <f>Reflection!A32</f>
        <v>#REF!</v>
      </c>
      <c r="AY32" t="s">
        <v>13</v>
      </c>
      <c r="AZ32" t="e">
        <f t="shared" si="33"/>
        <v>#REF!</v>
      </c>
      <c r="BA32" t="e">
        <f t="shared" si="34"/>
        <v>#REF!</v>
      </c>
      <c r="BB32" t="e">
        <f t="shared" si="35"/>
        <v>#REF!</v>
      </c>
      <c r="BC32" t="e">
        <f t="shared" si="36"/>
        <v>#REF!</v>
      </c>
      <c r="BD32" t="e">
        <f t="shared" si="37"/>
        <v>#REF!</v>
      </c>
      <c r="BE32" t="e">
        <f t="shared" si="38"/>
        <v>#REF!</v>
      </c>
      <c r="BH32" t="e">
        <f>Reflection!A32</f>
        <v>#REF!</v>
      </c>
      <c r="BI32" t="e">
        <f t="shared" si="39"/>
        <v>#REF!</v>
      </c>
      <c r="BJ32" t="e">
        <f t="shared" si="40"/>
        <v>#REF!</v>
      </c>
      <c r="BK32" t="e">
        <f t="shared" si="41"/>
        <v>#REF!</v>
      </c>
      <c r="BL32" t="e">
        <f t="shared" si="42"/>
        <v>#REF!</v>
      </c>
      <c r="BM32" t="e">
        <f t="shared" si="43"/>
        <v>#REF!</v>
      </c>
      <c r="BN32" t="e">
        <f t="shared" si="3"/>
        <v>#REF!</v>
      </c>
      <c r="BR32" t="e">
        <f>Reflection!A32</f>
        <v>#REF!</v>
      </c>
      <c r="BS32" t="s">
        <v>13</v>
      </c>
      <c r="BT32" t="e">
        <f t="shared" si="44"/>
        <v>#REF!</v>
      </c>
      <c r="BU32" t="e">
        <f t="shared" si="4"/>
        <v>#REF!</v>
      </c>
      <c r="BV32" t="e">
        <f t="shared" si="45"/>
        <v>#REF!</v>
      </c>
      <c r="BW32" t="e">
        <f t="shared" si="46"/>
        <v>#REF!</v>
      </c>
      <c r="BX32" t="e">
        <f t="shared" si="47"/>
        <v>#REF!</v>
      </c>
      <c r="BY32" t="e">
        <f t="shared" si="5"/>
        <v>#REF!</v>
      </c>
    </row>
    <row r="33" spans="1:77" x14ac:dyDescent="0.15">
      <c r="A33" t="e">
        <f>Reflection!A33</f>
        <v>#REF!</v>
      </c>
      <c r="B33" t="e">
        <f t="shared" si="0"/>
        <v>#REF!</v>
      </c>
      <c r="C33" t="e">
        <f t="shared" si="1"/>
        <v>#REF!</v>
      </c>
      <c r="D33" t="e">
        <f t="shared" si="6"/>
        <v>#REF!</v>
      </c>
      <c r="E33" t="e">
        <f t="shared" si="7"/>
        <v>#REF!</v>
      </c>
      <c r="F33" t="e">
        <f t="shared" si="8"/>
        <v>#REF!</v>
      </c>
      <c r="G33" t="e">
        <f t="shared" si="2"/>
        <v>#REF!</v>
      </c>
      <c r="J33" t="e">
        <f>Reflection!A33</f>
        <v>#REF!</v>
      </c>
      <c r="K33" t="s">
        <v>13</v>
      </c>
      <c r="L33" t="e">
        <f t="shared" si="9"/>
        <v>#REF!</v>
      </c>
      <c r="M33" t="e">
        <f t="shared" si="10"/>
        <v>#REF!</v>
      </c>
      <c r="N33" t="e">
        <f t="shared" si="11"/>
        <v>#REF!</v>
      </c>
      <c r="O33" t="e">
        <f t="shared" si="12"/>
        <v>#REF!</v>
      </c>
      <c r="P33" t="e">
        <f t="shared" si="13"/>
        <v>#REF!</v>
      </c>
      <c r="Q33" t="e">
        <f t="shared" si="14"/>
        <v>#REF!</v>
      </c>
      <c r="T33" t="e">
        <f>Reflection!A33</f>
        <v>#REF!</v>
      </c>
      <c r="U33" t="s">
        <v>13</v>
      </c>
      <c r="V33" t="e">
        <f t="shared" si="15"/>
        <v>#REF!</v>
      </c>
      <c r="W33" t="e">
        <f t="shared" si="16"/>
        <v>#REF!</v>
      </c>
      <c r="X33" t="e">
        <f t="shared" si="17"/>
        <v>#REF!</v>
      </c>
      <c r="Y33" t="e">
        <f t="shared" si="18"/>
        <v>#REF!</v>
      </c>
      <c r="Z33" t="e">
        <f t="shared" si="19"/>
        <v>#REF!</v>
      </c>
      <c r="AA33" t="e">
        <f t="shared" si="20"/>
        <v>#REF!</v>
      </c>
      <c r="AD33" t="e">
        <f>Reflection!A33</f>
        <v>#REF!</v>
      </c>
      <c r="AE33" t="s">
        <v>13</v>
      </c>
      <c r="AF33" t="e">
        <f t="shared" si="21"/>
        <v>#REF!</v>
      </c>
      <c r="AG33" t="e">
        <f t="shared" si="22"/>
        <v>#REF!</v>
      </c>
      <c r="AH33" t="e">
        <f t="shared" si="23"/>
        <v>#REF!</v>
      </c>
      <c r="AI33" t="e">
        <f t="shared" si="24"/>
        <v>#REF!</v>
      </c>
      <c r="AJ33" t="e">
        <f t="shared" si="25"/>
        <v>#REF!</v>
      </c>
      <c r="AK33" t="e">
        <f t="shared" si="26"/>
        <v>#REF!</v>
      </c>
      <c r="AN33" t="e">
        <f>Reflection!A33</f>
        <v>#REF!</v>
      </c>
      <c r="AO33" t="s">
        <v>13</v>
      </c>
      <c r="AP33" t="e">
        <f t="shared" si="27"/>
        <v>#REF!</v>
      </c>
      <c r="AQ33" t="e">
        <f t="shared" si="28"/>
        <v>#REF!</v>
      </c>
      <c r="AR33" t="e">
        <f t="shared" si="29"/>
        <v>#REF!</v>
      </c>
      <c r="AS33" t="e">
        <f t="shared" si="30"/>
        <v>#REF!</v>
      </c>
      <c r="AT33" t="e">
        <f t="shared" si="31"/>
        <v>#REF!</v>
      </c>
      <c r="AU33" t="e">
        <f t="shared" si="32"/>
        <v>#REF!</v>
      </c>
      <c r="AX33" t="e">
        <f>Reflection!A33</f>
        <v>#REF!</v>
      </c>
      <c r="AY33" t="s">
        <v>13</v>
      </c>
      <c r="AZ33" t="e">
        <f t="shared" si="33"/>
        <v>#REF!</v>
      </c>
      <c r="BA33" t="e">
        <f t="shared" si="34"/>
        <v>#REF!</v>
      </c>
      <c r="BB33" t="e">
        <f t="shared" si="35"/>
        <v>#REF!</v>
      </c>
      <c r="BC33" t="e">
        <f t="shared" si="36"/>
        <v>#REF!</v>
      </c>
      <c r="BD33" t="e">
        <f t="shared" si="37"/>
        <v>#REF!</v>
      </c>
      <c r="BE33" t="e">
        <f t="shared" si="38"/>
        <v>#REF!</v>
      </c>
      <c r="BH33" t="e">
        <f>Reflection!A33</f>
        <v>#REF!</v>
      </c>
      <c r="BI33" t="e">
        <f t="shared" si="39"/>
        <v>#REF!</v>
      </c>
      <c r="BJ33" t="e">
        <f t="shared" si="40"/>
        <v>#REF!</v>
      </c>
      <c r="BK33" t="e">
        <f t="shared" si="41"/>
        <v>#REF!</v>
      </c>
      <c r="BL33" t="e">
        <f t="shared" si="42"/>
        <v>#REF!</v>
      </c>
      <c r="BM33" t="e">
        <f t="shared" si="43"/>
        <v>#REF!</v>
      </c>
      <c r="BN33" t="e">
        <f t="shared" si="3"/>
        <v>#REF!</v>
      </c>
      <c r="BR33" t="e">
        <f>Reflection!A33</f>
        <v>#REF!</v>
      </c>
      <c r="BS33" t="s">
        <v>13</v>
      </c>
      <c r="BT33" t="e">
        <f t="shared" si="44"/>
        <v>#REF!</v>
      </c>
      <c r="BU33" t="e">
        <f t="shared" si="4"/>
        <v>#REF!</v>
      </c>
      <c r="BV33" t="e">
        <f t="shared" si="45"/>
        <v>#REF!</v>
      </c>
      <c r="BW33" t="e">
        <f t="shared" si="46"/>
        <v>#REF!</v>
      </c>
      <c r="BX33" t="e">
        <f t="shared" si="47"/>
        <v>#REF!</v>
      </c>
      <c r="BY33" t="e">
        <f t="shared" si="5"/>
        <v>#REF!</v>
      </c>
    </row>
    <row r="34" spans="1:77" x14ac:dyDescent="0.15">
      <c r="A34" t="e">
        <f>Reflection!A34</f>
        <v>#REF!</v>
      </c>
      <c r="B34" t="e">
        <f t="shared" si="0"/>
        <v>#REF!</v>
      </c>
      <c r="C34" t="e">
        <f t="shared" si="1"/>
        <v>#REF!</v>
      </c>
      <c r="D34" t="e">
        <f t="shared" si="6"/>
        <v>#REF!</v>
      </c>
      <c r="E34" t="e">
        <f t="shared" si="7"/>
        <v>#REF!</v>
      </c>
      <c r="F34" t="e">
        <f t="shared" si="8"/>
        <v>#REF!</v>
      </c>
      <c r="G34" t="e">
        <f t="shared" si="2"/>
        <v>#REF!</v>
      </c>
      <c r="J34" t="e">
        <f>Reflection!A34</f>
        <v>#REF!</v>
      </c>
      <c r="K34" t="s">
        <v>13</v>
      </c>
      <c r="L34" t="e">
        <f t="shared" si="9"/>
        <v>#REF!</v>
      </c>
      <c r="M34" t="e">
        <f t="shared" si="10"/>
        <v>#REF!</v>
      </c>
      <c r="N34" t="e">
        <f t="shared" si="11"/>
        <v>#REF!</v>
      </c>
      <c r="O34" t="e">
        <f t="shared" si="12"/>
        <v>#REF!</v>
      </c>
      <c r="P34" t="e">
        <f t="shared" si="13"/>
        <v>#REF!</v>
      </c>
      <c r="Q34" t="e">
        <f t="shared" si="14"/>
        <v>#REF!</v>
      </c>
      <c r="T34" t="e">
        <f>Reflection!A34</f>
        <v>#REF!</v>
      </c>
      <c r="U34" t="s">
        <v>13</v>
      </c>
      <c r="V34" t="e">
        <f t="shared" si="15"/>
        <v>#REF!</v>
      </c>
      <c r="W34" t="e">
        <f t="shared" si="16"/>
        <v>#REF!</v>
      </c>
      <c r="X34" t="e">
        <f t="shared" si="17"/>
        <v>#REF!</v>
      </c>
      <c r="Y34" t="e">
        <f t="shared" si="18"/>
        <v>#REF!</v>
      </c>
      <c r="Z34" t="e">
        <f t="shared" si="19"/>
        <v>#REF!</v>
      </c>
      <c r="AA34" t="e">
        <f t="shared" si="20"/>
        <v>#REF!</v>
      </c>
      <c r="AD34" t="e">
        <f>Reflection!A34</f>
        <v>#REF!</v>
      </c>
      <c r="AE34" t="s">
        <v>13</v>
      </c>
      <c r="AF34" t="e">
        <f t="shared" si="21"/>
        <v>#REF!</v>
      </c>
      <c r="AG34" t="e">
        <f t="shared" si="22"/>
        <v>#REF!</v>
      </c>
      <c r="AH34" t="e">
        <f t="shared" si="23"/>
        <v>#REF!</v>
      </c>
      <c r="AI34" t="e">
        <f t="shared" si="24"/>
        <v>#REF!</v>
      </c>
      <c r="AJ34" t="e">
        <f t="shared" si="25"/>
        <v>#REF!</v>
      </c>
      <c r="AK34" t="e">
        <f t="shared" si="26"/>
        <v>#REF!</v>
      </c>
      <c r="AN34" t="e">
        <f>Reflection!A34</f>
        <v>#REF!</v>
      </c>
      <c r="AO34" t="s">
        <v>13</v>
      </c>
      <c r="AP34" t="e">
        <f t="shared" si="27"/>
        <v>#REF!</v>
      </c>
      <c r="AQ34" t="e">
        <f t="shared" si="28"/>
        <v>#REF!</v>
      </c>
      <c r="AR34" t="e">
        <f t="shared" si="29"/>
        <v>#REF!</v>
      </c>
      <c r="AS34" t="e">
        <f t="shared" si="30"/>
        <v>#REF!</v>
      </c>
      <c r="AT34" t="e">
        <f t="shared" si="31"/>
        <v>#REF!</v>
      </c>
      <c r="AU34" t="e">
        <f t="shared" si="32"/>
        <v>#REF!</v>
      </c>
      <c r="AX34" t="e">
        <f>Reflection!A34</f>
        <v>#REF!</v>
      </c>
      <c r="AY34" t="s">
        <v>13</v>
      </c>
      <c r="AZ34" t="e">
        <f t="shared" si="33"/>
        <v>#REF!</v>
      </c>
      <c r="BA34" t="e">
        <f t="shared" si="34"/>
        <v>#REF!</v>
      </c>
      <c r="BB34" t="e">
        <f t="shared" si="35"/>
        <v>#REF!</v>
      </c>
      <c r="BC34" t="e">
        <f t="shared" si="36"/>
        <v>#REF!</v>
      </c>
      <c r="BD34" t="e">
        <f t="shared" si="37"/>
        <v>#REF!</v>
      </c>
      <c r="BE34" t="e">
        <f t="shared" si="38"/>
        <v>#REF!</v>
      </c>
      <c r="BH34" t="e">
        <f>Reflection!A34</f>
        <v>#REF!</v>
      </c>
      <c r="BI34" t="e">
        <f t="shared" si="39"/>
        <v>#REF!</v>
      </c>
      <c r="BJ34" t="e">
        <f t="shared" si="40"/>
        <v>#REF!</v>
      </c>
      <c r="BK34" t="e">
        <f t="shared" si="41"/>
        <v>#REF!</v>
      </c>
      <c r="BL34" t="e">
        <f t="shared" si="42"/>
        <v>#REF!</v>
      </c>
      <c r="BM34" t="e">
        <f t="shared" si="43"/>
        <v>#REF!</v>
      </c>
      <c r="BN34" t="e">
        <f t="shared" si="3"/>
        <v>#REF!</v>
      </c>
      <c r="BR34" t="e">
        <f>Reflection!A34</f>
        <v>#REF!</v>
      </c>
      <c r="BS34" t="s">
        <v>13</v>
      </c>
      <c r="BT34" t="e">
        <f t="shared" si="44"/>
        <v>#REF!</v>
      </c>
      <c r="BU34" t="e">
        <f t="shared" si="4"/>
        <v>#REF!</v>
      </c>
      <c r="BV34" t="e">
        <f t="shared" si="45"/>
        <v>#REF!</v>
      </c>
      <c r="BW34" t="e">
        <f t="shared" si="46"/>
        <v>#REF!</v>
      </c>
      <c r="BX34" t="e">
        <f t="shared" si="47"/>
        <v>#REF!</v>
      </c>
      <c r="BY34" t="e">
        <f t="shared" si="5"/>
        <v>#REF!</v>
      </c>
    </row>
    <row r="35" spans="1:77" x14ac:dyDescent="0.15">
      <c r="A35" t="e">
        <f>Reflection!A35</f>
        <v>#REF!</v>
      </c>
      <c r="B35" t="e">
        <f t="shared" ref="B35:B66" si="48">IMSUM(4.1,IMDIV((78.4-4.1),IMSUM(IMPRODUCT($C$1,2*PI()*A35*0.0000000000083),1)))</f>
        <v>#REF!</v>
      </c>
      <c r="C35" t="e">
        <f t="shared" ref="C35:C66" si="49">IMPRODUCT(IMPRODUCT(B35,$C$1),2*PI()*A35*0.000000000008854)</f>
        <v>#REF!</v>
      </c>
      <c r="D35" t="e">
        <f t="shared" si="6"/>
        <v>#REF!</v>
      </c>
      <c r="E35" t="e">
        <f t="shared" si="7"/>
        <v>#REF!</v>
      </c>
      <c r="F35" t="e">
        <f t="shared" si="8"/>
        <v>#REF!</v>
      </c>
      <c r="G35" t="e">
        <f t="shared" ref="G35:G66" si="50">IMAGINARY(C35)</f>
        <v>#REF!</v>
      </c>
      <c r="J35" t="e">
        <f>Reflection!A35</f>
        <v>#REF!</v>
      </c>
      <c r="K35" t="s">
        <v>13</v>
      </c>
      <c r="L35" t="e">
        <f t="shared" si="9"/>
        <v>#REF!</v>
      </c>
      <c r="M35" t="e">
        <f t="shared" si="10"/>
        <v>#REF!</v>
      </c>
      <c r="N35" t="e">
        <f t="shared" si="11"/>
        <v>#REF!</v>
      </c>
      <c r="O35" t="e">
        <f t="shared" si="12"/>
        <v>#REF!</v>
      </c>
      <c r="P35" t="e">
        <f t="shared" si="13"/>
        <v>#REF!</v>
      </c>
      <c r="Q35" t="e">
        <f t="shared" si="14"/>
        <v>#REF!</v>
      </c>
      <c r="T35" t="e">
        <f>Reflection!A35</f>
        <v>#REF!</v>
      </c>
      <c r="U35" t="s">
        <v>13</v>
      </c>
      <c r="V35" t="e">
        <f t="shared" si="15"/>
        <v>#REF!</v>
      </c>
      <c r="W35" t="e">
        <f t="shared" si="16"/>
        <v>#REF!</v>
      </c>
      <c r="X35" t="e">
        <f t="shared" si="17"/>
        <v>#REF!</v>
      </c>
      <c r="Y35" t="e">
        <f t="shared" si="18"/>
        <v>#REF!</v>
      </c>
      <c r="Z35" t="e">
        <f t="shared" si="19"/>
        <v>#REF!</v>
      </c>
      <c r="AA35" t="e">
        <f t="shared" si="20"/>
        <v>#REF!</v>
      </c>
      <c r="AD35" t="e">
        <f>Reflection!A35</f>
        <v>#REF!</v>
      </c>
      <c r="AE35" t="s">
        <v>13</v>
      </c>
      <c r="AF35" t="e">
        <f t="shared" si="21"/>
        <v>#REF!</v>
      </c>
      <c r="AG35" t="e">
        <f t="shared" si="22"/>
        <v>#REF!</v>
      </c>
      <c r="AH35" t="e">
        <f t="shared" si="23"/>
        <v>#REF!</v>
      </c>
      <c r="AI35" t="e">
        <f t="shared" si="24"/>
        <v>#REF!</v>
      </c>
      <c r="AJ35" t="e">
        <f t="shared" si="25"/>
        <v>#REF!</v>
      </c>
      <c r="AK35" t="e">
        <f t="shared" si="26"/>
        <v>#REF!</v>
      </c>
      <c r="AN35" t="e">
        <f>Reflection!A35</f>
        <v>#REF!</v>
      </c>
      <c r="AO35" t="s">
        <v>13</v>
      </c>
      <c r="AP35" t="e">
        <f t="shared" si="27"/>
        <v>#REF!</v>
      </c>
      <c r="AQ35" t="e">
        <f t="shared" si="28"/>
        <v>#REF!</v>
      </c>
      <c r="AR35" t="e">
        <f t="shared" si="29"/>
        <v>#REF!</v>
      </c>
      <c r="AS35" t="e">
        <f t="shared" si="30"/>
        <v>#REF!</v>
      </c>
      <c r="AT35" t="e">
        <f t="shared" si="31"/>
        <v>#REF!</v>
      </c>
      <c r="AU35" t="e">
        <f t="shared" si="32"/>
        <v>#REF!</v>
      </c>
      <c r="AX35" t="e">
        <f>Reflection!A35</f>
        <v>#REF!</v>
      </c>
      <c r="AY35" t="s">
        <v>13</v>
      </c>
      <c r="AZ35" t="e">
        <f t="shared" si="33"/>
        <v>#REF!</v>
      </c>
      <c r="BA35" t="e">
        <f t="shared" si="34"/>
        <v>#REF!</v>
      </c>
      <c r="BB35" t="e">
        <f t="shared" si="35"/>
        <v>#REF!</v>
      </c>
      <c r="BC35" t="e">
        <f t="shared" si="36"/>
        <v>#REF!</v>
      </c>
      <c r="BD35" t="e">
        <f t="shared" si="37"/>
        <v>#REF!</v>
      </c>
      <c r="BE35" t="e">
        <f t="shared" si="38"/>
        <v>#REF!</v>
      </c>
      <c r="BH35" t="e">
        <f>Reflection!A35</f>
        <v>#REF!</v>
      </c>
      <c r="BI35" t="e">
        <f t="shared" si="39"/>
        <v>#REF!</v>
      </c>
      <c r="BJ35" t="e">
        <f t="shared" si="40"/>
        <v>#REF!</v>
      </c>
      <c r="BK35" t="e">
        <f t="shared" si="41"/>
        <v>#REF!</v>
      </c>
      <c r="BL35" t="e">
        <f t="shared" si="42"/>
        <v>#REF!</v>
      </c>
      <c r="BM35" t="e">
        <f t="shared" si="43"/>
        <v>#REF!</v>
      </c>
      <c r="BN35" t="e">
        <f t="shared" si="3"/>
        <v>#REF!</v>
      </c>
      <c r="BR35" t="e">
        <f>Reflection!A35</f>
        <v>#REF!</v>
      </c>
      <c r="BS35" t="s">
        <v>13</v>
      </c>
      <c r="BT35" t="e">
        <f t="shared" si="44"/>
        <v>#REF!</v>
      </c>
      <c r="BU35" t="e">
        <f t="shared" ref="BU35:BU66" si="51">IMPRODUCT(IMPRODUCT(BT35,BS35),2*PI()*BR35*0.000000000008854)</f>
        <v>#REF!</v>
      </c>
      <c r="BV35" t="e">
        <f t="shared" si="45"/>
        <v>#REF!</v>
      </c>
      <c r="BW35" t="e">
        <f t="shared" si="46"/>
        <v>#REF!</v>
      </c>
      <c r="BX35" t="e">
        <f t="shared" si="47"/>
        <v>#REF!</v>
      </c>
      <c r="BY35" t="e">
        <f t="shared" si="5"/>
        <v>#REF!</v>
      </c>
    </row>
    <row r="36" spans="1:77" x14ac:dyDescent="0.15">
      <c r="A36" t="e">
        <f>Reflection!A36</f>
        <v>#REF!</v>
      </c>
      <c r="B36" t="e">
        <f t="shared" si="48"/>
        <v>#REF!</v>
      </c>
      <c r="C36" t="e">
        <f t="shared" si="49"/>
        <v>#REF!</v>
      </c>
      <c r="D36" t="e">
        <f t="shared" si="6"/>
        <v>#REF!</v>
      </c>
      <c r="E36" t="e">
        <f t="shared" si="7"/>
        <v>#REF!</v>
      </c>
      <c r="F36" t="e">
        <f t="shared" si="8"/>
        <v>#REF!</v>
      </c>
      <c r="G36" t="e">
        <f t="shared" si="50"/>
        <v>#REF!</v>
      </c>
      <c r="J36" t="e">
        <f>Reflection!A36</f>
        <v>#REF!</v>
      </c>
      <c r="K36" t="s">
        <v>13</v>
      </c>
      <c r="L36" t="e">
        <f t="shared" si="9"/>
        <v>#REF!</v>
      </c>
      <c r="M36" t="e">
        <f t="shared" si="10"/>
        <v>#REF!</v>
      </c>
      <c r="N36" t="e">
        <f t="shared" si="11"/>
        <v>#REF!</v>
      </c>
      <c r="O36" t="e">
        <f t="shared" si="12"/>
        <v>#REF!</v>
      </c>
      <c r="P36" t="e">
        <f t="shared" si="13"/>
        <v>#REF!</v>
      </c>
      <c r="Q36" t="e">
        <f t="shared" si="14"/>
        <v>#REF!</v>
      </c>
      <c r="T36" t="e">
        <f>Reflection!A36</f>
        <v>#REF!</v>
      </c>
      <c r="U36" t="s">
        <v>13</v>
      </c>
      <c r="V36" t="e">
        <f t="shared" si="15"/>
        <v>#REF!</v>
      </c>
      <c r="W36" t="e">
        <f t="shared" si="16"/>
        <v>#REF!</v>
      </c>
      <c r="X36" t="e">
        <f t="shared" si="17"/>
        <v>#REF!</v>
      </c>
      <c r="Y36" t="e">
        <f t="shared" si="18"/>
        <v>#REF!</v>
      </c>
      <c r="Z36" t="e">
        <f t="shared" si="19"/>
        <v>#REF!</v>
      </c>
      <c r="AA36" t="e">
        <f t="shared" si="20"/>
        <v>#REF!</v>
      </c>
      <c r="AD36" t="e">
        <f>Reflection!A36</f>
        <v>#REF!</v>
      </c>
      <c r="AE36" t="s">
        <v>13</v>
      </c>
      <c r="AF36" t="e">
        <f t="shared" si="21"/>
        <v>#REF!</v>
      </c>
      <c r="AG36" t="e">
        <f t="shared" si="22"/>
        <v>#REF!</v>
      </c>
      <c r="AH36" t="e">
        <f t="shared" si="23"/>
        <v>#REF!</v>
      </c>
      <c r="AI36" t="e">
        <f t="shared" si="24"/>
        <v>#REF!</v>
      </c>
      <c r="AJ36" t="e">
        <f t="shared" si="25"/>
        <v>#REF!</v>
      </c>
      <c r="AK36" t="e">
        <f t="shared" si="26"/>
        <v>#REF!</v>
      </c>
      <c r="AN36" t="e">
        <f>Reflection!A36</f>
        <v>#REF!</v>
      </c>
      <c r="AO36" t="s">
        <v>13</v>
      </c>
      <c r="AP36" t="e">
        <f t="shared" si="27"/>
        <v>#REF!</v>
      </c>
      <c r="AQ36" t="e">
        <f t="shared" si="28"/>
        <v>#REF!</v>
      </c>
      <c r="AR36" t="e">
        <f t="shared" si="29"/>
        <v>#REF!</v>
      </c>
      <c r="AS36" t="e">
        <f t="shared" si="30"/>
        <v>#REF!</v>
      </c>
      <c r="AT36" t="e">
        <f t="shared" si="31"/>
        <v>#REF!</v>
      </c>
      <c r="AU36" t="e">
        <f t="shared" si="32"/>
        <v>#REF!</v>
      </c>
      <c r="AX36" t="e">
        <f>Reflection!A36</f>
        <v>#REF!</v>
      </c>
      <c r="AY36" t="s">
        <v>13</v>
      </c>
      <c r="AZ36" t="e">
        <f t="shared" si="33"/>
        <v>#REF!</v>
      </c>
      <c r="BA36" t="e">
        <f t="shared" si="34"/>
        <v>#REF!</v>
      </c>
      <c r="BB36" t="e">
        <f t="shared" si="35"/>
        <v>#REF!</v>
      </c>
      <c r="BC36" t="e">
        <f t="shared" si="36"/>
        <v>#REF!</v>
      </c>
      <c r="BD36" t="e">
        <f t="shared" si="37"/>
        <v>#REF!</v>
      </c>
      <c r="BE36" t="e">
        <f t="shared" si="38"/>
        <v>#REF!</v>
      </c>
      <c r="BH36" t="e">
        <f>Reflection!A36</f>
        <v>#REF!</v>
      </c>
      <c r="BI36" t="e">
        <f t="shared" si="39"/>
        <v>#REF!</v>
      </c>
      <c r="BJ36" t="e">
        <f t="shared" si="40"/>
        <v>#REF!</v>
      </c>
      <c r="BK36" t="e">
        <f t="shared" si="41"/>
        <v>#REF!</v>
      </c>
      <c r="BL36" t="e">
        <f t="shared" si="42"/>
        <v>#REF!</v>
      </c>
      <c r="BM36" t="e">
        <f t="shared" si="43"/>
        <v>#REF!</v>
      </c>
      <c r="BN36" t="e">
        <f t="shared" si="3"/>
        <v>#REF!</v>
      </c>
      <c r="BR36" t="e">
        <f>Reflection!A36</f>
        <v>#REF!</v>
      </c>
      <c r="BS36" t="s">
        <v>13</v>
      </c>
      <c r="BT36" t="e">
        <f t="shared" si="44"/>
        <v>#REF!</v>
      </c>
      <c r="BU36" t="e">
        <f t="shared" si="51"/>
        <v>#REF!</v>
      </c>
      <c r="BV36" t="e">
        <f t="shared" si="45"/>
        <v>#REF!</v>
      </c>
      <c r="BW36" t="e">
        <f t="shared" si="46"/>
        <v>#REF!</v>
      </c>
      <c r="BX36" t="e">
        <f t="shared" si="47"/>
        <v>#REF!</v>
      </c>
      <c r="BY36" t="e">
        <f t="shared" si="5"/>
        <v>#REF!</v>
      </c>
    </row>
    <row r="37" spans="1:77" x14ac:dyDescent="0.15">
      <c r="A37" t="e">
        <f>Reflection!A37</f>
        <v>#REF!</v>
      </c>
      <c r="B37" t="e">
        <f t="shared" si="48"/>
        <v>#REF!</v>
      </c>
      <c r="C37" t="e">
        <f t="shared" si="49"/>
        <v>#REF!</v>
      </c>
      <c r="D37" t="e">
        <f t="shared" si="6"/>
        <v>#REF!</v>
      </c>
      <c r="E37" t="e">
        <f t="shared" si="7"/>
        <v>#REF!</v>
      </c>
      <c r="F37" t="e">
        <f t="shared" si="8"/>
        <v>#REF!</v>
      </c>
      <c r="G37" t="e">
        <f t="shared" si="50"/>
        <v>#REF!</v>
      </c>
      <c r="J37" t="e">
        <f>Reflection!A37</f>
        <v>#REF!</v>
      </c>
      <c r="K37" t="s">
        <v>13</v>
      </c>
      <c r="L37" t="e">
        <f t="shared" si="9"/>
        <v>#REF!</v>
      </c>
      <c r="M37" t="e">
        <f t="shared" si="10"/>
        <v>#REF!</v>
      </c>
      <c r="N37" t="e">
        <f t="shared" si="11"/>
        <v>#REF!</v>
      </c>
      <c r="O37" t="e">
        <f t="shared" si="12"/>
        <v>#REF!</v>
      </c>
      <c r="P37" t="e">
        <f t="shared" si="13"/>
        <v>#REF!</v>
      </c>
      <c r="Q37" t="e">
        <f t="shared" si="14"/>
        <v>#REF!</v>
      </c>
      <c r="T37" t="e">
        <f>Reflection!A37</f>
        <v>#REF!</v>
      </c>
      <c r="U37" t="s">
        <v>13</v>
      </c>
      <c r="V37" t="e">
        <f t="shared" si="15"/>
        <v>#REF!</v>
      </c>
      <c r="W37" t="e">
        <f t="shared" si="16"/>
        <v>#REF!</v>
      </c>
      <c r="X37" t="e">
        <f t="shared" si="17"/>
        <v>#REF!</v>
      </c>
      <c r="Y37" t="e">
        <f t="shared" si="18"/>
        <v>#REF!</v>
      </c>
      <c r="Z37" t="e">
        <f t="shared" si="19"/>
        <v>#REF!</v>
      </c>
      <c r="AA37" t="e">
        <f t="shared" si="20"/>
        <v>#REF!</v>
      </c>
      <c r="AD37" t="e">
        <f>Reflection!A37</f>
        <v>#REF!</v>
      </c>
      <c r="AE37" t="s">
        <v>13</v>
      </c>
      <c r="AF37" t="e">
        <f t="shared" si="21"/>
        <v>#REF!</v>
      </c>
      <c r="AG37" t="e">
        <f t="shared" si="22"/>
        <v>#REF!</v>
      </c>
      <c r="AH37" t="e">
        <f t="shared" si="23"/>
        <v>#REF!</v>
      </c>
      <c r="AI37" t="e">
        <f t="shared" si="24"/>
        <v>#REF!</v>
      </c>
      <c r="AJ37" t="e">
        <f t="shared" si="25"/>
        <v>#REF!</v>
      </c>
      <c r="AK37" t="e">
        <f t="shared" si="26"/>
        <v>#REF!</v>
      </c>
      <c r="AN37" t="e">
        <f>Reflection!A37</f>
        <v>#REF!</v>
      </c>
      <c r="AO37" t="s">
        <v>13</v>
      </c>
      <c r="AP37" t="e">
        <f t="shared" si="27"/>
        <v>#REF!</v>
      </c>
      <c r="AQ37" t="e">
        <f t="shared" si="28"/>
        <v>#REF!</v>
      </c>
      <c r="AR37" t="e">
        <f t="shared" si="29"/>
        <v>#REF!</v>
      </c>
      <c r="AS37" t="e">
        <f t="shared" si="30"/>
        <v>#REF!</v>
      </c>
      <c r="AT37" t="e">
        <f t="shared" si="31"/>
        <v>#REF!</v>
      </c>
      <c r="AU37" t="e">
        <f t="shared" si="32"/>
        <v>#REF!</v>
      </c>
      <c r="AX37" t="e">
        <f>Reflection!A37</f>
        <v>#REF!</v>
      </c>
      <c r="AY37" t="s">
        <v>13</v>
      </c>
      <c r="AZ37" t="e">
        <f t="shared" si="33"/>
        <v>#REF!</v>
      </c>
      <c r="BA37" t="e">
        <f t="shared" si="34"/>
        <v>#REF!</v>
      </c>
      <c r="BB37" t="e">
        <f t="shared" si="35"/>
        <v>#REF!</v>
      </c>
      <c r="BC37" t="e">
        <f t="shared" si="36"/>
        <v>#REF!</v>
      </c>
      <c r="BD37" t="e">
        <f t="shared" si="37"/>
        <v>#REF!</v>
      </c>
      <c r="BE37" t="e">
        <f t="shared" si="38"/>
        <v>#REF!</v>
      </c>
      <c r="BH37" t="e">
        <f>Reflection!A37</f>
        <v>#REF!</v>
      </c>
      <c r="BI37" t="e">
        <f t="shared" si="39"/>
        <v>#REF!</v>
      </c>
      <c r="BJ37" t="e">
        <f t="shared" si="40"/>
        <v>#REF!</v>
      </c>
      <c r="BK37" t="e">
        <f t="shared" si="41"/>
        <v>#REF!</v>
      </c>
      <c r="BL37" t="e">
        <f t="shared" si="42"/>
        <v>#REF!</v>
      </c>
      <c r="BM37" t="e">
        <f t="shared" si="43"/>
        <v>#REF!</v>
      </c>
      <c r="BN37" t="e">
        <f t="shared" si="3"/>
        <v>#REF!</v>
      </c>
      <c r="BR37" t="e">
        <f>Reflection!A37</f>
        <v>#REF!</v>
      </c>
      <c r="BS37" t="s">
        <v>13</v>
      </c>
      <c r="BT37" t="e">
        <f t="shared" si="44"/>
        <v>#REF!</v>
      </c>
      <c r="BU37" t="e">
        <f t="shared" si="51"/>
        <v>#REF!</v>
      </c>
      <c r="BV37" t="e">
        <f t="shared" si="45"/>
        <v>#REF!</v>
      </c>
      <c r="BW37" t="e">
        <f t="shared" si="46"/>
        <v>#REF!</v>
      </c>
      <c r="BX37" t="e">
        <f t="shared" si="47"/>
        <v>#REF!</v>
      </c>
      <c r="BY37" t="e">
        <f t="shared" si="5"/>
        <v>#REF!</v>
      </c>
    </row>
    <row r="38" spans="1:77" x14ac:dyDescent="0.15">
      <c r="A38" t="e">
        <f>Reflection!A38</f>
        <v>#REF!</v>
      </c>
      <c r="B38" t="e">
        <f t="shared" si="48"/>
        <v>#REF!</v>
      </c>
      <c r="C38" t="e">
        <f t="shared" si="49"/>
        <v>#REF!</v>
      </c>
      <c r="D38" t="e">
        <f t="shared" si="6"/>
        <v>#REF!</v>
      </c>
      <c r="E38" t="e">
        <f t="shared" si="7"/>
        <v>#REF!</v>
      </c>
      <c r="F38" t="e">
        <f t="shared" si="8"/>
        <v>#REF!</v>
      </c>
      <c r="G38" t="e">
        <f t="shared" si="50"/>
        <v>#REF!</v>
      </c>
      <c r="J38" t="e">
        <f>Reflection!A38</f>
        <v>#REF!</v>
      </c>
      <c r="K38" t="s">
        <v>13</v>
      </c>
      <c r="L38" t="e">
        <f t="shared" si="9"/>
        <v>#REF!</v>
      </c>
      <c r="M38" t="e">
        <f t="shared" si="10"/>
        <v>#REF!</v>
      </c>
      <c r="N38" t="e">
        <f t="shared" si="11"/>
        <v>#REF!</v>
      </c>
      <c r="O38" t="e">
        <f t="shared" si="12"/>
        <v>#REF!</v>
      </c>
      <c r="P38" t="e">
        <f t="shared" si="13"/>
        <v>#REF!</v>
      </c>
      <c r="Q38" t="e">
        <f t="shared" si="14"/>
        <v>#REF!</v>
      </c>
      <c r="T38" t="e">
        <f>Reflection!A38</f>
        <v>#REF!</v>
      </c>
      <c r="U38" t="s">
        <v>13</v>
      </c>
      <c r="V38" t="e">
        <f t="shared" si="15"/>
        <v>#REF!</v>
      </c>
      <c r="W38" t="e">
        <f t="shared" si="16"/>
        <v>#REF!</v>
      </c>
      <c r="X38" t="e">
        <f t="shared" si="17"/>
        <v>#REF!</v>
      </c>
      <c r="Y38" t="e">
        <f t="shared" si="18"/>
        <v>#REF!</v>
      </c>
      <c r="Z38" t="e">
        <f t="shared" si="19"/>
        <v>#REF!</v>
      </c>
      <c r="AA38" t="e">
        <f t="shared" si="20"/>
        <v>#REF!</v>
      </c>
      <c r="AD38" t="e">
        <f>Reflection!A38</f>
        <v>#REF!</v>
      </c>
      <c r="AE38" t="s">
        <v>13</v>
      </c>
      <c r="AF38" t="e">
        <f t="shared" si="21"/>
        <v>#REF!</v>
      </c>
      <c r="AG38" t="e">
        <f t="shared" si="22"/>
        <v>#REF!</v>
      </c>
      <c r="AH38" t="e">
        <f t="shared" si="23"/>
        <v>#REF!</v>
      </c>
      <c r="AI38" t="e">
        <f t="shared" si="24"/>
        <v>#REF!</v>
      </c>
      <c r="AJ38" t="e">
        <f t="shared" si="25"/>
        <v>#REF!</v>
      </c>
      <c r="AK38" t="e">
        <f t="shared" si="26"/>
        <v>#REF!</v>
      </c>
      <c r="AN38" t="e">
        <f>Reflection!A38</f>
        <v>#REF!</v>
      </c>
      <c r="AO38" t="s">
        <v>13</v>
      </c>
      <c r="AP38" t="e">
        <f t="shared" si="27"/>
        <v>#REF!</v>
      </c>
      <c r="AQ38" t="e">
        <f t="shared" si="28"/>
        <v>#REF!</v>
      </c>
      <c r="AR38" t="e">
        <f t="shared" si="29"/>
        <v>#REF!</v>
      </c>
      <c r="AS38" t="e">
        <f t="shared" si="30"/>
        <v>#REF!</v>
      </c>
      <c r="AT38" t="e">
        <f t="shared" si="31"/>
        <v>#REF!</v>
      </c>
      <c r="AU38" t="e">
        <f t="shared" si="32"/>
        <v>#REF!</v>
      </c>
      <c r="AX38" t="e">
        <f>Reflection!A38</f>
        <v>#REF!</v>
      </c>
      <c r="AY38" t="s">
        <v>13</v>
      </c>
      <c r="AZ38" t="e">
        <f t="shared" si="33"/>
        <v>#REF!</v>
      </c>
      <c r="BA38" t="e">
        <f t="shared" si="34"/>
        <v>#REF!</v>
      </c>
      <c r="BB38" t="e">
        <f t="shared" si="35"/>
        <v>#REF!</v>
      </c>
      <c r="BC38" t="e">
        <f t="shared" si="36"/>
        <v>#REF!</v>
      </c>
      <c r="BD38" t="e">
        <f t="shared" si="37"/>
        <v>#REF!</v>
      </c>
      <c r="BE38" t="e">
        <f t="shared" si="38"/>
        <v>#REF!</v>
      </c>
      <c r="BH38" t="e">
        <f>Reflection!A38</f>
        <v>#REF!</v>
      </c>
      <c r="BI38" t="e">
        <f t="shared" si="39"/>
        <v>#REF!</v>
      </c>
      <c r="BJ38" t="e">
        <f t="shared" si="40"/>
        <v>#REF!</v>
      </c>
      <c r="BK38" t="e">
        <f t="shared" si="41"/>
        <v>#REF!</v>
      </c>
      <c r="BL38" t="e">
        <f t="shared" si="42"/>
        <v>#REF!</v>
      </c>
      <c r="BM38" t="e">
        <f t="shared" si="43"/>
        <v>#REF!</v>
      </c>
      <c r="BN38" t="e">
        <f t="shared" si="3"/>
        <v>#REF!</v>
      </c>
      <c r="BR38" t="e">
        <f>Reflection!A38</f>
        <v>#REF!</v>
      </c>
      <c r="BS38" t="s">
        <v>13</v>
      </c>
      <c r="BT38" t="e">
        <f t="shared" si="44"/>
        <v>#REF!</v>
      </c>
      <c r="BU38" t="e">
        <f t="shared" si="51"/>
        <v>#REF!</v>
      </c>
      <c r="BV38" t="e">
        <f t="shared" si="45"/>
        <v>#REF!</v>
      </c>
      <c r="BW38" t="e">
        <f t="shared" si="46"/>
        <v>#REF!</v>
      </c>
      <c r="BX38" t="e">
        <f t="shared" si="47"/>
        <v>#REF!</v>
      </c>
      <c r="BY38" t="e">
        <f t="shared" si="5"/>
        <v>#REF!</v>
      </c>
    </row>
    <row r="39" spans="1:77" x14ac:dyDescent="0.15">
      <c r="A39" t="e">
        <f>Reflection!A39</f>
        <v>#REF!</v>
      </c>
      <c r="B39" t="e">
        <f t="shared" si="48"/>
        <v>#REF!</v>
      </c>
      <c r="C39" t="e">
        <f t="shared" si="49"/>
        <v>#REF!</v>
      </c>
      <c r="D39" t="e">
        <f t="shared" si="6"/>
        <v>#REF!</v>
      </c>
      <c r="E39" t="e">
        <f t="shared" si="7"/>
        <v>#REF!</v>
      </c>
      <c r="F39" t="e">
        <f t="shared" si="8"/>
        <v>#REF!</v>
      </c>
      <c r="G39" t="e">
        <f t="shared" si="50"/>
        <v>#REF!</v>
      </c>
      <c r="J39" t="e">
        <f>Reflection!A39</f>
        <v>#REF!</v>
      </c>
      <c r="K39" t="s">
        <v>13</v>
      </c>
      <c r="L39" t="e">
        <f t="shared" si="9"/>
        <v>#REF!</v>
      </c>
      <c r="M39" t="e">
        <f t="shared" si="10"/>
        <v>#REF!</v>
      </c>
      <c r="N39" t="e">
        <f t="shared" si="11"/>
        <v>#REF!</v>
      </c>
      <c r="O39" t="e">
        <f t="shared" si="12"/>
        <v>#REF!</v>
      </c>
      <c r="P39" t="e">
        <f t="shared" si="13"/>
        <v>#REF!</v>
      </c>
      <c r="Q39" t="e">
        <f t="shared" si="14"/>
        <v>#REF!</v>
      </c>
      <c r="T39" t="e">
        <f>Reflection!A39</f>
        <v>#REF!</v>
      </c>
      <c r="U39" t="s">
        <v>13</v>
      </c>
      <c r="V39" t="e">
        <f t="shared" si="15"/>
        <v>#REF!</v>
      </c>
      <c r="W39" t="e">
        <f t="shared" si="16"/>
        <v>#REF!</v>
      </c>
      <c r="X39" t="e">
        <f t="shared" si="17"/>
        <v>#REF!</v>
      </c>
      <c r="Y39" t="e">
        <f t="shared" si="18"/>
        <v>#REF!</v>
      </c>
      <c r="Z39" t="e">
        <f t="shared" si="19"/>
        <v>#REF!</v>
      </c>
      <c r="AA39" t="e">
        <f t="shared" si="20"/>
        <v>#REF!</v>
      </c>
      <c r="AD39" t="e">
        <f>Reflection!A39</f>
        <v>#REF!</v>
      </c>
      <c r="AE39" t="s">
        <v>13</v>
      </c>
      <c r="AF39" t="e">
        <f t="shared" si="21"/>
        <v>#REF!</v>
      </c>
      <c r="AG39" t="e">
        <f t="shared" si="22"/>
        <v>#REF!</v>
      </c>
      <c r="AH39" t="e">
        <f t="shared" si="23"/>
        <v>#REF!</v>
      </c>
      <c r="AI39" t="e">
        <f t="shared" si="24"/>
        <v>#REF!</v>
      </c>
      <c r="AJ39" t="e">
        <f t="shared" si="25"/>
        <v>#REF!</v>
      </c>
      <c r="AK39" t="e">
        <f t="shared" si="26"/>
        <v>#REF!</v>
      </c>
      <c r="AN39" t="e">
        <f>Reflection!A39</f>
        <v>#REF!</v>
      </c>
      <c r="AO39" t="s">
        <v>13</v>
      </c>
      <c r="AP39" t="e">
        <f t="shared" si="27"/>
        <v>#REF!</v>
      </c>
      <c r="AQ39" t="e">
        <f t="shared" si="28"/>
        <v>#REF!</v>
      </c>
      <c r="AR39" t="e">
        <f t="shared" si="29"/>
        <v>#REF!</v>
      </c>
      <c r="AS39" t="e">
        <f t="shared" si="30"/>
        <v>#REF!</v>
      </c>
      <c r="AT39" t="e">
        <f t="shared" si="31"/>
        <v>#REF!</v>
      </c>
      <c r="AU39" t="e">
        <f t="shared" si="32"/>
        <v>#REF!</v>
      </c>
      <c r="AX39" t="e">
        <f>Reflection!A39</f>
        <v>#REF!</v>
      </c>
      <c r="AY39" t="s">
        <v>13</v>
      </c>
      <c r="AZ39" t="e">
        <f t="shared" si="33"/>
        <v>#REF!</v>
      </c>
      <c r="BA39" t="e">
        <f t="shared" si="34"/>
        <v>#REF!</v>
      </c>
      <c r="BB39" t="e">
        <f t="shared" si="35"/>
        <v>#REF!</v>
      </c>
      <c r="BC39" t="e">
        <f t="shared" si="36"/>
        <v>#REF!</v>
      </c>
      <c r="BD39" t="e">
        <f t="shared" si="37"/>
        <v>#REF!</v>
      </c>
      <c r="BE39" t="e">
        <f t="shared" si="38"/>
        <v>#REF!</v>
      </c>
      <c r="BH39" t="e">
        <f>Reflection!A39</f>
        <v>#REF!</v>
      </c>
      <c r="BI39" t="e">
        <f t="shared" si="39"/>
        <v>#REF!</v>
      </c>
      <c r="BJ39" t="e">
        <f t="shared" si="40"/>
        <v>#REF!</v>
      </c>
      <c r="BK39" t="e">
        <f t="shared" si="41"/>
        <v>#REF!</v>
      </c>
      <c r="BL39" t="e">
        <f t="shared" si="42"/>
        <v>#REF!</v>
      </c>
      <c r="BM39" t="e">
        <f t="shared" si="43"/>
        <v>#REF!</v>
      </c>
      <c r="BN39" t="e">
        <f t="shared" si="3"/>
        <v>#REF!</v>
      </c>
      <c r="BR39" t="e">
        <f>Reflection!A39</f>
        <v>#REF!</v>
      </c>
      <c r="BS39" t="s">
        <v>13</v>
      </c>
      <c r="BT39" t="e">
        <f t="shared" si="44"/>
        <v>#REF!</v>
      </c>
      <c r="BU39" t="e">
        <f t="shared" si="51"/>
        <v>#REF!</v>
      </c>
      <c r="BV39" t="e">
        <f t="shared" si="45"/>
        <v>#REF!</v>
      </c>
      <c r="BW39" t="e">
        <f t="shared" si="46"/>
        <v>#REF!</v>
      </c>
      <c r="BX39" t="e">
        <f t="shared" si="47"/>
        <v>#REF!</v>
      </c>
      <c r="BY39" t="e">
        <f t="shared" si="5"/>
        <v>#REF!</v>
      </c>
    </row>
    <row r="40" spans="1:77" x14ac:dyDescent="0.15">
      <c r="A40" t="e">
        <f>Reflection!A40</f>
        <v>#REF!</v>
      </c>
      <c r="B40" t="e">
        <f t="shared" si="48"/>
        <v>#REF!</v>
      </c>
      <c r="C40" t="e">
        <f t="shared" si="49"/>
        <v>#REF!</v>
      </c>
      <c r="D40" t="e">
        <f t="shared" si="6"/>
        <v>#REF!</v>
      </c>
      <c r="E40" t="e">
        <f t="shared" si="7"/>
        <v>#REF!</v>
      </c>
      <c r="F40" t="e">
        <f t="shared" si="8"/>
        <v>#REF!</v>
      </c>
      <c r="G40" t="e">
        <f t="shared" si="50"/>
        <v>#REF!</v>
      </c>
      <c r="J40" t="e">
        <f>Reflection!A40</f>
        <v>#REF!</v>
      </c>
      <c r="K40" t="s">
        <v>13</v>
      </c>
      <c r="L40" t="e">
        <f t="shared" si="9"/>
        <v>#REF!</v>
      </c>
      <c r="M40" t="e">
        <f t="shared" si="10"/>
        <v>#REF!</v>
      </c>
      <c r="N40" t="e">
        <f t="shared" si="11"/>
        <v>#REF!</v>
      </c>
      <c r="O40" t="e">
        <f t="shared" si="12"/>
        <v>#REF!</v>
      </c>
      <c r="P40" t="e">
        <f t="shared" si="13"/>
        <v>#REF!</v>
      </c>
      <c r="Q40" t="e">
        <f t="shared" si="14"/>
        <v>#REF!</v>
      </c>
      <c r="T40" t="e">
        <f>Reflection!A40</f>
        <v>#REF!</v>
      </c>
      <c r="U40" t="s">
        <v>13</v>
      </c>
      <c r="V40" t="e">
        <f t="shared" si="15"/>
        <v>#REF!</v>
      </c>
      <c r="W40" t="e">
        <f t="shared" si="16"/>
        <v>#REF!</v>
      </c>
      <c r="X40" t="e">
        <f t="shared" si="17"/>
        <v>#REF!</v>
      </c>
      <c r="Y40" t="e">
        <f t="shared" si="18"/>
        <v>#REF!</v>
      </c>
      <c r="Z40" t="e">
        <f t="shared" si="19"/>
        <v>#REF!</v>
      </c>
      <c r="AA40" t="e">
        <f t="shared" si="20"/>
        <v>#REF!</v>
      </c>
      <c r="AD40" t="e">
        <f>Reflection!A40</f>
        <v>#REF!</v>
      </c>
      <c r="AE40" t="s">
        <v>13</v>
      </c>
      <c r="AF40" t="e">
        <f t="shared" si="21"/>
        <v>#REF!</v>
      </c>
      <c r="AG40" t="e">
        <f t="shared" si="22"/>
        <v>#REF!</v>
      </c>
      <c r="AH40" t="e">
        <f t="shared" si="23"/>
        <v>#REF!</v>
      </c>
      <c r="AI40" t="e">
        <f t="shared" si="24"/>
        <v>#REF!</v>
      </c>
      <c r="AJ40" t="e">
        <f t="shared" si="25"/>
        <v>#REF!</v>
      </c>
      <c r="AK40" t="e">
        <f t="shared" si="26"/>
        <v>#REF!</v>
      </c>
      <c r="AN40" t="e">
        <f>Reflection!A40</f>
        <v>#REF!</v>
      </c>
      <c r="AO40" t="s">
        <v>13</v>
      </c>
      <c r="AP40" t="e">
        <f t="shared" si="27"/>
        <v>#REF!</v>
      </c>
      <c r="AQ40" t="e">
        <f t="shared" si="28"/>
        <v>#REF!</v>
      </c>
      <c r="AR40" t="e">
        <f t="shared" si="29"/>
        <v>#REF!</v>
      </c>
      <c r="AS40" t="e">
        <f t="shared" si="30"/>
        <v>#REF!</v>
      </c>
      <c r="AT40" t="e">
        <f t="shared" si="31"/>
        <v>#REF!</v>
      </c>
      <c r="AU40" t="e">
        <f t="shared" si="32"/>
        <v>#REF!</v>
      </c>
      <c r="AX40" t="e">
        <f>Reflection!A40</f>
        <v>#REF!</v>
      </c>
      <c r="AY40" t="s">
        <v>13</v>
      </c>
      <c r="AZ40" t="e">
        <f t="shared" si="33"/>
        <v>#REF!</v>
      </c>
      <c r="BA40" t="e">
        <f t="shared" si="34"/>
        <v>#REF!</v>
      </c>
      <c r="BB40" t="e">
        <f t="shared" si="35"/>
        <v>#REF!</v>
      </c>
      <c r="BC40" t="e">
        <f t="shared" si="36"/>
        <v>#REF!</v>
      </c>
      <c r="BD40" t="e">
        <f t="shared" si="37"/>
        <v>#REF!</v>
      </c>
      <c r="BE40" t="e">
        <f t="shared" si="38"/>
        <v>#REF!</v>
      </c>
      <c r="BH40" t="e">
        <f>Reflection!A40</f>
        <v>#REF!</v>
      </c>
      <c r="BI40" t="e">
        <f t="shared" si="39"/>
        <v>#REF!</v>
      </c>
      <c r="BJ40" t="e">
        <f t="shared" si="40"/>
        <v>#REF!</v>
      </c>
      <c r="BK40" t="e">
        <f t="shared" si="41"/>
        <v>#REF!</v>
      </c>
      <c r="BL40" t="e">
        <f t="shared" si="42"/>
        <v>#REF!</v>
      </c>
      <c r="BM40" t="e">
        <f t="shared" si="43"/>
        <v>#REF!</v>
      </c>
      <c r="BN40" t="e">
        <f t="shared" si="3"/>
        <v>#REF!</v>
      </c>
      <c r="BR40" t="e">
        <f>Reflection!A40</f>
        <v>#REF!</v>
      </c>
      <c r="BS40" t="s">
        <v>13</v>
      </c>
      <c r="BT40" t="e">
        <f t="shared" si="44"/>
        <v>#REF!</v>
      </c>
      <c r="BU40" t="e">
        <f t="shared" si="51"/>
        <v>#REF!</v>
      </c>
      <c r="BV40" t="e">
        <f t="shared" si="45"/>
        <v>#REF!</v>
      </c>
      <c r="BW40" t="e">
        <f t="shared" si="46"/>
        <v>#REF!</v>
      </c>
      <c r="BX40" t="e">
        <f t="shared" si="47"/>
        <v>#REF!</v>
      </c>
      <c r="BY40" t="e">
        <f t="shared" si="5"/>
        <v>#REF!</v>
      </c>
    </row>
    <row r="41" spans="1:77" x14ac:dyDescent="0.15">
      <c r="A41" t="e">
        <f>Reflection!A41</f>
        <v>#REF!</v>
      </c>
      <c r="B41" t="e">
        <f t="shared" si="48"/>
        <v>#REF!</v>
      </c>
      <c r="C41" t="e">
        <f t="shared" si="49"/>
        <v>#REF!</v>
      </c>
      <c r="D41" t="e">
        <f t="shared" si="6"/>
        <v>#REF!</v>
      </c>
      <c r="E41" t="e">
        <f t="shared" si="7"/>
        <v>#REF!</v>
      </c>
      <c r="F41" t="e">
        <f t="shared" si="8"/>
        <v>#REF!</v>
      </c>
      <c r="G41" t="e">
        <f t="shared" si="50"/>
        <v>#REF!</v>
      </c>
      <c r="J41" t="e">
        <f>Reflection!A41</f>
        <v>#REF!</v>
      </c>
      <c r="K41" t="s">
        <v>13</v>
      </c>
      <c r="L41" t="e">
        <f t="shared" si="9"/>
        <v>#REF!</v>
      </c>
      <c r="M41" t="e">
        <f t="shared" si="10"/>
        <v>#REF!</v>
      </c>
      <c r="N41" t="e">
        <f t="shared" si="11"/>
        <v>#REF!</v>
      </c>
      <c r="O41" t="e">
        <f t="shared" si="12"/>
        <v>#REF!</v>
      </c>
      <c r="P41" t="e">
        <f t="shared" si="13"/>
        <v>#REF!</v>
      </c>
      <c r="Q41" t="e">
        <f t="shared" si="14"/>
        <v>#REF!</v>
      </c>
      <c r="T41" t="e">
        <f>Reflection!A41</f>
        <v>#REF!</v>
      </c>
      <c r="U41" t="s">
        <v>13</v>
      </c>
      <c r="V41" t="e">
        <f t="shared" si="15"/>
        <v>#REF!</v>
      </c>
      <c r="W41" t="e">
        <f t="shared" si="16"/>
        <v>#REF!</v>
      </c>
      <c r="X41" t="e">
        <f t="shared" si="17"/>
        <v>#REF!</v>
      </c>
      <c r="Y41" t="e">
        <f t="shared" si="18"/>
        <v>#REF!</v>
      </c>
      <c r="Z41" t="e">
        <f t="shared" si="19"/>
        <v>#REF!</v>
      </c>
      <c r="AA41" t="e">
        <f t="shared" si="20"/>
        <v>#REF!</v>
      </c>
      <c r="AD41" t="e">
        <f>Reflection!A41</f>
        <v>#REF!</v>
      </c>
      <c r="AE41" t="s">
        <v>13</v>
      </c>
      <c r="AF41" t="e">
        <f t="shared" si="21"/>
        <v>#REF!</v>
      </c>
      <c r="AG41" t="e">
        <f t="shared" si="22"/>
        <v>#REF!</v>
      </c>
      <c r="AH41" t="e">
        <f t="shared" si="23"/>
        <v>#REF!</v>
      </c>
      <c r="AI41" t="e">
        <f t="shared" si="24"/>
        <v>#REF!</v>
      </c>
      <c r="AJ41" t="e">
        <f t="shared" si="25"/>
        <v>#REF!</v>
      </c>
      <c r="AK41" t="e">
        <f t="shared" si="26"/>
        <v>#REF!</v>
      </c>
      <c r="AN41" t="e">
        <f>Reflection!A41</f>
        <v>#REF!</v>
      </c>
      <c r="AO41" t="s">
        <v>13</v>
      </c>
      <c r="AP41" t="e">
        <f t="shared" si="27"/>
        <v>#REF!</v>
      </c>
      <c r="AQ41" t="e">
        <f t="shared" si="28"/>
        <v>#REF!</v>
      </c>
      <c r="AR41" t="e">
        <f t="shared" si="29"/>
        <v>#REF!</v>
      </c>
      <c r="AS41" t="e">
        <f t="shared" si="30"/>
        <v>#REF!</v>
      </c>
      <c r="AT41" t="e">
        <f t="shared" si="31"/>
        <v>#REF!</v>
      </c>
      <c r="AU41" t="e">
        <f t="shared" si="32"/>
        <v>#REF!</v>
      </c>
      <c r="AX41" t="e">
        <f>Reflection!A41</f>
        <v>#REF!</v>
      </c>
      <c r="AY41" t="s">
        <v>13</v>
      </c>
      <c r="AZ41" t="e">
        <f t="shared" si="33"/>
        <v>#REF!</v>
      </c>
      <c r="BA41" t="e">
        <f t="shared" si="34"/>
        <v>#REF!</v>
      </c>
      <c r="BB41" t="e">
        <f t="shared" si="35"/>
        <v>#REF!</v>
      </c>
      <c r="BC41" t="e">
        <f t="shared" si="36"/>
        <v>#REF!</v>
      </c>
      <c r="BD41" t="e">
        <f t="shared" si="37"/>
        <v>#REF!</v>
      </c>
      <c r="BE41" t="e">
        <f t="shared" si="38"/>
        <v>#REF!</v>
      </c>
      <c r="BH41" t="e">
        <f>Reflection!A41</f>
        <v>#REF!</v>
      </c>
      <c r="BI41" t="e">
        <f t="shared" si="39"/>
        <v>#REF!</v>
      </c>
      <c r="BJ41" t="e">
        <f t="shared" si="40"/>
        <v>#REF!</v>
      </c>
      <c r="BK41" t="e">
        <f t="shared" si="41"/>
        <v>#REF!</v>
      </c>
      <c r="BL41" t="e">
        <f t="shared" si="42"/>
        <v>#REF!</v>
      </c>
      <c r="BM41" t="e">
        <f t="shared" si="43"/>
        <v>#REF!</v>
      </c>
      <c r="BN41" t="e">
        <f t="shared" si="3"/>
        <v>#REF!</v>
      </c>
      <c r="BR41" t="e">
        <f>Reflection!A41</f>
        <v>#REF!</v>
      </c>
      <c r="BS41" t="s">
        <v>13</v>
      </c>
      <c r="BT41" t="e">
        <f t="shared" si="44"/>
        <v>#REF!</v>
      </c>
      <c r="BU41" t="e">
        <f t="shared" si="51"/>
        <v>#REF!</v>
      </c>
      <c r="BV41" t="e">
        <f t="shared" si="45"/>
        <v>#REF!</v>
      </c>
      <c r="BW41" t="e">
        <f t="shared" si="46"/>
        <v>#REF!</v>
      </c>
      <c r="BX41" t="e">
        <f t="shared" si="47"/>
        <v>#REF!</v>
      </c>
      <c r="BY41" t="e">
        <f t="shared" si="5"/>
        <v>#REF!</v>
      </c>
    </row>
    <row r="42" spans="1:77" x14ac:dyDescent="0.15">
      <c r="A42" t="e">
        <f>Reflection!A42</f>
        <v>#REF!</v>
      </c>
      <c r="B42" t="e">
        <f t="shared" si="48"/>
        <v>#REF!</v>
      </c>
      <c r="C42" t="e">
        <f t="shared" si="49"/>
        <v>#REF!</v>
      </c>
      <c r="D42" t="e">
        <f t="shared" si="6"/>
        <v>#REF!</v>
      </c>
      <c r="E42" t="e">
        <f t="shared" si="7"/>
        <v>#REF!</v>
      </c>
      <c r="F42" t="e">
        <f t="shared" si="8"/>
        <v>#REF!</v>
      </c>
      <c r="G42" t="e">
        <f t="shared" si="50"/>
        <v>#REF!</v>
      </c>
      <c r="J42" t="e">
        <f>Reflection!A42</f>
        <v>#REF!</v>
      </c>
      <c r="K42" t="s">
        <v>13</v>
      </c>
      <c r="L42" t="e">
        <f t="shared" si="9"/>
        <v>#REF!</v>
      </c>
      <c r="M42" t="e">
        <f t="shared" si="10"/>
        <v>#REF!</v>
      </c>
      <c r="N42" t="e">
        <f t="shared" si="11"/>
        <v>#REF!</v>
      </c>
      <c r="O42" t="e">
        <f t="shared" si="12"/>
        <v>#REF!</v>
      </c>
      <c r="P42" t="e">
        <f t="shared" si="13"/>
        <v>#REF!</v>
      </c>
      <c r="Q42" t="e">
        <f t="shared" si="14"/>
        <v>#REF!</v>
      </c>
      <c r="T42" t="e">
        <f>Reflection!A42</f>
        <v>#REF!</v>
      </c>
      <c r="U42" t="s">
        <v>13</v>
      </c>
      <c r="V42" t="e">
        <f t="shared" si="15"/>
        <v>#REF!</v>
      </c>
      <c r="W42" t="e">
        <f t="shared" si="16"/>
        <v>#REF!</v>
      </c>
      <c r="X42" t="e">
        <f t="shared" si="17"/>
        <v>#REF!</v>
      </c>
      <c r="Y42" t="e">
        <f t="shared" si="18"/>
        <v>#REF!</v>
      </c>
      <c r="Z42" t="e">
        <f t="shared" si="19"/>
        <v>#REF!</v>
      </c>
      <c r="AA42" t="e">
        <f t="shared" si="20"/>
        <v>#REF!</v>
      </c>
      <c r="AD42" t="e">
        <f>Reflection!A42</f>
        <v>#REF!</v>
      </c>
      <c r="AE42" t="s">
        <v>13</v>
      </c>
      <c r="AF42" t="e">
        <f t="shared" si="21"/>
        <v>#REF!</v>
      </c>
      <c r="AG42" t="e">
        <f t="shared" si="22"/>
        <v>#REF!</v>
      </c>
      <c r="AH42" t="e">
        <f t="shared" si="23"/>
        <v>#REF!</v>
      </c>
      <c r="AI42" t="e">
        <f t="shared" si="24"/>
        <v>#REF!</v>
      </c>
      <c r="AJ42" t="e">
        <f t="shared" si="25"/>
        <v>#REF!</v>
      </c>
      <c r="AK42" t="e">
        <f t="shared" si="26"/>
        <v>#REF!</v>
      </c>
      <c r="AN42" t="e">
        <f>Reflection!A42</f>
        <v>#REF!</v>
      </c>
      <c r="AO42" t="s">
        <v>13</v>
      </c>
      <c r="AP42" t="e">
        <f t="shared" si="27"/>
        <v>#REF!</v>
      </c>
      <c r="AQ42" t="e">
        <f t="shared" si="28"/>
        <v>#REF!</v>
      </c>
      <c r="AR42" t="e">
        <f t="shared" si="29"/>
        <v>#REF!</v>
      </c>
      <c r="AS42" t="e">
        <f t="shared" si="30"/>
        <v>#REF!</v>
      </c>
      <c r="AT42" t="e">
        <f t="shared" si="31"/>
        <v>#REF!</v>
      </c>
      <c r="AU42" t="e">
        <f t="shared" si="32"/>
        <v>#REF!</v>
      </c>
      <c r="AX42" t="e">
        <f>Reflection!A42</f>
        <v>#REF!</v>
      </c>
      <c r="AY42" t="s">
        <v>13</v>
      </c>
      <c r="AZ42" t="e">
        <f t="shared" si="33"/>
        <v>#REF!</v>
      </c>
      <c r="BA42" t="e">
        <f t="shared" si="34"/>
        <v>#REF!</v>
      </c>
      <c r="BB42" t="e">
        <f t="shared" si="35"/>
        <v>#REF!</v>
      </c>
      <c r="BC42" t="e">
        <f t="shared" si="36"/>
        <v>#REF!</v>
      </c>
      <c r="BD42" t="e">
        <f t="shared" si="37"/>
        <v>#REF!</v>
      </c>
      <c r="BE42" t="e">
        <f t="shared" si="38"/>
        <v>#REF!</v>
      </c>
      <c r="BH42" t="e">
        <f>Reflection!A42</f>
        <v>#REF!</v>
      </c>
      <c r="BI42" t="e">
        <f t="shared" si="39"/>
        <v>#REF!</v>
      </c>
      <c r="BJ42" t="e">
        <f t="shared" si="40"/>
        <v>#REF!</v>
      </c>
      <c r="BK42" t="e">
        <f t="shared" si="41"/>
        <v>#REF!</v>
      </c>
      <c r="BL42" t="e">
        <f t="shared" si="42"/>
        <v>#REF!</v>
      </c>
      <c r="BM42" t="e">
        <f t="shared" si="43"/>
        <v>#REF!</v>
      </c>
      <c r="BN42" t="e">
        <f t="shared" si="3"/>
        <v>#REF!</v>
      </c>
      <c r="BR42" t="e">
        <f>Reflection!A42</f>
        <v>#REF!</v>
      </c>
      <c r="BS42" t="s">
        <v>13</v>
      </c>
      <c r="BT42" t="e">
        <f t="shared" si="44"/>
        <v>#REF!</v>
      </c>
      <c r="BU42" t="e">
        <f t="shared" si="51"/>
        <v>#REF!</v>
      </c>
      <c r="BV42" t="e">
        <f t="shared" si="45"/>
        <v>#REF!</v>
      </c>
      <c r="BW42" t="e">
        <f t="shared" si="46"/>
        <v>#REF!</v>
      </c>
      <c r="BX42" t="e">
        <f t="shared" si="47"/>
        <v>#REF!</v>
      </c>
      <c r="BY42" t="e">
        <f t="shared" si="5"/>
        <v>#REF!</v>
      </c>
    </row>
    <row r="43" spans="1:77" x14ac:dyDescent="0.15">
      <c r="A43" t="e">
        <f>Reflection!A43</f>
        <v>#REF!</v>
      </c>
      <c r="B43" t="e">
        <f t="shared" si="48"/>
        <v>#REF!</v>
      </c>
      <c r="C43" t="e">
        <f t="shared" si="49"/>
        <v>#REF!</v>
      </c>
      <c r="D43" t="e">
        <f t="shared" si="6"/>
        <v>#REF!</v>
      </c>
      <c r="E43" t="e">
        <f t="shared" si="7"/>
        <v>#REF!</v>
      </c>
      <c r="F43" t="e">
        <f t="shared" si="8"/>
        <v>#REF!</v>
      </c>
      <c r="G43" t="e">
        <f t="shared" si="50"/>
        <v>#REF!</v>
      </c>
      <c r="J43" t="e">
        <f>Reflection!A43</f>
        <v>#REF!</v>
      </c>
      <c r="K43" t="s">
        <v>13</v>
      </c>
      <c r="L43" t="e">
        <f t="shared" si="9"/>
        <v>#REF!</v>
      </c>
      <c r="M43" t="e">
        <f t="shared" si="10"/>
        <v>#REF!</v>
      </c>
      <c r="N43" t="e">
        <f t="shared" si="11"/>
        <v>#REF!</v>
      </c>
      <c r="O43" t="e">
        <f t="shared" si="12"/>
        <v>#REF!</v>
      </c>
      <c r="P43" t="e">
        <f t="shared" si="13"/>
        <v>#REF!</v>
      </c>
      <c r="Q43" t="e">
        <f t="shared" si="14"/>
        <v>#REF!</v>
      </c>
      <c r="T43" t="e">
        <f>Reflection!A43</f>
        <v>#REF!</v>
      </c>
      <c r="U43" t="s">
        <v>13</v>
      </c>
      <c r="V43" t="e">
        <f t="shared" si="15"/>
        <v>#REF!</v>
      </c>
      <c r="W43" t="e">
        <f t="shared" si="16"/>
        <v>#REF!</v>
      </c>
      <c r="X43" t="e">
        <f t="shared" si="17"/>
        <v>#REF!</v>
      </c>
      <c r="Y43" t="e">
        <f t="shared" si="18"/>
        <v>#REF!</v>
      </c>
      <c r="Z43" t="e">
        <f t="shared" si="19"/>
        <v>#REF!</v>
      </c>
      <c r="AA43" t="e">
        <f t="shared" si="20"/>
        <v>#REF!</v>
      </c>
      <c r="AD43" t="e">
        <f>Reflection!A43</f>
        <v>#REF!</v>
      </c>
      <c r="AE43" t="s">
        <v>13</v>
      </c>
      <c r="AF43" t="e">
        <f t="shared" si="21"/>
        <v>#REF!</v>
      </c>
      <c r="AG43" t="e">
        <f t="shared" si="22"/>
        <v>#REF!</v>
      </c>
      <c r="AH43" t="e">
        <f t="shared" si="23"/>
        <v>#REF!</v>
      </c>
      <c r="AI43" t="e">
        <f t="shared" si="24"/>
        <v>#REF!</v>
      </c>
      <c r="AJ43" t="e">
        <f t="shared" si="25"/>
        <v>#REF!</v>
      </c>
      <c r="AK43" t="e">
        <f t="shared" si="26"/>
        <v>#REF!</v>
      </c>
      <c r="AN43" t="e">
        <f>Reflection!A43</f>
        <v>#REF!</v>
      </c>
      <c r="AO43" t="s">
        <v>13</v>
      </c>
      <c r="AP43" t="e">
        <f t="shared" si="27"/>
        <v>#REF!</v>
      </c>
      <c r="AQ43" t="e">
        <f t="shared" si="28"/>
        <v>#REF!</v>
      </c>
      <c r="AR43" t="e">
        <f t="shared" si="29"/>
        <v>#REF!</v>
      </c>
      <c r="AS43" t="e">
        <f t="shared" si="30"/>
        <v>#REF!</v>
      </c>
      <c r="AT43" t="e">
        <f t="shared" si="31"/>
        <v>#REF!</v>
      </c>
      <c r="AU43" t="e">
        <f t="shared" si="32"/>
        <v>#REF!</v>
      </c>
      <c r="AX43" t="e">
        <f>Reflection!A43</f>
        <v>#REF!</v>
      </c>
      <c r="AY43" t="s">
        <v>13</v>
      </c>
      <c r="AZ43" t="e">
        <f t="shared" si="33"/>
        <v>#REF!</v>
      </c>
      <c r="BA43" t="e">
        <f t="shared" si="34"/>
        <v>#REF!</v>
      </c>
      <c r="BB43" t="e">
        <f t="shared" si="35"/>
        <v>#REF!</v>
      </c>
      <c r="BC43" t="e">
        <f t="shared" si="36"/>
        <v>#REF!</v>
      </c>
      <c r="BD43" t="e">
        <f t="shared" si="37"/>
        <v>#REF!</v>
      </c>
      <c r="BE43" t="e">
        <f t="shared" si="38"/>
        <v>#REF!</v>
      </c>
      <c r="BH43" t="e">
        <f>Reflection!A43</f>
        <v>#REF!</v>
      </c>
      <c r="BI43" t="e">
        <f t="shared" si="39"/>
        <v>#REF!</v>
      </c>
      <c r="BJ43" t="e">
        <f t="shared" si="40"/>
        <v>#REF!</v>
      </c>
      <c r="BK43" t="e">
        <f t="shared" si="41"/>
        <v>#REF!</v>
      </c>
      <c r="BL43" t="e">
        <f t="shared" si="42"/>
        <v>#REF!</v>
      </c>
      <c r="BM43" t="e">
        <f t="shared" si="43"/>
        <v>#REF!</v>
      </c>
      <c r="BN43" t="e">
        <f t="shared" si="3"/>
        <v>#REF!</v>
      </c>
      <c r="BR43" t="e">
        <f>Reflection!A43</f>
        <v>#REF!</v>
      </c>
      <c r="BS43" t="s">
        <v>13</v>
      </c>
      <c r="BT43" t="e">
        <f t="shared" si="44"/>
        <v>#REF!</v>
      </c>
      <c r="BU43" t="e">
        <f t="shared" si="51"/>
        <v>#REF!</v>
      </c>
      <c r="BV43" t="e">
        <f t="shared" si="45"/>
        <v>#REF!</v>
      </c>
      <c r="BW43" t="e">
        <f t="shared" si="46"/>
        <v>#REF!</v>
      </c>
      <c r="BX43" t="e">
        <f t="shared" si="47"/>
        <v>#REF!</v>
      </c>
      <c r="BY43" t="e">
        <f t="shared" si="5"/>
        <v>#REF!</v>
      </c>
    </row>
    <row r="44" spans="1:77" x14ac:dyDescent="0.15">
      <c r="A44" t="e">
        <f>Reflection!A44</f>
        <v>#REF!</v>
      </c>
      <c r="B44" t="e">
        <f t="shared" si="48"/>
        <v>#REF!</v>
      </c>
      <c r="C44" t="e">
        <f t="shared" si="49"/>
        <v>#REF!</v>
      </c>
      <c r="D44" t="e">
        <f t="shared" si="6"/>
        <v>#REF!</v>
      </c>
      <c r="E44" t="e">
        <f t="shared" si="7"/>
        <v>#REF!</v>
      </c>
      <c r="F44" t="e">
        <f t="shared" si="8"/>
        <v>#REF!</v>
      </c>
      <c r="G44" t="e">
        <f t="shared" si="50"/>
        <v>#REF!</v>
      </c>
      <c r="J44" t="e">
        <f>Reflection!A44</f>
        <v>#REF!</v>
      </c>
      <c r="K44" t="s">
        <v>13</v>
      </c>
      <c r="L44" t="e">
        <f t="shared" si="9"/>
        <v>#REF!</v>
      </c>
      <c r="M44" t="e">
        <f t="shared" si="10"/>
        <v>#REF!</v>
      </c>
      <c r="N44" t="e">
        <f t="shared" si="11"/>
        <v>#REF!</v>
      </c>
      <c r="O44" t="e">
        <f t="shared" si="12"/>
        <v>#REF!</v>
      </c>
      <c r="P44" t="e">
        <f t="shared" si="13"/>
        <v>#REF!</v>
      </c>
      <c r="Q44" t="e">
        <f t="shared" si="14"/>
        <v>#REF!</v>
      </c>
      <c r="T44" t="e">
        <f>Reflection!A44</f>
        <v>#REF!</v>
      </c>
      <c r="U44" t="s">
        <v>13</v>
      </c>
      <c r="V44" t="e">
        <f t="shared" si="15"/>
        <v>#REF!</v>
      </c>
      <c r="W44" t="e">
        <f t="shared" si="16"/>
        <v>#REF!</v>
      </c>
      <c r="X44" t="e">
        <f t="shared" si="17"/>
        <v>#REF!</v>
      </c>
      <c r="Y44" t="e">
        <f t="shared" si="18"/>
        <v>#REF!</v>
      </c>
      <c r="Z44" t="e">
        <f t="shared" si="19"/>
        <v>#REF!</v>
      </c>
      <c r="AA44" t="e">
        <f t="shared" si="20"/>
        <v>#REF!</v>
      </c>
      <c r="AD44" t="e">
        <f>Reflection!A44</f>
        <v>#REF!</v>
      </c>
      <c r="AE44" t="s">
        <v>13</v>
      </c>
      <c r="AF44" t="e">
        <f t="shared" si="21"/>
        <v>#REF!</v>
      </c>
      <c r="AG44" t="e">
        <f t="shared" si="22"/>
        <v>#REF!</v>
      </c>
      <c r="AH44" t="e">
        <f t="shared" si="23"/>
        <v>#REF!</v>
      </c>
      <c r="AI44" t="e">
        <f t="shared" si="24"/>
        <v>#REF!</v>
      </c>
      <c r="AJ44" t="e">
        <f t="shared" si="25"/>
        <v>#REF!</v>
      </c>
      <c r="AK44" t="e">
        <f t="shared" si="26"/>
        <v>#REF!</v>
      </c>
      <c r="AN44" t="e">
        <f>Reflection!A44</f>
        <v>#REF!</v>
      </c>
      <c r="AO44" t="s">
        <v>13</v>
      </c>
      <c r="AP44" t="e">
        <f t="shared" si="27"/>
        <v>#REF!</v>
      </c>
      <c r="AQ44" t="e">
        <f t="shared" si="28"/>
        <v>#REF!</v>
      </c>
      <c r="AR44" t="e">
        <f t="shared" si="29"/>
        <v>#REF!</v>
      </c>
      <c r="AS44" t="e">
        <f t="shared" si="30"/>
        <v>#REF!</v>
      </c>
      <c r="AT44" t="e">
        <f t="shared" si="31"/>
        <v>#REF!</v>
      </c>
      <c r="AU44" t="e">
        <f t="shared" si="32"/>
        <v>#REF!</v>
      </c>
      <c r="AX44" t="e">
        <f>Reflection!A44</f>
        <v>#REF!</v>
      </c>
      <c r="AY44" t="s">
        <v>13</v>
      </c>
      <c r="AZ44" t="e">
        <f t="shared" si="33"/>
        <v>#REF!</v>
      </c>
      <c r="BA44" t="e">
        <f t="shared" si="34"/>
        <v>#REF!</v>
      </c>
      <c r="BB44" t="e">
        <f t="shared" si="35"/>
        <v>#REF!</v>
      </c>
      <c r="BC44" t="e">
        <f t="shared" si="36"/>
        <v>#REF!</v>
      </c>
      <c r="BD44" t="e">
        <f t="shared" si="37"/>
        <v>#REF!</v>
      </c>
      <c r="BE44" t="e">
        <f t="shared" si="38"/>
        <v>#REF!</v>
      </c>
      <c r="BH44" t="e">
        <f>Reflection!A44</f>
        <v>#REF!</v>
      </c>
      <c r="BI44" t="e">
        <f t="shared" si="39"/>
        <v>#REF!</v>
      </c>
      <c r="BJ44" t="e">
        <f t="shared" si="40"/>
        <v>#REF!</v>
      </c>
      <c r="BK44" t="e">
        <f t="shared" si="41"/>
        <v>#REF!</v>
      </c>
      <c r="BL44" t="e">
        <f t="shared" si="42"/>
        <v>#REF!</v>
      </c>
      <c r="BM44" t="e">
        <f t="shared" si="43"/>
        <v>#REF!</v>
      </c>
      <c r="BN44" t="e">
        <f t="shared" si="3"/>
        <v>#REF!</v>
      </c>
      <c r="BR44" t="e">
        <f>Reflection!A44</f>
        <v>#REF!</v>
      </c>
      <c r="BS44" t="s">
        <v>13</v>
      </c>
      <c r="BT44" t="e">
        <f t="shared" si="44"/>
        <v>#REF!</v>
      </c>
      <c r="BU44" t="e">
        <f t="shared" si="51"/>
        <v>#REF!</v>
      </c>
      <c r="BV44" t="e">
        <f t="shared" si="45"/>
        <v>#REF!</v>
      </c>
      <c r="BW44" t="e">
        <f t="shared" si="46"/>
        <v>#REF!</v>
      </c>
      <c r="BX44" t="e">
        <f t="shared" si="47"/>
        <v>#REF!</v>
      </c>
      <c r="BY44" t="e">
        <f t="shared" si="5"/>
        <v>#REF!</v>
      </c>
    </row>
    <row r="45" spans="1:77" x14ac:dyDescent="0.15">
      <c r="A45" t="e">
        <f>Reflection!A45</f>
        <v>#REF!</v>
      </c>
      <c r="B45" t="e">
        <f t="shared" si="48"/>
        <v>#REF!</v>
      </c>
      <c r="C45" t="e">
        <f t="shared" si="49"/>
        <v>#REF!</v>
      </c>
      <c r="D45" t="e">
        <f t="shared" si="6"/>
        <v>#REF!</v>
      </c>
      <c r="E45" t="e">
        <f t="shared" si="7"/>
        <v>#REF!</v>
      </c>
      <c r="F45" t="e">
        <f t="shared" si="8"/>
        <v>#REF!</v>
      </c>
      <c r="G45" t="e">
        <f t="shared" si="50"/>
        <v>#REF!</v>
      </c>
      <c r="J45" t="e">
        <f>Reflection!A45</f>
        <v>#REF!</v>
      </c>
      <c r="K45" t="s">
        <v>13</v>
      </c>
      <c r="L45" t="e">
        <f t="shared" si="9"/>
        <v>#REF!</v>
      </c>
      <c r="M45" t="e">
        <f t="shared" si="10"/>
        <v>#REF!</v>
      </c>
      <c r="N45" t="e">
        <f t="shared" si="11"/>
        <v>#REF!</v>
      </c>
      <c r="O45" t="e">
        <f t="shared" si="12"/>
        <v>#REF!</v>
      </c>
      <c r="P45" t="e">
        <f t="shared" si="13"/>
        <v>#REF!</v>
      </c>
      <c r="Q45" t="e">
        <f t="shared" si="14"/>
        <v>#REF!</v>
      </c>
      <c r="T45" t="e">
        <f>Reflection!A45</f>
        <v>#REF!</v>
      </c>
      <c r="U45" t="s">
        <v>13</v>
      </c>
      <c r="V45" t="e">
        <f t="shared" si="15"/>
        <v>#REF!</v>
      </c>
      <c r="W45" t="e">
        <f t="shared" si="16"/>
        <v>#REF!</v>
      </c>
      <c r="X45" t="e">
        <f t="shared" si="17"/>
        <v>#REF!</v>
      </c>
      <c r="Y45" t="e">
        <f t="shared" si="18"/>
        <v>#REF!</v>
      </c>
      <c r="Z45" t="e">
        <f t="shared" si="19"/>
        <v>#REF!</v>
      </c>
      <c r="AA45" t="e">
        <f t="shared" si="20"/>
        <v>#REF!</v>
      </c>
      <c r="AD45" t="e">
        <f>Reflection!A45</f>
        <v>#REF!</v>
      </c>
      <c r="AE45" t="s">
        <v>13</v>
      </c>
      <c r="AF45" t="e">
        <f t="shared" si="21"/>
        <v>#REF!</v>
      </c>
      <c r="AG45" t="e">
        <f t="shared" si="22"/>
        <v>#REF!</v>
      </c>
      <c r="AH45" t="e">
        <f t="shared" si="23"/>
        <v>#REF!</v>
      </c>
      <c r="AI45" t="e">
        <f t="shared" si="24"/>
        <v>#REF!</v>
      </c>
      <c r="AJ45" t="e">
        <f t="shared" si="25"/>
        <v>#REF!</v>
      </c>
      <c r="AK45" t="e">
        <f t="shared" si="26"/>
        <v>#REF!</v>
      </c>
      <c r="AN45" t="e">
        <f>Reflection!A45</f>
        <v>#REF!</v>
      </c>
      <c r="AO45" t="s">
        <v>13</v>
      </c>
      <c r="AP45" t="e">
        <f t="shared" si="27"/>
        <v>#REF!</v>
      </c>
      <c r="AQ45" t="e">
        <f t="shared" si="28"/>
        <v>#REF!</v>
      </c>
      <c r="AR45" t="e">
        <f t="shared" si="29"/>
        <v>#REF!</v>
      </c>
      <c r="AS45" t="e">
        <f t="shared" si="30"/>
        <v>#REF!</v>
      </c>
      <c r="AT45" t="e">
        <f t="shared" si="31"/>
        <v>#REF!</v>
      </c>
      <c r="AU45" t="e">
        <f t="shared" si="32"/>
        <v>#REF!</v>
      </c>
      <c r="AX45" t="e">
        <f>Reflection!A45</f>
        <v>#REF!</v>
      </c>
      <c r="AY45" t="s">
        <v>13</v>
      </c>
      <c r="AZ45" t="e">
        <f t="shared" si="33"/>
        <v>#REF!</v>
      </c>
      <c r="BA45" t="e">
        <f t="shared" si="34"/>
        <v>#REF!</v>
      </c>
      <c r="BB45" t="e">
        <f t="shared" si="35"/>
        <v>#REF!</v>
      </c>
      <c r="BC45" t="e">
        <f t="shared" si="36"/>
        <v>#REF!</v>
      </c>
      <c r="BD45" t="e">
        <f t="shared" si="37"/>
        <v>#REF!</v>
      </c>
      <c r="BE45" t="e">
        <f t="shared" si="38"/>
        <v>#REF!</v>
      </c>
      <c r="BH45" t="e">
        <f>Reflection!A45</f>
        <v>#REF!</v>
      </c>
      <c r="BI45" t="e">
        <f t="shared" si="39"/>
        <v>#REF!</v>
      </c>
      <c r="BJ45" t="e">
        <f t="shared" si="40"/>
        <v>#REF!</v>
      </c>
      <c r="BK45" t="e">
        <f t="shared" si="41"/>
        <v>#REF!</v>
      </c>
      <c r="BL45" t="e">
        <f t="shared" si="42"/>
        <v>#REF!</v>
      </c>
      <c r="BM45" t="e">
        <f t="shared" si="43"/>
        <v>#REF!</v>
      </c>
      <c r="BN45" t="e">
        <f t="shared" si="3"/>
        <v>#REF!</v>
      </c>
      <c r="BR45" t="e">
        <f>Reflection!A45</f>
        <v>#REF!</v>
      </c>
      <c r="BS45" t="s">
        <v>13</v>
      </c>
      <c r="BT45" t="e">
        <f t="shared" si="44"/>
        <v>#REF!</v>
      </c>
      <c r="BU45" t="e">
        <f t="shared" si="51"/>
        <v>#REF!</v>
      </c>
      <c r="BV45" t="e">
        <f t="shared" si="45"/>
        <v>#REF!</v>
      </c>
      <c r="BW45" t="e">
        <f t="shared" si="46"/>
        <v>#REF!</v>
      </c>
      <c r="BX45" t="e">
        <f t="shared" si="47"/>
        <v>#REF!</v>
      </c>
      <c r="BY45" t="e">
        <f t="shared" si="5"/>
        <v>#REF!</v>
      </c>
    </row>
    <row r="46" spans="1:77" x14ac:dyDescent="0.15">
      <c r="A46" t="e">
        <f>Reflection!A46</f>
        <v>#REF!</v>
      </c>
      <c r="B46" t="e">
        <f t="shared" si="48"/>
        <v>#REF!</v>
      </c>
      <c r="C46" t="e">
        <f t="shared" si="49"/>
        <v>#REF!</v>
      </c>
      <c r="D46" t="e">
        <f t="shared" si="6"/>
        <v>#REF!</v>
      </c>
      <c r="E46" t="e">
        <f t="shared" si="7"/>
        <v>#REF!</v>
      </c>
      <c r="F46" t="e">
        <f t="shared" si="8"/>
        <v>#REF!</v>
      </c>
      <c r="G46" t="e">
        <f t="shared" si="50"/>
        <v>#REF!</v>
      </c>
      <c r="J46" t="e">
        <f>Reflection!A46</f>
        <v>#REF!</v>
      </c>
      <c r="K46" t="s">
        <v>13</v>
      </c>
      <c r="L46" t="e">
        <f t="shared" si="9"/>
        <v>#REF!</v>
      </c>
      <c r="M46" t="e">
        <f t="shared" si="10"/>
        <v>#REF!</v>
      </c>
      <c r="N46" t="e">
        <f t="shared" si="11"/>
        <v>#REF!</v>
      </c>
      <c r="O46" t="e">
        <f t="shared" si="12"/>
        <v>#REF!</v>
      </c>
      <c r="P46" t="e">
        <f t="shared" si="13"/>
        <v>#REF!</v>
      </c>
      <c r="Q46" t="e">
        <f t="shared" si="14"/>
        <v>#REF!</v>
      </c>
      <c r="T46" t="e">
        <f>Reflection!A46</f>
        <v>#REF!</v>
      </c>
      <c r="U46" t="s">
        <v>13</v>
      </c>
      <c r="V46" t="e">
        <f t="shared" si="15"/>
        <v>#REF!</v>
      </c>
      <c r="W46" t="e">
        <f t="shared" si="16"/>
        <v>#REF!</v>
      </c>
      <c r="X46" t="e">
        <f t="shared" si="17"/>
        <v>#REF!</v>
      </c>
      <c r="Y46" t="e">
        <f t="shared" si="18"/>
        <v>#REF!</v>
      </c>
      <c r="Z46" t="e">
        <f t="shared" si="19"/>
        <v>#REF!</v>
      </c>
      <c r="AA46" t="e">
        <f t="shared" si="20"/>
        <v>#REF!</v>
      </c>
      <c r="AD46" t="e">
        <f>Reflection!A46</f>
        <v>#REF!</v>
      </c>
      <c r="AE46" t="s">
        <v>13</v>
      </c>
      <c r="AF46" t="e">
        <f t="shared" si="21"/>
        <v>#REF!</v>
      </c>
      <c r="AG46" t="e">
        <f t="shared" si="22"/>
        <v>#REF!</v>
      </c>
      <c r="AH46" t="e">
        <f t="shared" si="23"/>
        <v>#REF!</v>
      </c>
      <c r="AI46" t="e">
        <f t="shared" si="24"/>
        <v>#REF!</v>
      </c>
      <c r="AJ46" t="e">
        <f t="shared" si="25"/>
        <v>#REF!</v>
      </c>
      <c r="AK46" t="e">
        <f t="shared" si="26"/>
        <v>#REF!</v>
      </c>
      <c r="AN46" t="e">
        <f>Reflection!A46</f>
        <v>#REF!</v>
      </c>
      <c r="AO46" t="s">
        <v>13</v>
      </c>
      <c r="AP46" t="e">
        <f t="shared" si="27"/>
        <v>#REF!</v>
      </c>
      <c r="AQ46" t="e">
        <f t="shared" si="28"/>
        <v>#REF!</v>
      </c>
      <c r="AR46" t="e">
        <f t="shared" si="29"/>
        <v>#REF!</v>
      </c>
      <c r="AS46" t="e">
        <f t="shared" si="30"/>
        <v>#REF!</v>
      </c>
      <c r="AT46" t="e">
        <f t="shared" si="31"/>
        <v>#REF!</v>
      </c>
      <c r="AU46" t="e">
        <f t="shared" si="32"/>
        <v>#REF!</v>
      </c>
      <c r="AX46" t="e">
        <f>Reflection!A46</f>
        <v>#REF!</v>
      </c>
      <c r="AY46" t="s">
        <v>13</v>
      </c>
      <c r="AZ46" t="e">
        <f t="shared" si="33"/>
        <v>#REF!</v>
      </c>
      <c r="BA46" t="e">
        <f t="shared" si="34"/>
        <v>#REF!</v>
      </c>
      <c r="BB46" t="e">
        <f t="shared" si="35"/>
        <v>#REF!</v>
      </c>
      <c r="BC46" t="e">
        <f t="shared" si="36"/>
        <v>#REF!</v>
      </c>
      <c r="BD46" t="e">
        <f t="shared" si="37"/>
        <v>#REF!</v>
      </c>
      <c r="BE46" t="e">
        <f t="shared" si="38"/>
        <v>#REF!</v>
      </c>
      <c r="BH46" t="e">
        <f>Reflection!A46</f>
        <v>#REF!</v>
      </c>
      <c r="BI46" t="e">
        <f t="shared" si="39"/>
        <v>#REF!</v>
      </c>
      <c r="BJ46" t="e">
        <f t="shared" si="40"/>
        <v>#REF!</v>
      </c>
      <c r="BK46" t="e">
        <f t="shared" si="41"/>
        <v>#REF!</v>
      </c>
      <c r="BL46" t="e">
        <f t="shared" si="42"/>
        <v>#REF!</v>
      </c>
      <c r="BM46" t="e">
        <f t="shared" si="43"/>
        <v>#REF!</v>
      </c>
      <c r="BN46" t="e">
        <f t="shared" si="3"/>
        <v>#REF!</v>
      </c>
      <c r="BR46" t="e">
        <f>Reflection!A46</f>
        <v>#REF!</v>
      </c>
      <c r="BS46" t="s">
        <v>13</v>
      </c>
      <c r="BT46" t="e">
        <f t="shared" si="44"/>
        <v>#REF!</v>
      </c>
      <c r="BU46" t="e">
        <f t="shared" si="51"/>
        <v>#REF!</v>
      </c>
      <c r="BV46" t="e">
        <f t="shared" si="45"/>
        <v>#REF!</v>
      </c>
      <c r="BW46" t="e">
        <f t="shared" si="46"/>
        <v>#REF!</v>
      </c>
      <c r="BX46" t="e">
        <f t="shared" si="47"/>
        <v>#REF!</v>
      </c>
      <c r="BY46" t="e">
        <f t="shared" si="5"/>
        <v>#REF!</v>
      </c>
    </row>
    <row r="47" spans="1:77" x14ac:dyDescent="0.15">
      <c r="A47" t="e">
        <f>Reflection!A47</f>
        <v>#REF!</v>
      </c>
      <c r="B47" t="e">
        <f t="shared" si="48"/>
        <v>#REF!</v>
      </c>
      <c r="C47" t="e">
        <f t="shared" si="49"/>
        <v>#REF!</v>
      </c>
      <c r="D47" t="e">
        <f t="shared" si="6"/>
        <v>#REF!</v>
      </c>
      <c r="E47" t="e">
        <f t="shared" si="7"/>
        <v>#REF!</v>
      </c>
      <c r="F47" t="e">
        <f t="shared" si="8"/>
        <v>#REF!</v>
      </c>
      <c r="G47" t="e">
        <f t="shared" si="50"/>
        <v>#REF!</v>
      </c>
      <c r="J47" t="e">
        <f>Reflection!A47</f>
        <v>#REF!</v>
      </c>
      <c r="K47" t="s">
        <v>13</v>
      </c>
      <c r="L47" t="e">
        <f t="shared" si="9"/>
        <v>#REF!</v>
      </c>
      <c r="M47" t="e">
        <f t="shared" si="10"/>
        <v>#REF!</v>
      </c>
      <c r="N47" t="e">
        <f t="shared" si="11"/>
        <v>#REF!</v>
      </c>
      <c r="O47" t="e">
        <f t="shared" si="12"/>
        <v>#REF!</v>
      </c>
      <c r="P47" t="e">
        <f t="shared" si="13"/>
        <v>#REF!</v>
      </c>
      <c r="Q47" t="e">
        <f t="shared" si="14"/>
        <v>#REF!</v>
      </c>
      <c r="T47" t="e">
        <f>Reflection!A47</f>
        <v>#REF!</v>
      </c>
      <c r="U47" t="s">
        <v>13</v>
      </c>
      <c r="V47" t="e">
        <f t="shared" si="15"/>
        <v>#REF!</v>
      </c>
      <c r="W47" t="e">
        <f t="shared" si="16"/>
        <v>#REF!</v>
      </c>
      <c r="X47" t="e">
        <f t="shared" si="17"/>
        <v>#REF!</v>
      </c>
      <c r="Y47" t="e">
        <f t="shared" si="18"/>
        <v>#REF!</v>
      </c>
      <c r="Z47" t="e">
        <f t="shared" si="19"/>
        <v>#REF!</v>
      </c>
      <c r="AA47" t="e">
        <f t="shared" si="20"/>
        <v>#REF!</v>
      </c>
      <c r="AD47" t="e">
        <f>Reflection!A47</f>
        <v>#REF!</v>
      </c>
      <c r="AE47" t="s">
        <v>13</v>
      </c>
      <c r="AF47" t="e">
        <f t="shared" si="21"/>
        <v>#REF!</v>
      </c>
      <c r="AG47" t="e">
        <f t="shared" si="22"/>
        <v>#REF!</v>
      </c>
      <c r="AH47" t="e">
        <f t="shared" si="23"/>
        <v>#REF!</v>
      </c>
      <c r="AI47" t="e">
        <f t="shared" si="24"/>
        <v>#REF!</v>
      </c>
      <c r="AJ47" t="e">
        <f t="shared" si="25"/>
        <v>#REF!</v>
      </c>
      <c r="AK47" t="e">
        <f t="shared" si="26"/>
        <v>#REF!</v>
      </c>
      <c r="AN47" t="e">
        <f>Reflection!A47</f>
        <v>#REF!</v>
      </c>
      <c r="AO47" t="s">
        <v>13</v>
      </c>
      <c r="AP47" t="e">
        <f t="shared" si="27"/>
        <v>#REF!</v>
      </c>
      <c r="AQ47" t="e">
        <f t="shared" si="28"/>
        <v>#REF!</v>
      </c>
      <c r="AR47" t="e">
        <f t="shared" si="29"/>
        <v>#REF!</v>
      </c>
      <c r="AS47" t="e">
        <f t="shared" si="30"/>
        <v>#REF!</v>
      </c>
      <c r="AT47" t="e">
        <f t="shared" si="31"/>
        <v>#REF!</v>
      </c>
      <c r="AU47" t="e">
        <f t="shared" si="32"/>
        <v>#REF!</v>
      </c>
      <c r="AX47" t="e">
        <f>Reflection!A47</f>
        <v>#REF!</v>
      </c>
      <c r="AY47" t="s">
        <v>13</v>
      </c>
      <c r="AZ47" t="e">
        <f t="shared" si="33"/>
        <v>#REF!</v>
      </c>
      <c r="BA47" t="e">
        <f t="shared" si="34"/>
        <v>#REF!</v>
      </c>
      <c r="BB47" t="e">
        <f t="shared" si="35"/>
        <v>#REF!</v>
      </c>
      <c r="BC47" t="e">
        <f t="shared" si="36"/>
        <v>#REF!</v>
      </c>
      <c r="BD47" t="e">
        <f t="shared" si="37"/>
        <v>#REF!</v>
      </c>
      <c r="BE47" t="e">
        <f t="shared" si="38"/>
        <v>#REF!</v>
      </c>
      <c r="BH47" t="e">
        <f>Reflection!A47</f>
        <v>#REF!</v>
      </c>
      <c r="BI47" t="e">
        <f t="shared" si="39"/>
        <v>#REF!</v>
      </c>
      <c r="BJ47" t="e">
        <f t="shared" si="40"/>
        <v>#REF!</v>
      </c>
      <c r="BK47" t="e">
        <f t="shared" si="41"/>
        <v>#REF!</v>
      </c>
      <c r="BL47" t="e">
        <f t="shared" si="42"/>
        <v>#REF!</v>
      </c>
      <c r="BM47" t="e">
        <f t="shared" si="43"/>
        <v>#REF!</v>
      </c>
      <c r="BN47" t="e">
        <f t="shared" si="3"/>
        <v>#REF!</v>
      </c>
      <c r="BR47" t="e">
        <f>Reflection!A47</f>
        <v>#REF!</v>
      </c>
      <c r="BS47" t="s">
        <v>13</v>
      </c>
      <c r="BT47" t="e">
        <f t="shared" si="44"/>
        <v>#REF!</v>
      </c>
      <c r="BU47" t="e">
        <f t="shared" si="51"/>
        <v>#REF!</v>
      </c>
      <c r="BV47" t="e">
        <f t="shared" si="45"/>
        <v>#REF!</v>
      </c>
      <c r="BW47" t="e">
        <f t="shared" si="46"/>
        <v>#REF!</v>
      </c>
      <c r="BX47" t="e">
        <f t="shared" si="47"/>
        <v>#REF!</v>
      </c>
      <c r="BY47" t="e">
        <f t="shared" si="5"/>
        <v>#REF!</v>
      </c>
    </row>
    <row r="48" spans="1:77" x14ac:dyDescent="0.15">
      <c r="A48" t="e">
        <f>Reflection!A48</f>
        <v>#REF!</v>
      </c>
      <c r="B48" t="e">
        <f t="shared" si="48"/>
        <v>#REF!</v>
      </c>
      <c r="C48" t="e">
        <f t="shared" si="49"/>
        <v>#REF!</v>
      </c>
      <c r="D48" t="e">
        <f t="shared" si="6"/>
        <v>#REF!</v>
      </c>
      <c r="E48" t="e">
        <f t="shared" si="7"/>
        <v>#REF!</v>
      </c>
      <c r="F48" t="e">
        <f t="shared" si="8"/>
        <v>#REF!</v>
      </c>
      <c r="G48" t="e">
        <f t="shared" si="50"/>
        <v>#REF!</v>
      </c>
      <c r="J48" t="e">
        <f>Reflection!A48</f>
        <v>#REF!</v>
      </c>
      <c r="K48" t="s">
        <v>13</v>
      </c>
      <c r="L48" t="e">
        <f t="shared" si="9"/>
        <v>#REF!</v>
      </c>
      <c r="M48" t="e">
        <f t="shared" si="10"/>
        <v>#REF!</v>
      </c>
      <c r="N48" t="e">
        <f t="shared" si="11"/>
        <v>#REF!</v>
      </c>
      <c r="O48" t="e">
        <f t="shared" si="12"/>
        <v>#REF!</v>
      </c>
      <c r="P48" t="e">
        <f t="shared" si="13"/>
        <v>#REF!</v>
      </c>
      <c r="Q48" t="e">
        <f t="shared" si="14"/>
        <v>#REF!</v>
      </c>
      <c r="T48" t="e">
        <f>Reflection!A48</f>
        <v>#REF!</v>
      </c>
      <c r="U48" t="s">
        <v>13</v>
      </c>
      <c r="V48" t="e">
        <f t="shared" si="15"/>
        <v>#REF!</v>
      </c>
      <c r="W48" t="e">
        <f t="shared" si="16"/>
        <v>#REF!</v>
      </c>
      <c r="X48" t="e">
        <f t="shared" si="17"/>
        <v>#REF!</v>
      </c>
      <c r="Y48" t="e">
        <f t="shared" si="18"/>
        <v>#REF!</v>
      </c>
      <c r="Z48" t="e">
        <f t="shared" si="19"/>
        <v>#REF!</v>
      </c>
      <c r="AA48" t="e">
        <f t="shared" si="20"/>
        <v>#REF!</v>
      </c>
      <c r="AD48" t="e">
        <f>Reflection!A48</f>
        <v>#REF!</v>
      </c>
      <c r="AE48" t="s">
        <v>13</v>
      </c>
      <c r="AF48" t="e">
        <f t="shared" si="21"/>
        <v>#REF!</v>
      </c>
      <c r="AG48" t="e">
        <f t="shared" si="22"/>
        <v>#REF!</v>
      </c>
      <c r="AH48" t="e">
        <f t="shared" si="23"/>
        <v>#REF!</v>
      </c>
      <c r="AI48" t="e">
        <f t="shared" si="24"/>
        <v>#REF!</v>
      </c>
      <c r="AJ48" t="e">
        <f t="shared" si="25"/>
        <v>#REF!</v>
      </c>
      <c r="AK48" t="e">
        <f t="shared" si="26"/>
        <v>#REF!</v>
      </c>
      <c r="AN48" t="e">
        <f>Reflection!A48</f>
        <v>#REF!</v>
      </c>
      <c r="AO48" t="s">
        <v>13</v>
      </c>
      <c r="AP48" t="e">
        <f t="shared" si="27"/>
        <v>#REF!</v>
      </c>
      <c r="AQ48" t="e">
        <f t="shared" si="28"/>
        <v>#REF!</v>
      </c>
      <c r="AR48" t="e">
        <f t="shared" si="29"/>
        <v>#REF!</v>
      </c>
      <c r="AS48" t="e">
        <f t="shared" si="30"/>
        <v>#REF!</v>
      </c>
      <c r="AT48" t="e">
        <f t="shared" si="31"/>
        <v>#REF!</v>
      </c>
      <c r="AU48" t="e">
        <f t="shared" si="32"/>
        <v>#REF!</v>
      </c>
      <c r="AX48" t="e">
        <f>Reflection!A48</f>
        <v>#REF!</v>
      </c>
      <c r="AY48" t="s">
        <v>13</v>
      </c>
      <c r="AZ48" t="e">
        <f t="shared" si="33"/>
        <v>#REF!</v>
      </c>
      <c r="BA48" t="e">
        <f t="shared" si="34"/>
        <v>#REF!</v>
      </c>
      <c r="BB48" t="e">
        <f t="shared" si="35"/>
        <v>#REF!</v>
      </c>
      <c r="BC48" t="e">
        <f t="shared" si="36"/>
        <v>#REF!</v>
      </c>
      <c r="BD48" t="e">
        <f t="shared" si="37"/>
        <v>#REF!</v>
      </c>
      <c r="BE48" t="e">
        <f t="shared" si="38"/>
        <v>#REF!</v>
      </c>
      <c r="BH48" t="e">
        <f>Reflection!A48</f>
        <v>#REF!</v>
      </c>
      <c r="BI48" t="e">
        <f t="shared" si="39"/>
        <v>#REF!</v>
      </c>
      <c r="BJ48" t="e">
        <f t="shared" si="40"/>
        <v>#REF!</v>
      </c>
      <c r="BK48" t="e">
        <f t="shared" si="41"/>
        <v>#REF!</v>
      </c>
      <c r="BL48" t="e">
        <f t="shared" si="42"/>
        <v>#REF!</v>
      </c>
      <c r="BM48" t="e">
        <f t="shared" si="43"/>
        <v>#REF!</v>
      </c>
      <c r="BN48" t="e">
        <f t="shared" si="3"/>
        <v>#REF!</v>
      </c>
      <c r="BR48" t="e">
        <f>Reflection!A48</f>
        <v>#REF!</v>
      </c>
      <c r="BS48" t="s">
        <v>13</v>
      </c>
      <c r="BT48" t="e">
        <f t="shared" si="44"/>
        <v>#REF!</v>
      </c>
      <c r="BU48" t="e">
        <f t="shared" si="51"/>
        <v>#REF!</v>
      </c>
      <c r="BV48" t="e">
        <f t="shared" si="45"/>
        <v>#REF!</v>
      </c>
      <c r="BW48" t="e">
        <f t="shared" si="46"/>
        <v>#REF!</v>
      </c>
      <c r="BX48" t="e">
        <f t="shared" si="47"/>
        <v>#REF!</v>
      </c>
      <c r="BY48" t="e">
        <f t="shared" si="5"/>
        <v>#REF!</v>
      </c>
    </row>
    <row r="49" spans="1:77" x14ac:dyDescent="0.15">
      <c r="A49" t="e">
        <f>Reflection!A49</f>
        <v>#REF!</v>
      </c>
      <c r="B49" t="e">
        <f t="shared" si="48"/>
        <v>#REF!</v>
      </c>
      <c r="C49" t="e">
        <f t="shared" si="49"/>
        <v>#REF!</v>
      </c>
      <c r="D49" t="e">
        <f t="shared" si="6"/>
        <v>#REF!</v>
      </c>
      <c r="E49" t="e">
        <f t="shared" si="7"/>
        <v>#REF!</v>
      </c>
      <c r="F49" t="e">
        <f t="shared" si="8"/>
        <v>#REF!</v>
      </c>
      <c r="G49" t="e">
        <f t="shared" si="50"/>
        <v>#REF!</v>
      </c>
      <c r="J49" t="e">
        <f>Reflection!A49</f>
        <v>#REF!</v>
      </c>
      <c r="K49" t="s">
        <v>13</v>
      </c>
      <c r="L49" t="e">
        <f t="shared" si="9"/>
        <v>#REF!</v>
      </c>
      <c r="M49" t="e">
        <f t="shared" si="10"/>
        <v>#REF!</v>
      </c>
      <c r="N49" t="e">
        <f t="shared" si="11"/>
        <v>#REF!</v>
      </c>
      <c r="O49" t="e">
        <f t="shared" si="12"/>
        <v>#REF!</v>
      </c>
      <c r="P49" t="e">
        <f t="shared" si="13"/>
        <v>#REF!</v>
      </c>
      <c r="Q49" t="e">
        <f t="shared" si="14"/>
        <v>#REF!</v>
      </c>
      <c r="T49" t="e">
        <f>Reflection!A49</f>
        <v>#REF!</v>
      </c>
      <c r="U49" t="s">
        <v>13</v>
      </c>
      <c r="V49" t="e">
        <f t="shared" si="15"/>
        <v>#REF!</v>
      </c>
      <c r="W49" t="e">
        <f t="shared" si="16"/>
        <v>#REF!</v>
      </c>
      <c r="X49" t="e">
        <f t="shared" si="17"/>
        <v>#REF!</v>
      </c>
      <c r="Y49" t="e">
        <f t="shared" si="18"/>
        <v>#REF!</v>
      </c>
      <c r="Z49" t="e">
        <f t="shared" si="19"/>
        <v>#REF!</v>
      </c>
      <c r="AA49" t="e">
        <f t="shared" si="20"/>
        <v>#REF!</v>
      </c>
      <c r="AD49" t="e">
        <f>Reflection!A49</f>
        <v>#REF!</v>
      </c>
      <c r="AE49" t="s">
        <v>13</v>
      </c>
      <c r="AF49" t="e">
        <f t="shared" si="21"/>
        <v>#REF!</v>
      </c>
      <c r="AG49" t="e">
        <f t="shared" si="22"/>
        <v>#REF!</v>
      </c>
      <c r="AH49" t="e">
        <f t="shared" si="23"/>
        <v>#REF!</v>
      </c>
      <c r="AI49" t="e">
        <f t="shared" si="24"/>
        <v>#REF!</v>
      </c>
      <c r="AJ49" t="e">
        <f t="shared" si="25"/>
        <v>#REF!</v>
      </c>
      <c r="AK49" t="e">
        <f t="shared" si="26"/>
        <v>#REF!</v>
      </c>
      <c r="AN49" t="e">
        <f>Reflection!A49</f>
        <v>#REF!</v>
      </c>
      <c r="AO49" t="s">
        <v>13</v>
      </c>
      <c r="AP49" t="e">
        <f t="shared" si="27"/>
        <v>#REF!</v>
      </c>
      <c r="AQ49" t="e">
        <f t="shared" si="28"/>
        <v>#REF!</v>
      </c>
      <c r="AR49" t="e">
        <f t="shared" si="29"/>
        <v>#REF!</v>
      </c>
      <c r="AS49" t="e">
        <f t="shared" si="30"/>
        <v>#REF!</v>
      </c>
      <c r="AT49" t="e">
        <f t="shared" si="31"/>
        <v>#REF!</v>
      </c>
      <c r="AU49" t="e">
        <f t="shared" si="32"/>
        <v>#REF!</v>
      </c>
      <c r="AX49" t="e">
        <f>Reflection!A49</f>
        <v>#REF!</v>
      </c>
      <c r="AY49" t="s">
        <v>13</v>
      </c>
      <c r="AZ49" t="e">
        <f t="shared" si="33"/>
        <v>#REF!</v>
      </c>
      <c r="BA49" t="e">
        <f t="shared" si="34"/>
        <v>#REF!</v>
      </c>
      <c r="BB49" t="e">
        <f t="shared" si="35"/>
        <v>#REF!</v>
      </c>
      <c r="BC49" t="e">
        <f t="shared" si="36"/>
        <v>#REF!</v>
      </c>
      <c r="BD49" t="e">
        <f t="shared" si="37"/>
        <v>#REF!</v>
      </c>
      <c r="BE49" t="e">
        <f t="shared" si="38"/>
        <v>#REF!</v>
      </c>
      <c r="BH49" t="e">
        <f>Reflection!A49</f>
        <v>#REF!</v>
      </c>
      <c r="BI49" t="e">
        <f t="shared" si="39"/>
        <v>#REF!</v>
      </c>
      <c r="BJ49" t="e">
        <f t="shared" si="40"/>
        <v>#REF!</v>
      </c>
      <c r="BK49" t="e">
        <f t="shared" si="41"/>
        <v>#REF!</v>
      </c>
      <c r="BL49" t="e">
        <f t="shared" si="42"/>
        <v>#REF!</v>
      </c>
      <c r="BM49" t="e">
        <f t="shared" si="43"/>
        <v>#REF!</v>
      </c>
      <c r="BN49" t="e">
        <f t="shared" si="3"/>
        <v>#REF!</v>
      </c>
      <c r="BR49" t="e">
        <f>Reflection!A49</f>
        <v>#REF!</v>
      </c>
      <c r="BS49" t="s">
        <v>13</v>
      </c>
      <c r="BT49" t="e">
        <f t="shared" si="44"/>
        <v>#REF!</v>
      </c>
      <c r="BU49" t="e">
        <f t="shared" si="51"/>
        <v>#REF!</v>
      </c>
      <c r="BV49" t="e">
        <f t="shared" si="45"/>
        <v>#REF!</v>
      </c>
      <c r="BW49" t="e">
        <f t="shared" si="46"/>
        <v>#REF!</v>
      </c>
      <c r="BX49" t="e">
        <f t="shared" si="47"/>
        <v>#REF!</v>
      </c>
      <c r="BY49" t="e">
        <f t="shared" si="5"/>
        <v>#REF!</v>
      </c>
    </row>
    <row r="50" spans="1:77" x14ac:dyDescent="0.15">
      <c r="A50" t="e">
        <f>Reflection!A50</f>
        <v>#REF!</v>
      </c>
      <c r="B50" t="e">
        <f t="shared" si="48"/>
        <v>#REF!</v>
      </c>
      <c r="C50" t="e">
        <f t="shared" si="49"/>
        <v>#REF!</v>
      </c>
      <c r="D50" t="e">
        <f t="shared" si="6"/>
        <v>#REF!</v>
      </c>
      <c r="E50" t="e">
        <f t="shared" si="7"/>
        <v>#REF!</v>
      </c>
      <c r="F50" t="e">
        <f t="shared" si="8"/>
        <v>#REF!</v>
      </c>
      <c r="G50" t="e">
        <f t="shared" si="50"/>
        <v>#REF!</v>
      </c>
      <c r="J50" t="e">
        <f>Reflection!A50</f>
        <v>#REF!</v>
      </c>
      <c r="K50" t="s">
        <v>13</v>
      </c>
      <c r="L50" t="e">
        <f t="shared" si="9"/>
        <v>#REF!</v>
      </c>
      <c r="M50" t="e">
        <f t="shared" si="10"/>
        <v>#REF!</v>
      </c>
      <c r="N50" t="e">
        <f t="shared" si="11"/>
        <v>#REF!</v>
      </c>
      <c r="O50" t="e">
        <f t="shared" si="12"/>
        <v>#REF!</v>
      </c>
      <c r="P50" t="e">
        <f t="shared" si="13"/>
        <v>#REF!</v>
      </c>
      <c r="Q50" t="e">
        <f t="shared" si="14"/>
        <v>#REF!</v>
      </c>
      <c r="T50" t="e">
        <f>Reflection!A50</f>
        <v>#REF!</v>
      </c>
      <c r="U50" t="s">
        <v>13</v>
      </c>
      <c r="V50" t="e">
        <f t="shared" si="15"/>
        <v>#REF!</v>
      </c>
      <c r="W50" t="e">
        <f t="shared" si="16"/>
        <v>#REF!</v>
      </c>
      <c r="X50" t="e">
        <f t="shared" si="17"/>
        <v>#REF!</v>
      </c>
      <c r="Y50" t="e">
        <f t="shared" si="18"/>
        <v>#REF!</v>
      </c>
      <c r="Z50" t="e">
        <f t="shared" si="19"/>
        <v>#REF!</v>
      </c>
      <c r="AA50" t="e">
        <f t="shared" si="20"/>
        <v>#REF!</v>
      </c>
      <c r="AD50" t="e">
        <f>Reflection!A50</f>
        <v>#REF!</v>
      </c>
      <c r="AE50" t="s">
        <v>13</v>
      </c>
      <c r="AF50" t="e">
        <f t="shared" si="21"/>
        <v>#REF!</v>
      </c>
      <c r="AG50" t="e">
        <f t="shared" si="22"/>
        <v>#REF!</v>
      </c>
      <c r="AH50" t="e">
        <f t="shared" si="23"/>
        <v>#REF!</v>
      </c>
      <c r="AI50" t="e">
        <f t="shared" si="24"/>
        <v>#REF!</v>
      </c>
      <c r="AJ50" t="e">
        <f t="shared" si="25"/>
        <v>#REF!</v>
      </c>
      <c r="AK50" t="e">
        <f t="shared" si="26"/>
        <v>#REF!</v>
      </c>
      <c r="AN50" t="e">
        <f>Reflection!A50</f>
        <v>#REF!</v>
      </c>
      <c r="AO50" t="s">
        <v>13</v>
      </c>
      <c r="AP50" t="e">
        <f t="shared" si="27"/>
        <v>#REF!</v>
      </c>
      <c r="AQ50" t="e">
        <f t="shared" si="28"/>
        <v>#REF!</v>
      </c>
      <c r="AR50" t="e">
        <f t="shared" si="29"/>
        <v>#REF!</v>
      </c>
      <c r="AS50" t="e">
        <f t="shared" si="30"/>
        <v>#REF!</v>
      </c>
      <c r="AT50" t="e">
        <f t="shared" si="31"/>
        <v>#REF!</v>
      </c>
      <c r="AU50" t="e">
        <f t="shared" si="32"/>
        <v>#REF!</v>
      </c>
      <c r="AX50" t="e">
        <f>Reflection!A50</f>
        <v>#REF!</v>
      </c>
      <c r="AY50" t="s">
        <v>13</v>
      </c>
      <c r="AZ50" t="e">
        <f t="shared" si="33"/>
        <v>#REF!</v>
      </c>
      <c r="BA50" t="e">
        <f t="shared" si="34"/>
        <v>#REF!</v>
      </c>
      <c r="BB50" t="e">
        <f t="shared" si="35"/>
        <v>#REF!</v>
      </c>
      <c r="BC50" t="e">
        <f t="shared" si="36"/>
        <v>#REF!</v>
      </c>
      <c r="BD50" t="e">
        <f t="shared" si="37"/>
        <v>#REF!</v>
      </c>
      <c r="BE50" t="e">
        <f t="shared" si="38"/>
        <v>#REF!</v>
      </c>
      <c r="BH50" t="e">
        <f>Reflection!A50</f>
        <v>#REF!</v>
      </c>
      <c r="BI50" t="e">
        <f t="shared" si="39"/>
        <v>#REF!</v>
      </c>
      <c r="BJ50" t="e">
        <f t="shared" si="40"/>
        <v>#REF!</v>
      </c>
      <c r="BK50" t="e">
        <f t="shared" si="41"/>
        <v>#REF!</v>
      </c>
      <c r="BL50" t="e">
        <f t="shared" si="42"/>
        <v>#REF!</v>
      </c>
      <c r="BM50" t="e">
        <f t="shared" si="43"/>
        <v>#REF!</v>
      </c>
      <c r="BN50" t="e">
        <f t="shared" si="3"/>
        <v>#REF!</v>
      </c>
      <c r="BR50" t="e">
        <f>Reflection!A50</f>
        <v>#REF!</v>
      </c>
      <c r="BS50" t="s">
        <v>13</v>
      </c>
      <c r="BT50" t="e">
        <f t="shared" si="44"/>
        <v>#REF!</v>
      </c>
      <c r="BU50" t="e">
        <f t="shared" si="51"/>
        <v>#REF!</v>
      </c>
      <c r="BV50" t="e">
        <f t="shared" si="45"/>
        <v>#REF!</v>
      </c>
      <c r="BW50" t="e">
        <f t="shared" si="46"/>
        <v>#REF!</v>
      </c>
      <c r="BX50" t="e">
        <f t="shared" si="47"/>
        <v>#REF!</v>
      </c>
      <c r="BY50" t="e">
        <f t="shared" si="5"/>
        <v>#REF!</v>
      </c>
    </row>
    <row r="51" spans="1:77" x14ac:dyDescent="0.15">
      <c r="A51" t="e">
        <f>Reflection!A51</f>
        <v>#REF!</v>
      </c>
      <c r="B51" t="e">
        <f t="shared" si="48"/>
        <v>#REF!</v>
      </c>
      <c r="C51" t="e">
        <f t="shared" si="49"/>
        <v>#REF!</v>
      </c>
      <c r="D51" t="e">
        <f t="shared" si="6"/>
        <v>#REF!</v>
      </c>
      <c r="E51" t="e">
        <f t="shared" si="7"/>
        <v>#REF!</v>
      </c>
      <c r="F51" t="e">
        <f t="shared" si="8"/>
        <v>#REF!</v>
      </c>
      <c r="G51" t="e">
        <f t="shared" si="50"/>
        <v>#REF!</v>
      </c>
      <c r="J51" t="e">
        <f>Reflection!A51</f>
        <v>#REF!</v>
      </c>
      <c r="K51" t="s">
        <v>13</v>
      </c>
      <c r="L51" t="e">
        <f t="shared" si="9"/>
        <v>#REF!</v>
      </c>
      <c r="M51" t="e">
        <f t="shared" si="10"/>
        <v>#REF!</v>
      </c>
      <c r="N51" t="e">
        <f t="shared" si="11"/>
        <v>#REF!</v>
      </c>
      <c r="O51" t="e">
        <f t="shared" si="12"/>
        <v>#REF!</v>
      </c>
      <c r="P51" t="e">
        <f t="shared" si="13"/>
        <v>#REF!</v>
      </c>
      <c r="Q51" t="e">
        <f t="shared" si="14"/>
        <v>#REF!</v>
      </c>
      <c r="T51" t="e">
        <f>Reflection!A51</f>
        <v>#REF!</v>
      </c>
      <c r="U51" t="s">
        <v>13</v>
      </c>
      <c r="V51" t="e">
        <f t="shared" si="15"/>
        <v>#REF!</v>
      </c>
      <c r="W51" t="e">
        <f t="shared" si="16"/>
        <v>#REF!</v>
      </c>
      <c r="X51" t="e">
        <f t="shared" si="17"/>
        <v>#REF!</v>
      </c>
      <c r="Y51" t="e">
        <f t="shared" si="18"/>
        <v>#REF!</v>
      </c>
      <c r="Z51" t="e">
        <f t="shared" si="19"/>
        <v>#REF!</v>
      </c>
      <c r="AA51" t="e">
        <f t="shared" si="20"/>
        <v>#REF!</v>
      </c>
      <c r="AD51" t="e">
        <f>Reflection!A51</f>
        <v>#REF!</v>
      </c>
      <c r="AE51" t="s">
        <v>13</v>
      </c>
      <c r="AF51" t="e">
        <f t="shared" si="21"/>
        <v>#REF!</v>
      </c>
      <c r="AG51" t="e">
        <f t="shared" si="22"/>
        <v>#REF!</v>
      </c>
      <c r="AH51" t="e">
        <f t="shared" si="23"/>
        <v>#REF!</v>
      </c>
      <c r="AI51" t="e">
        <f t="shared" si="24"/>
        <v>#REF!</v>
      </c>
      <c r="AJ51" t="e">
        <f t="shared" si="25"/>
        <v>#REF!</v>
      </c>
      <c r="AK51" t="e">
        <f t="shared" si="26"/>
        <v>#REF!</v>
      </c>
      <c r="AN51" t="e">
        <f>Reflection!A51</f>
        <v>#REF!</v>
      </c>
      <c r="AO51" t="s">
        <v>13</v>
      </c>
      <c r="AP51" t="e">
        <f t="shared" si="27"/>
        <v>#REF!</v>
      </c>
      <c r="AQ51" t="e">
        <f t="shared" si="28"/>
        <v>#REF!</v>
      </c>
      <c r="AR51" t="e">
        <f t="shared" si="29"/>
        <v>#REF!</v>
      </c>
      <c r="AS51" t="e">
        <f t="shared" si="30"/>
        <v>#REF!</v>
      </c>
      <c r="AT51" t="e">
        <f t="shared" si="31"/>
        <v>#REF!</v>
      </c>
      <c r="AU51" t="e">
        <f t="shared" si="32"/>
        <v>#REF!</v>
      </c>
      <c r="AX51" t="e">
        <f>Reflection!A51</f>
        <v>#REF!</v>
      </c>
      <c r="AY51" t="s">
        <v>13</v>
      </c>
      <c r="AZ51" t="e">
        <f t="shared" si="33"/>
        <v>#REF!</v>
      </c>
      <c r="BA51" t="e">
        <f t="shared" si="34"/>
        <v>#REF!</v>
      </c>
      <c r="BB51" t="e">
        <f t="shared" si="35"/>
        <v>#REF!</v>
      </c>
      <c r="BC51" t="e">
        <f t="shared" si="36"/>
        <v>#REF!</v>
      </c>
      <c r="BD51" t="e">
        <f t="shared" si="37"/>
        <v>#REF!</v>
      </c>
      <c r="BE51" t="e">
        <f t="shared" si="38"/>
        <v>#REF!</v>
      </c>
      <c r="BH51" t="e">
        <f>Reflection!A51</f>
        <v>#REF!</v>
      </c>
      <c r="BI51" t="e">
        <f t="shared" si="39"/>
        <v>#REF!</v>
      </c>
      <c r="BJ51" t="e">
        <f t="shared" si="40"/>
        <v>#REF!</v>
      </c>
      <c r="BK51" t="e">
        <f t="shared" si="41"/>
        <v>#REF!</v>
      </c>
      <c r="BL51" t="e">
        <f t="shared" si="42"/>
        <v>#REF!</v>
      </c>
      <c r="BM51" t="e">
        <f t="shared" si="43"/>
        <v>#REF!</v>
      </c>
      <c r="BN51" t="e">
        <f t="shared" si="3"/>
        <v>#REF!</v>
      </c>
      <c r="BR51" t="e">
        <f>Reflection!A51</f>
        <v>#REF!</v>
      </c>
      <c r="BS51" t="s">
        <v>13</v>
      </c>
      <c r="BT51" t="e">
        <f t="shared" si="44"/>
        <v>#REF!</v>
      </c>
      <c r="BU51" t="e">
        <f t="shared" si="51"/>
        <v>#REF!</v>
      </c>
      <c r="BV51" t="e">
        <f t="shared" si="45"/>
        <v>#REF!</v>
      </c>
      <c r="BW51" t="e">
        <f t="shared" si="46"/>
        <v>#REF!</v>
      </c>
      <c r="BX51" t="e">
        <f t="shared" si="47"/>
        <v>#REF!</v>
      </c>
      <c r="BY51" t="e">
        <f t="shared" si="5"/>
        <v>#REF!</v>
      </c>
    </row>
    <row r="52" spans="1:77" x14ac:dyDescent="0.15">
      <c r="A52" t="e">
        <f>Reflection!A52</f>
        <v>#REF!</v>
      </c>
      <c r="B52" t="e">
        <f t="shared" si="48"/>
        <v>#REF!</v>
      </c>
      <c r="C52" t="e">
        <f t="shared" si="49"/>
        <v>#REF!</v>
      </c>
      <c r="D52" t="e">
        <f t="shared" si="6"/>
        <v>#REF!</v>
      </c>
      <c r="E52" t="e">
        <f t="shared" si="7"/>
        <v>#REF!</v>
      </c>
      <c r="F52" t="e">
        <f t="shared" si="8"/>
        <v>#REF!</v>
      </c>
      <c r="G52" t="e">
        <f t="shared" si="50"/>
        <v>#REF!</v>
      </c>
      <c r="J52" t="e">
        <f>Reflection!A52</f>
        <v>#REF!</v>
      </c>
      <c r="K52" t="s">
        <v>13</v>
      </c>
      <c r="L52" t="e">
        <f t="shared" si="9"/>
        <v>#REF!</v>
      </c>
      <c r="M52" t="e">
        <f t="shared" si="10"/>
        <v>#REF!</v>
      </c>
      <c r="N52" t="e">
        <f t="shared" si="11"/>
        <v>#REF!</v>
      </c>
      <c r="O52" t="e">
        <f t="shared" si="12"/>
        <v>#REF!</v>
      </c>
      <c r="P52" t="e">
        <f t="shared" si="13"/>
        <v>#REF!</v>
      </c>
      <c r="Q52" t="e">
        <f t="shared" si="14"/>
        <v>#REF!</v>
      </c>
      <c r="T52" t="e">
        <f>Reflection!A52</f>
        <v>#REF!</v>
      </c>
      <c r="U52" t="s">
        <v>13</v>
      </c>
      <c r="V52" t="e">
        <f t="shared" si="15"/>
        <v>#REF!</v>
      </c>
      <c r="W52" t="e">
        <f t="shared" si="16"/>
        <v>#REF!</v>
      </c>
      <c r="X52" t="e">
        <f t="shared" si="17"/>
        <v>#REF!</v>
      </c>
      <c r="Y52" t="e">
        <f t="shared" si="18"/>
        <v>#REF!</v>
      </c>
      <c r="Z52" t="e">
        <f t="shared" si="19"/>
        <v>#REF!</v>
      </c>
      <c r="AA52" t="e">
        <f t="shared" si="20"/>
        <v>#REF!</v>
      </c>
      <c r="AD52" t="e">
        <f>Reflection!A52</f>
        <v>#REF!</v>
      </c>
      <c r="AE52" t="s">
        <v>13</v>
      </c>
      <c r="AF52" t="e">
        <f t="shared" si="21"/>
        <v>#REF!</v>
      </c>
      <c r="AG52" t="e">
        <f t="shared" si="22"/>
        <v>#REF!</v>
      </c>
      <c r="AH52" t="e">
        <f t="shared" si="23"/>
        <v>#REF!</v>
      </c>
      <c r="AI52" t="e">
        <f t="shared" si="24"/>
        <v>#REF!</v>
      </c>
      <c r="AJ52" t="e">
        <f t="shared" si="25"/>
        <v>#REF!</v>
      </c>
      <c r="AK52" t="e">
        <f t="shared" si="26"/>
        <v>#REF!</v>
      </c>
      <c r="AN52" t="e">
        <f>Reflection!A52</f>
        <v>#REF!</v>
      </c>
      <c r="AO52" t="s">
        <v>13</v>
      </c>
      <c r="AP52" t="e">
        <f t="shared" si="27"/>
        <v>#REF!</v>
      </c>
      <c r="AQ52" t="e">
        <f t="shared" si="28"/>
        <v>#REF!</v>
      </c>
      <c r="AR52" t="e">
        <f t="shared" si="29"/>
        <v>#REF!</v>
      </c>
      <c r="AS52" t="e">
        <f t="shared" si="30"/>
        <v>#REF!</v>
      </c>
      <c r="AT52" t="e">
        <f t="shared" si="31"/>
        <v>#REF!</v>
      </c>
      <c r="AU52" t="e">
        <f t="shared" si="32"/>
        <v>#REF!</v>
      </c>
      <c r="AX52" t="e">
        <f>Reflection!A52</f>
        <v>#REF!</v>
      </c>
      <c r="AY52" t="s">
        <v>13</v>
      </c>
      <c r="AZ52" t="e">
        <f t="shared" si="33"/>
        <v>#REF!</v>
      </c>
      <c r="BA52" t="e">
        <f t="shared" si="34"/>
        <v>#REF!</v>
      </c>
      <c r="BB52" t="e">
        <f t="shared" si="35"/>
        <v>#REF!</v>
      </c>
      <c r="BC52" t="e">
        <f t="shared" si="36"/>
        <v>#REF!</v>
      </c>
      <c r="BD52" t="e">
        <f t="shared" si="37"/>
        <v>#REF!</v>
      </c>
      <c r="BE52" t="e">
        <f t="shared" si="38"/>
        <v>#REF!</v>
      </c>
      <c r="BH52" t="e">
        <f>Reflection!A52</f>
        <v>#REF!</v>
      </c>
      <c r="BI52" t="e">
        <f t="shared" si="39"/>
        <v>#REF!</v>
      </c>
      <c r="BJ52" t="e">
        <f t="shared" si="40"/>
        <v>#REF!</v>
      </c>
      <c r="BK52" t="e">
        <f t="shared" si="41"/>
        <v>#REF!</v>
      </c>
      <c r="BL52" t="e">
        <f t="shared" si="42"/>
        <v>#REF!</v>
      </c>
      <c r="BM52" t="e">
        <f t="shared" si="43"/>
        <v>#REF!</v>
      </c>
      <c r="BN52" t="e">
        <f t="shared" si="3"/>
        <v>#REF!</v>
      </c>
      <c r="BR52" t="e">
        <f>Reflection!A52</f>
        <v>#REF!</v>
      </c>
      <c r="BS52" t="s">
        <v>13</v>
      </c>
      <c r="BT52" t="e">
        <f t="shared" si="44"/>
        <v>#REF!</v>
      </c>
      <c r="BU52" t="e">
        <f t="shared" si="51"/>
        <v>#REF!</v>
      </c>
      <c r="BV52" t="e">
        <f t="shared" si="45"/>
        <v>#REF!</v>
      </c>
      <c r="BW52" t="e">
        <f t="shared" si="46"/>
        <v>#REF!</v>
      </c>
      <c r="BX52" t="e">
        <f t="shared" si="47"/>
        <v>#REF!</v>
      </c>
      <c r="BY52" t="e">
        <f t="shared" si="5"/>
        <v>#REF!</v>
      </c>
    </row>
    <row r="53" spans="1:77" x14ac:dyDescent="0.15">
      <c r="A53" t="e">
        <f>Reflection!A53</f>
        <v>#REF!</v>
      </c>
      <c r="B53" t="e">
        <f t="shared" si="48"/>
        <v>#REF!</v>
      </c>
      <c r="C53" t="e">
        <f t="shared" si="49"/>
        <v>#REF!</v>
      </c>
      <c r="D53" t="e">
        <f t="shared" si="6"/>
        <v>#REF!</v>
      </c>
      <c r="E53" t="e">
        <f t="shared" si="7"/>
        <v>#REF!</v>
      </c>
      <c r="F53" t="e">
        <f t="shared" si="8"/>
        <v>#REF!</v>
      </c>
      <c r="G53" t="e">
        <f t="shared" si="50"/>
        <v>#REF!</v>
      </c>
      <c r="J53" t="e">
        <f>Reflection!A53</f>
        <v>#REF!</v>
      </c>
      <c r="K53" t="s">
        <v>13</v>
      </c>
      <c r="L53" t="e">
        <f t="shared" si="9"/>
        <v>#REF!</v>
      </c>
      <c r="M53" t="e">
        <f t="shared" si="10"/>
        <v>#REF!</v>
      </c>
      <c r="N53" t="e">
        <f t="shared" si="11"/>
        <v>#REF!</v>
      </c>
      <c r="O53" t="e">
        <f t="shared" si="12"/>
        <v>#REF!</v>
      </c>
      <c r="P53" t="e">
        <f t="shared" si="13"/>
        <v>#REF!</v>
      </c>
      <c r="Q53" t="e">
        <f t="shared" si="14"/>
        <v>#REF!</v>
      </c>
      <c r="T53" t="e">
        <f>Reflection!A53</f>
        <v>#REF!</v>
      </c>
      <c r="U53" t="s">
        <v>13</v>
      </c>
      <c r="V53" t="e">
        <f t="shared" si="15"/>
        <v>#REF!</v>
      </c>
      <c r="W53" t="e">
        <f t="shared" si="16"/>
        <v>#REF!</v>
      </c>
      <c r="X53" t="e">
        <f t="shared" si="17"/>
        <v>#REF!</v>
      </c>
      <c r="Y53" t="e">
        <f t="shared" si="18"/>
        <v>#REF!</v>
      </c>
      <c r="Z53" t="e">
        <f t="shared" si="19"/>
        <v>#REF!</v>
      </c>
      <c r="AA53" t="e">
        <f t="shared" si="20"/>
        <v>#REF!</v>
      </c>
      <c r="AD53" t="e">
        <f>Reflection!A53</f>
        <v>#REF!</v>
      </c>
      <c r="AE53" t="s">
        <v>13</v>
      </c>
      <c r="AF53" t="e">
        <f t="shared" si="21"/>
        <v>#REF!</v>
      </c>
      <c r="AG53" t="e">
        <f t="shared" si="22"/>
        <v>#REF!</v>
      </c>
      <c r="AH53" t="e">
        <f t="shared" si="23"/>
        <v>#REF!</v>
      </c>
      <c r="AI53" t="e">
        <f t="shared" si="24"/>
        <v>#REF!</v>
      </c>
      <c r="AJ53" t="e">
        <f t="shared" si="25"/>
        <v>#REF!</v>
      </c>
      <c r="AK53" t="e">
        <f t="shared" si="26"/>
        <v>#REF!</v>
      </c>
      <c r="AN53" t="e">
        <f>Reflection!A53</f>
        <v>#REF!</v>
      </c>
      <c r="AO53" t="s">
        <v>13</v>
      </c>
      <c r="AP53" t="e">
        <f t="shared" si="27"/>
        <v>#REF!</v>
      </c>
      <c r="AQ53" t="e">
        <f t="shared" si="28"/>
        <v>#REF!</v>
      </c>
      <c r="AR53" t="e">
        <f t="shared" si="29"/>
        <v>#REF!</v>
      </c>
      <c r="AS53" t="e">
        <f t="shared" si="30"/>
        <v>#REF!</v>
      </c>
      <c r="AT53" t="e">
        <f t="shared" si="31"/>
        <v>#REF!</v>
      </c>
      <c r="AU53" t="e">
        <f t="shared" si="32"/>
        <v>#REF!</v>
      </c>
      <c r="AX53" t="e">
        <f>Reflection!A53</f>
        <v>#REF!</v>
      </c>
      <c r="AY53" t="s">
        <v>13</v>
      </c>
      <c r="AZ53" t="e">
        <f t="shared" si="33"/>
        <v>#REF!</v>
      </c>
      <c r="BA53" t="e">
        <f t="shared" si="34"/>
        <v>#REF!</v>
      </c>
      <c r="BB53" t="e">
        <f t="shared" si="35"/>
        <v>#REF!</v>
      </c>
      <c r="BC53" t="e">
        <f t="shared" si="36"/>
        <v>#REF!</v>
      </c>
      <c r="BD53" t="e">
        <f t="shared" si="37"/>
        <v>#REF!</v>
      </c>
      <c r="BE53" t="e">
        <f t="shared" si="38"/>
        <v>#REF!</v>
      </c>
      <c r="BH53" t="e">
        <f>Reflection!A53</f>
        <v>#REF!</v>
      </c>
      <c r="BI53" t="e">
        <f t="shared" si="39"/>
        <v>#REF!</v>
      </c>
      <c r="BJ53" t="e">
        <f t="shared" si="40"/>
        <v>#REF!</v>
      </c>
      <c r="BK53" t="e">
        <f t="shared" si="41"/>
        <v>#REF!</v>
      </c>
      <c r="BL53" t="e">
        <f t="shared" si="42"/>
        <v>#REF!</v>
      </c>
      <c r="BM53" t="e">
        <f t="shared" si="43"/>
        <v>#REF!</v>
      </c>
      <c r="BN53" t="e">
        <f t="shared" si="3"/>
        <v>#REF!</v>
      </c>
      <c r="BR53" t="e">
        <f>Reflection!A53</f>
        <v>#REF!</v>
      </c>
      <c r="BS53" t="s">
        <v>13</v>
      </c>
      <c r="BT53" t="e">
        <f t="shared" si="44"/>
        <v>#REF!</v>
      </c>
      <c r="BU53" t="e">
        <f t="shared" si="51"/>
        <v>#REF!</v>
      </c>
      <c r="BV53" t="e">
        <f t="shared" si="45"/>
        <v>#REF!</v>
      </c>
      <c r="BW53" t="e">
        <f t="shared" si="46"/>
        <v>#REF!</v>
      </c>
      <c r="BX53" t="e">
        <f t="shared" si="47"/>
        <v>#REF!</v>
      </c>
      <c r="BY53" t="e">
        <f t="shared" si="5"/>
        <v>#REF!</v>
      </c>
    </row>
    <row r="54" spans="1:77" x14ac:dyDescent="0.15">
      <c r="A54" t="e">
        <f>Reflection!A54</f>
        <v>#REF!</v>
      </c>
      <c r="B54" t="e">
        <f t="shared" si="48"/>
        <v>#REF!</v>
      </c>
      <c r="C54" t="e">
        <f t="shared" si="49"/>
        <v>#REF!</v>
      </c>
      <c r="D54" t="e">
        <f t="shared" si="6"/>
        <v>#REF!</v>
      </c>
      <c r="E54" t="e">
        <f t="shared" si="7"/>
        <v>#REF!</v>
      </c>
      <c r="F54" t="e">
        <f t="shared" si="8"/>
        <v>#REF!</v>
      </c>
      <c r="G54" t="e">
        <f t="shared" si="50"/>
        <v>#REF!</v>
      </c>
      <c r="J54" t="e">
        <f>Reflection!A54</f>
        <v>#REF!</v>
      </c>
      <c r="K54" t="s">
        <v>13</v>
      </c>
      <c r="L54" t="e">
        <f t="shared" si="9"/>
        <v>#REF!</v>
      </c>
      <c r="M54" t="e">
        <f t="shared" si="10"/>
        <v>#REF!</v>
      </c>
      <c r="N54" t="e">
        <f t="shared" si="11"/>
        <v>#REF!</v>
      </c>
      <c r="O54" t="e">
        <f t="shared" si="12"/>
        <v>#REF!</v>
      </c>
      <c r="P54" t="e">
        <f t="shared" si="13"/>
        <v>#REF!</v>
      </c>
      <c r="Q54" t="e">
        <f t="shared" si="14"/>
        <v>#REF!</v>
      </c>
      <c r="T54" t="e">
        <f>Reflection!A54</f>
        <v>#REF!</v>
      </c>
      <c r="U54" t="s">
        <v>13</v>
      </c>
      <c r="V54" t="e">
        <f t="shared" si="15"/>
        <v>#REF!</v>
      </c>
      <c r="W54" t="e">
        <f t="shared" si="16"/>
        <v>#REF!</v>
      </c>
      <c r="X54" t="e">
        <f t="shared" si="17"/>
        <v>#REF!</v>
      </c>
      <c r="Y54" t="e">
        <f t="shared" si="18"/>
        <v>#REF!</v>
      </c>
      <c r="Z54" t="e">
        <f t="shared" si="19"/>
        <v>#REF!</v>
      </c>
      <c r="AA54" t="e">
        <f t="shared" si="20"/>
        <v>#REF!</v>
      </c>
      <c r="AD54" t="e">
        <f>Reflection!A54</f>
        <v>#REF!</v>
      </c>
      <c r="AE54" t="s">
        <v>13</v>
      </c>
      <c r="AF54" t="e">
        <f t="shared" si="21"/>
        <v>#REF!</v>
      </c>
      <c r="AG54" t="e">
        <f t="shared" si="22"/>
        <v>#REF!</v>
      </c>
      <c r="AH54" t="e">
        <f t="shared" si="23"/>
        <v>#REF!</v>
      </c>
      <c r="AI54" t="e">
        <f t="shared" si="24"/>
        <v>#REF!</v>
      </c>
      <c r="AJ54" t="e">
        <f t="shared" si="25"/>
        <v>#REF!</v>
      </c>
      <c r="AK54" t="e">
        <f t="shared" si="26"/>
        <v>#REF!</v>
      </c>
      <c r="AN54" t="e">
        <f>Reflection!A54</f>
        <v>#REF!</v>
      </c>
      <c r="AO54" t="s">
        <v>13</v>
      </c>
      <c r="AP54" t="e">
        <f t="shared" si="27"/>
        <v>#REF!</v>
      </c>
      <c r="AQ54" t="e">
        <f t="shared" si="28"/>
        <v>#REF!</v>
      </c>
      <c r="AR54" t="e">
        <f t="shared" si="29"/>
        <v>#REF!</v>
      </c>
      <c r="AS54" t="e">
        <f t="shared" si="30"/>
        <v>#REF!</v>
      </c>
      <c r="AT54" t="e">
        <f t="shared" si="31"/>
        <v>#REF!</v>
      </c>
      <c r="AU54" t="e">
        <f t="shared" si="32"/>
        <v>#REF!</v>
      </c>
      <c r="AX54" t="e">
        <f>Reflection!A54</f>
        <v>#REF!</v>
      </c>
      <c r="AY54" t="s">
        <v>13</v>
      </c>
      <c r="AZ54" t="e">
        <f t="shared" si="33"/>
        <v>#REF!</v>
      </c>
      <c r="BA54" t="e">
        <f t="shared" si="34"/>
        <v>#REF!</v>
      </c>
      <c r="BB54" t="e">
        <f t="shared" si="35"/>
        <v>#REF!</v>
      </c>
      <c r="BC54" t="e">
        <f t="shared" si="36"/>
        <v>#REF!</v>
      </c>
      <c r="BD54" t="e">
        <f t="shared" si="37"/>
        <v>#REF!</v>
      </c>
      <c r="BE54" t="e">
        <f t="shared" si="38"/>
        <v>#REF!</v>
      </c>
      <c r="BH54" t="e">
        <f>Reflection!A54</f>
        <v>#REF!</v>
      </c>
      <c r="BI54" t="e">
        <f t="shared" si="39"/>
        <v>#REF!</v>
      </c>
      <c r="BJ54" t="e">
        <f t="shared" si="40"/>
        <v>#REF!</v>
      </c>
      <c r="BK54" t="e">
        <f t="shared" si="41"/>
        <v>#REF!</v>
      </c>
      <c r="BL54" t="e">
        <f t="shared" si="42"/>
        <v>#REF!</v>
      </c>
      <c r="BM54" t="e">
        <f t="shared" si="43"/>
        <v>#REF!</v>
      </c>
      <c r="BN54" t="e">
        <f t="shared" si="3"/>
        <v>#REF!</v>
      </c>
      <c r="BR54" t="e">
        <f>Reflection!A54</f>
        <v>#REF!</v>
      </c>
      <c r="BS54" t="s">
        <v>13</v>
      </c>
      <c r="BT54" t="e">
        <f t="shared" si="44"/>
        <v>#REF!</v>
      </c>
      <c r="BU54" t="e">
        <f t="shared" si="51"/>
        <v>#REF!</v>
      </c>
      <c r="BV54" t="e">
        <f t="shared" si="45"/>
        <v>#REF!</v>
      </c>
      <c r="BW54" t="e">
        <f t="shared" si="46"/>
        <v>#REF!</v>
      </c>
      <c r="BX54" t="e">
        <f t="shared" si="47"/>
        <v>#REF!</v>
      </c>
      <c r="BY54" t="e">
        <f t="shared" si="5"/>
        <v>#REF!</v>
      </c>
    </row>
    <row r="55" spans="1:77" x14ac:dyDescent="0.15">
      <c r="A55" t="e">
        <f>Reflection!A55</f>
        <v>#REF!</v>
      </c>
      <c r="B55" t="e">
        <f t="shared" si="48"/>
        <v>#REF!</v>
      </c>
      <c r="C55" t="e">
        <f t="shared" si="49"/>
        <v>#REF!</v>
      </c>
      <c r="D55" t="e">
        <f t="shared" si="6"/>
        <v>#REF!</v>
      </c>
      <c r="E55" t="e">
        <f t="shared" si="7"/>
        <v>#REF!</v>
      </c>
      <c r="F55" t="e">
        <f t="shared" si="8"/>
        <v>#REF!</v>
      </c>
      <c r="G55" t="e">
        <f t="shared" si="50"/>
        <v>#REF!</v>
      </c>
      <c r="J55" t="e">
        <f>Reflection!A55</f>
        <v>#REF!</v>
      </c>
      <c r="K55" t="s">
        <v>13</v>
      </c>
      <c r="L55" t="e">
        <f t="shared" si="9"/>
        <v>#REF!</v>
      </c>
      <c r="M55" t="e">
        <f t="shared" si="10"/>
        <v>#REF!</v>
      </c>
      <c r="N55" t="e">
        <f t="shared" si="11"/>
        <v>#REF!</v>
      </c>
      <c r="O55" t="e">
        <f t="shared" si="12"/>
        <v>#REF!</v>
      </c>
      <c r="P55" t="e">
        <f t="shared" si="13"/>
        <v>#REF!</v>
      </c>
      <c r="Q55" t="e">
        <f t="shared" si="14"/>
        <v>#REF!</v>
      </c>
      <c r="T55" t="e">
        <f>Reflection!A55</f>
        <v>#REF!</v>
      </c>
      <c r="U55" t="s">
        <v>13</v>
      </c>
      <c r="V55" t="e">
        <f t="shared" si="15"/>
        <v>#REF!</v>
      </c>
      <c r="W55" t="e">
        <f t="shared" si="16"/>
        <v>#REF!</v>
      </c>
      <c r="X55" t="e">
        <f t="shared" si="17"/>
        <v>#REF!</v>
      </c>
      <c r="Y55" t="e">
        <f t="shared" si="18"/>
        <v>#REF!</v>
      </c>
      <c r="Z55" t="e">
        <f t="shared" si="19"/>
        <v>#REF!</v>
      </c>
      <c r="AA55" t="e">
        <f t="shared" si="20"/>
        <v>#REF!</v>
      </c>
      <c r="AD55" t="e">
        <f>Reflection!A55</f>
        <v>#REF!</v>
      </c>
      <c r="AE55" t="s">
        <v>13</v>
      </c>
      <c r="AF55" t="e">
        <f t="shared" si="21"/>
        <v>#REF!</v>
      </c>
      <c r="AG55" t="e">
        <f t="shared" si="22"/>
        <v>#REF!</v>
      </c>
      <c r="AH55" t="e">
        <f t="shared" si="23"/>
        <v>#REF!</v>
      </c>
      <c r="AI55" t="e">
        <f t="shared" si="24"/>
        <v>#REF!</v>
      </c>
      <c r="AJ55" t="e">
        <f t="shared" si="25"/>
        <v>#REF!</v>
      </c>
      <c r="AK55" t="e">
        <f t="shared" si="26"/>
        <v>#REF!</v>
      </c>
      <c r="AN55" t="e">
        <f>Reflection!A55</f>
        <v>#REF!</v>
      </c>
      <c r="AO55" t="s">
        <v>13</v>
      </c>
      <c r="AP55" t="e">
        <f t="shared" si="27"/>
        <v>#REF!</v>
      </c>
      <c r="AQ55" t="e">
        <f t="shared" si="28"/>
        <v>#REF!</v>
      </c>
      <c r="AR55" t="e">
        <f t="shared" si="29"/>
        <v>#REF!</v>
      </c>
      <c r="AS55" t="e">
        <f t="shared" si="30"/>
        <v>#REF!</v>
      </c>
      <c r="AT55" t="e">
        <f t="shared" si="31"/>
        <v>#REF!</v>
      </c>
      <c r="AU55" t="e">
        <f t="shared" si="32"/>
        <v>#REF!</v>
      </c>
      <c r="AX55" t="e">
        <f>Reflection!A55</f>
        <v>#REF!</v>
      </c>
      <c r="AY55" t="s">
        <v>13</v>
      </c>
      <c r="AZ55" t="e">
        <f t="shared" si="33"/>
        <v>#REF!</v>
      </c>
      <c r="BA55" t="e">
        <f t="shared" si="34"/>
        <v>#REF!</v>
      </c>
      <c r="BB55" t="e">
        <f t="shared" si="35"/>
        <v>#REF!</v>
      </c>
      <c r="BC55" t="e">
        <f t="shared" si="36"/>
        <v>#REF!</v>
      </c>
      <c r="BD55" t="e">
        <f t="shared" si="37"/>
        <v>#REF!</v>
      </c>
      <c r="BE55" t="e">
        <f t="shared" si="38"/>
        <v>#REF!</v>
      </c>
      <c r="BH55" t="e">
        <f>Reflection!A55</f>
        <v>#REF!</v>
      </c>
      <c r="BI55" t="e">
        <f t="shared" si="39"/>
        <v>#REF!</v>
      </c>
      <c r="BJ55" t="e">
        <f t="shared" si="40"/>
        <v>#REF!</v>
      </c>
      <c r="BK55" t="e">
        <f t="shared" si="41"/>
        <v>#REF!</v>
      </c>
      <c r="BL55" t="e">
        <f t="shared" si="42"/>
        <v>#REF!</v>
      </c>
      <c r="BM55" t="e">
        <f t="shared" si="43"/>
        <v>#REF!</v>
      </c>
      <c r="BN55" t="e">
        <f t="shared" si="3"/>
        <v>#REF!</v>
      </c>
      <c r="BR55" t="e">
        <f>Reflection!A55</f>
        <v>#REF!</v>
      </c>
      <c r="BS55" t="s">
        <v>13</v>
      </c>
      <c r="BT55" t="e">
        <f t="shared" si="44"/>
        <v>#REF!</v>
      </c>
      <c r="BU55" t="e">
        <f t="shared" si="51"/>
        <v>#REF!</v>
      </c>
      <c r="BV55" t="e">
        <f t="shared" si="45"/>
        <v>#REF!</v>
      </c>
      <c r="BW55" t="e">
        <f t="shared" si="46"/>
        <v>#REF!</v>
      </c>
      <c r="BX55" t="e">
        <f t="shared" si="47"/>
        <v>#REF!</v>
      </c>
      <c r="BY55" t="e">
        <f t="shared" si="5"/>
        <v>#REF!</v>
      </c>
    </row>
    <row r="56" spans="1:77" x14ac:dyDescent="0.15">
      <c r="A56" t="e">
        <f>Reflection!A56</f>
        <v>#REF!</v>
      </c>
      <c r="B56" t="e">
        <f t="shared" si="48"/>
        <v>#REF!</v>
      </c>
      <c r="C56" t="e">
        <f t="shared" si="49"/>
        <v>#REF!</v>
      </c>
      <c r="D56" t="e">
        <f t="shared" si="6"/>
        <v>#REF!</v>
      </c>
      <c r="E56" t="e">
        <f t="shared" si="7"/>
        <v>#REF!</v>
      </c>
      <c r="F56" t="e">
        <f t="shared" si="8"/>
        <v>#REF!</v>
      </c>
      <c r="G56" t="e">
        <f t="shared" si="50"/>
        <v>#REF!</v>
      </c>
      <c r="J56" t="e">
        <f>Reflection!A56</f>
        <v>#REF!</v>
      </c>
      <c r="K56" t="s">
        <v>13</v>
      </c>
      <c r="L56" t="e">
        <f t="shared" si="9"/>
        <v>#REF!</v>
      </c>
      <c r="M56" t="e">
        <f t="shared" si="10"/>
        <v>#REF!</v>
      </c>
      <c r="N56" t="e">
        <f t="shared" si="11"/>
        <v>#REF!</v>
      </c>
      <c r="O56" t="e">
        <f t="shared" si="12"/>
        <v>#REF!</v>
      </c>
      <c r="P56" t="e">
        <f t="shared" si="13"/>
        <v>#REF!</v>
      </c>
      <c r="Q56" t="e">
        <f t="shared" si="14"/>
        <v>#REF!</v>
      </c>
      <c r="T56" t="e">
        <f>Reflection!A56</f>
        <v>#REF!</v>
      </c>
      <c r="U56" t="s">
        <v>13</v>
      </c>
      <c r="V56" t="e">
        <f t="shared" si="15"/>
        <v>#REF!</v>
      </c>
      <c r="W56" t="e">
        <f t="shared" si="16"/>
        <v>#REF!</v>
      </c>
      <c r="X56" t="e">
        <f t="shared" si="17"/>
        <v>#REF!</v>
      </c>
      <c r="Y56" t="e">
        <f t="shared" si="18"/>
        <v>#REF!</v>
      </c>
      <c r="Z56" t="e">
        <f t="shared" si="19"/>
        <v>#REF!</v>
      </c>
      <c r="AA56" t="e">
        <f t="shared" si="20"/>
        <v>#REF!</v>
      </c>
      <c r="AD56" t="e">
        <f>Reflection!A56</f>
        <v>#REF!</v>
      </c>
      <c r="AE56" t="s">
        <v>13</v>
      </c>
      <c r="AF56" t="e">
        <f t="shared" si="21"/>
        <v>#REF!</v>
      </c>
      <c r="AG56" t="e">
        <f t="shared" si="22"/>
        <v>#REF!</v>
      </c>
      <c r="AH56" t="e">
        <f t="shared" si="23"/>
        <v>#REF!</v>
      </c>
      <c r="AI56" t="e">
        <f t="shared" si="24"/>
        <v>#REF!</v>
      </c>
      <c r="AJ56" t="e">
        <f t="shared" si="25"/>
        <v>#REF!</v>
      </c>
      <c r="AK56" t="e">
        <f t="shared" si="26"/>
        <v>#REF!</v>
      </c>
      <c r="AN56" t="e">
        <f>Reflection!A56</f>
        <v>#REF!</v>
      </c>
      <c r="AO56" t="s">
        <v>13</v>
      </c>
      <c r="AP56" t="e">
        <f t="shared" si="27"/>
        <v>#REF!</v>
      </c>
      <c r="AQ56" t="e">
        <f t="shared" si="28"/>
        <v>#REF!</v>
      </c>
      <c r="AR56" t="e">
        <f t="shared" si="29"/>
        <v>#REF!</v>
      </c>
      <c r="AS56" t="e">
        <f t="shared" si="30"/>
        <v>#REF!</v>
      </c>
      <c r="AT56" t="e">
        <f t="shared" si="31"/>
        <v>#REF!</v>
      </c>
      <c r="AU56" t="e">
        <f t="shared" si="32"/>
        <v>#REF!</v>
      </c>
      <c r="AX56" t="e">
        <f>Reflection!A56</f>
        <v>#REF!</v>
      </c>
      <c r="AY56" t="s">
        <v>13</v>
      </c>
      <c r="AZ56" t="e">
        <f t="shared" si="33"/>
        <v>#REF!</v>
      </c>
      <c r="BA56" t="e">
        <f t="shared" si="34"/>
        <v>#REF!</v>
      </c>
      <c r="BB56" t="e">
        <f t="shared" si="35"/>
        <v>#REF!</v>
      </c>
      <c r="BC56" t="e">
        <f t="shared" si="36"/>
        <v>#REF!</v>
      </c>
      <c r="BD56" t="e">
        <f t="shared" si="37"/>
        <v>#REF!</v>
      </c>
      <c r="BE56" t="e">
        <f t="shared" si="38"/>
        <v>#REF!</v>
      </c>
      <c r="BH56" t="e">
        <f>Reflection!A56</f>
        <v>#REF!</v>
      </c>
      <c r="BI56" t="e">
        <f t="shared" si="39"/>
        <v>#REF!</v>
      </c>
      <c r="BJ56" t="e">
        <f t="shared" si="40"/>
        <v>#REF!</v>
      </c>
      <c r="BK56" t="e">
        <f t="shared" si="41"/>
        <v>#REF!</v>
      </c>
      <c r="BL56" t="e">
        <f t="shared" si="42"/>
        <v>#REF!</v>
      </c>
      <c r="BM56" t="e">
        <f t="shared" si="43"/>
        <v>#REF!</v>
      </c>
      <c r="BN56" t="e">
        <f t="shared" si="3"/>
        <v>#REF!</v>
      </c>
      <c r="BR56" t="e">
        <f>Reflection!A56</f>
        <v>#REF!</v>
      </c>
      <c r="BS56" t="s">
        <v>13</v>
      </c>
      <c r="BT56" t="e">
        <f t="shared" si="44"/>
        <v>#REF!</v>
      </c>
      <c r="BU56" t="e">
        <f t="shared" si="51"/>
        <v>#REF!</v>
      </c>
      <c r="BV56" t="e">
        <f t="shared" si="45"/>
        <v>#REF!</v>
      </c>
      <c r="BW56" t="e">
        <f t="shared" si="46"/>
        <v>#REF!</v>
      </c>
      <c r="BX56" t="e">
        <f t="shared" si="47"/>
        <v>#REF!</v>
      </c>
      <c r="BY56" t="e">
        <f t="shared" si="5"/>
        <v>#REF!</v>
      </c>
    </row>
    <row r="57" spans="1:77" x14ac:dyDescent="0.15">
      <c r="A57" t="e">
        <f>Reflection!A57</f>
        <v>#REF!</v>
      </c>
      <c r="B57" t="e">
        <f t="shared" si="48"/>
        <v>#REF!</v>
      </c>
      <c r="C57" t="e">
        <f t="shared" si="49"/>
        <v>#REF!</v>
      </c>
      <c r="D57" t="e">
        <f t="shared" si="6"/>
        <v>#REF!</v>
      </c>
      <c r="E57" t="e">
        <f t="shared" si="7"/>
        <v>#REF!</v>
      </c>
      <c r="F57" t="e">
        <f t="shared" si="8"/>
        <v>#REF!</v>
      </c>
      <c r="G57" t="e">
        <f t="shared" si="50"/>
        <v>#REF!</v>
      </c>
      <c r="J57" t="e">
        <f>Reflection!A57</f>
        <v>#REF!</v>
      </c>
      <c r="K57" t="s">
        <v>13</v>
      </c>
      <c r="L57" t="e">
        <f t="shared" si="9"/>
        <v>#REF!</v>
      </c>
      <c r="M57" t="e">
        <f t="shared" si="10"/>
        <v>#REF!</v>
      </c>
      <c r="N57" t="e">
        <f t="shared" si="11"/>
        <v>#REF!</v>
      </c>
      <c r="O57" t="e">
        <f t="shared" si="12"/>
        <v>#REF!</v>
      </c>
      <c r="P57" t="e">
        <f t="shared" si="13"/>
        <v>#REF!</v>
      </c>
      <c r="Q57" t="e">
        <f t="shared" si="14"/>
        <v>#REF!</v>
      </c>
      <c r="T57" t="e">
        <f>Reflection!A57</f>
        <v>#REF!</v>
      </c>
      <c r="U57" t="s">
        <v>13</v>
      </c>
      <c r="V57" t="e">
        <f t="shared" si="15"/>
        <v>#REF!</v>
      </c>
      <c r="W57" t="e">
        <f t="shared" si="16"/>
        <v>#REF!</v>
      </c>
      <c r="X57" t="e">
        <f t="shared" si="17"/>
        <v>#REF!</v>
      </c>
      <c r="Y57" t="e">
        <f t="shared" si="18"/>
        <v>#REF!</v>
      </c>
      <c r="Z57" t="e">
        <f t="shared" si="19"/>
        <v>#REF!</v>
      </c>
      <c r="AA57" t="e">
        <f t="shared" si="20"/>
        <v>#REF!</v>
      </c>
      <c r="AD57" t="e">
        <f>Reflection!A57</f>
        <v>#REF!</v>
      </c>
      <c r="AE57" t="s">
        <v>13</v>
      </c>
      <c r="AF57" t="e">
        <f t="shared" si="21"/>
        <v>#REF!</v>
      </c>
      <c r="AG57" t="e">
        <f t="shared" si="22"/>
        <v>#REF!</v>
      </c>
      <c r="AH57" t="e">
        <f t="shared" si="23"/>
        <v>#REF!</v>
      </c>
      <c r="AI57" t="e">
        <f t="shared" si="24"/>
        <v>#REF!</v>
      </c>
      <c r="AJ57" t="e">
        <f t="shared" si="25"/>
        <v>#REF!</v>
      </c>
      <c r="AK57" t="e">
        <f t="shared" si="26"/>
        <v>#REF!</v>
      </c>
      <c r="AN57" t="e">
        <f>Reflection!A57</f>
        <v>#REF!</v>
      </c>
      <c r="AO57" t="s">
        <v>13</v>
      </c>
      <c r="AP57" t="e">
        <f t="shared" si="27"/>
        <v>#REF!</v>
      </c>
      <c r="AQ57" t="e">
        <f t="shared" si="28"/>
        <v>#REF!</v>
      </c>
      <c r="AR57" t="e">
        <f t="shared" si="29"/>
        <v>#REF!</v>
      </c>
      <c r="AS57" t="e">
        <f t="shared" si="30"/>
        <v>#REF!</v>
      </c>
      <c r="AT57" t="e">
        <f t="shared" si="31"/>
        <v>#REF!</v>
      </c>
      <c r="AU57" t="e">
        <f t="shared" si="32"/>
        <v>#REF!</v>
      </c>
      <c r="AX57" t="e">
        <f>Reflection!A57</f>
        <v>#REF!</v>
      </c>
      <c r="AY57" t="s">
        <v>13</v>
      </c>
      <c r="AZ57" t="e">
        <f t="shared" si="33"/>
        <v>#REF!</v>
      </c>
      <c r="BA57" t="e">
        <f t="shared" si="34"/>
        <v>#REF!</v>
      </c>
      <c r="BB57" t="e">
        <f t="shared" si="35"/>
        <v>#REF!</v>
      </c>
      <c r="BC57" t="e">
        <f t="shared" si="36"/>
        <v>#REF!</v>
      </c>
      <c r="BD57" t="e">
        <f t="shared" si="37"/>
        <v>#REF!</v>
      </c>
      <c r="BE57" t="e">
        <f t="shared" si="38"/>
        <v>#REF!</v>
      </c>
      <c r="BH57" t="e">
        <f>Reflection!A57</f>
        <v>#REF!</v>
      </c>
      <c r="BI57" t="e">
        <f t="shared" si="39"/>
        <v>#REF!</v>
      </c>
      <c r="BJ57" t="e">
        <f t="shared" si="40"/>
        <v>#REF!</v>
      </c>
      <c r="BK57" t="e">
        <f t="shared" si="41"/>
        <v>#REF!</v>
      </c>
      <c r="BL57" t="e">
        <f t="shared" si="42"/>
        <v>#REF!</v>
      </c>
      <c r="BM57" t="e">
        <f t="shared" si="43"/>
        <v>#REF!</v>
      </c>
      <c r="BN57" t="e">
        <f t="shared" si="3"/>
        <v>#REF!</v>
      </c>
      <c r="BR57" t="e">
        <f>Reflection!A57</f>
        <v>#REF!</v>
      </c>
      <c r="BS57" t="s">
        <v>13</v>
      </c>
      <c r="BT57" t="e">
        <f t="shared" si="44"/>
        <v>#REF!</v>
      </c>
      <c r="BU57" t="e">
        <f t="shared" si="51"/>
        <v>#REF!</v>
      </c>
      <c r="BV57" t="e">
        <f t="shared" si="45"/>
        <v>#REF!</v>
      </c>
      <c r="BW57" t="e">
        <f t="shared" si="46"/>
        <v>#REF!</v>
      </c>
      <c r="BX57" t="e">
        <f t="shared" si="47"/>
        <v>#REF!</v>
      </c>
      <c r="BY57" t="e">
        <f t="shared" si="5"/>
        <v>#REF!</v>
      </c>
    </row>
    <row r="58" spans="1:77" x14ac:dyDescent="0.15">
      <c r="A58" t="e">
        <f>Reflection!A58</f>
        <v>#REF!</v>
      </c>
      <c r="B58" t="e">
        <f t="shared" si="48"/>
        <v>#REF!</v>
      </c>
      <c r="C58" t="e">
        <f t="shared" si="49"/>
        <v>#REF!</v>
      </c>
      <c r="D58" t="e">
        <f t="shared" si="6"/>
        <v>#REF!</v>
      </c>
      <c r="E58" t="e">
        <f t="shared" si="7"/>
        <v>#REF!</v>
      </c>
      <c r="F58" t="e">
        <f t="shared" si="8"/>
        <v>#REF!</v>
      </c>
      <c r="G58" t="e">
        <f t="shared" si="50"/>
        <v>#REF!</v>
      </c>
      <c r="J58" t="e">
        <f>Reflection!A58</f>
        <v>#REF!</v>
      </c>
      <c r="K58" t="s">
        <v>13</v>
      </c>
      <c r="L58" t="e">
        <f t="shared" si="9"/>
        <v>#REF!</v>
      </c>
      <c r="M58" t="e">
        <f t="shared" si="10"/>
        <v>#REF!</v>
      </c>
      <c r="N58" t="e">
        <f t="shared" si="11"/>
        <v>#REF!</v>
      </c>
      <c r="O58" t="e">
        <f t="shared" si="12"/>
        <v>#REF!</v>
      </c>
      <c r="P58" t="e">
        <f t="shared" si="13"/>
        <v>#REF!</v>
      </c>
      <c r="Q58" t="e">
        <f t="shared" si="14"/>
        <v>#REF!</v>
      </c>
      <c r="T58" t="e">
        <f>Reflection!A58</f>
        <v>#REF!</v>
      </c>
      <c r="U58" t="s">
        <v>13</v>
      </c>
      <c r="V58" t="e">
        <f t="shared" si="15"/>
        <v>#REF!</v>
      </c>
      <c r="W58" t="e">
        <f t="shared" si="16"/>
        <v>#REF!</v>
      </c>
      <c r="X58" t="e">
        <f t="shared" si="17"/>
        <v>#REF!</v>
      </c>
      <c r="Y58" t="e">
        <f t="shared" si="18"/>
        <v>#REF!</v>
      </c>
      <c r="Z58" t="e">
        <f t="shared" si="19"/>
        <v>#REF!</v>
      </c>
      <c r="AA58" t="e">
        <f t="shared" si="20"/>
        <v>#REF!</v>
      </c>
      <c r="AD58" t="e">
        <f>Reflection!A58</f>
        <v>#REF!</v>
      </c>
      <c r="AE58" t="s">
        <v>13</v>
      </c>
      <c r="AF58" t="e">
        <f t="shared" si="21"/>
        <v>#REF!</v>
      </c>
      <c r="AG58" t="e">
        <f t="shared" si="22"/>
        <v>#REF!</v>
      </c>
      <c r="AH58" t="e">
        <f t="shared" si="23"/>
        <v>#REF!</v>
      </c>
      <c r="AI58" t="e">
        <f t="shared" si="24"/>
        <v>#REF!</v>
      </c>
      <c r="AJ58" t="e">
        <f t="shared" si="25"/>
        <v>#REF!</v>
      </c>
      <c r="AK58" t="e">
        <f t="shared" si="26"/>
        <v>#REF!</v>
      </c>
      <c r="AN58" t="e">
        <f>Reflection!A58</f>
        <v>#REF!</v>
      </c>
      <c r="AO58" t="s">
        <v>13</v>
      </c>
      <c r="AP58" t="e">
        <f t="shared" si="27"/>
        <v>#REF!</v>
      </c>
      <c r="AQ58" t="e">
        <f t="shared" si="28"/>
        <v>#REF!</v>
      </c>
      <c r="AR58" t="e">
        <f t="shared" si="29"/>
        <v>#REF!</v>
      </c>
      <c r="AS58" t="e">
        <f t="shared" si="30"/>
        <v>#REF!</v>
      </c>
      <c r="AT58" t="e">
        <f t="shared" si="31"/>
        <v>#REF!</v>
      </c>
      <c r="AU58" t="e">
        <f t="shared" si="32"/>
        <v>#REF!</v>
      </c>
      <c r="AX58" t="e">
        <f>Reflection!A58</f>
        <v>#REF!</v>
      </c>
      <c r="AY58" t="s">
        <v>13</v>
      </c>
      <c r="AZ58" t="e">
        <f t="shared" si="33"/>
        <v>#REF!</v>
      </c>
      <c r="BA58" t="e">
        <f t="shared" si="34"/>
        <v>#REF!</v>
      </c>
      <c r="BB58" t="e">
        <f t="shared" si="35"/>
        <v>#REF!</v>
      </c>
      <c r="BC58" t="e">
        <f t="shared" si="36"/>
        <v>#REF!</v>
      </c>
      <c r="BD58" t="e">
        <f t="shared" si="37"/>
        <v>#REF!</v>
      </c>
      <c r="BE58" t="e">
        <f t="shared" si="38"/>
        <v>#REF!</v>
      </c>
      <c r="BH58" t="e">
        <f>Reflection!A58</f>
        <v>#REF!</v>
      </c>
      <c r="BI58" t="e">
        <f t="shared" si="39"/>
        <v>#REF!</v>
      </c>
      <c r="BJ58" t="e">
        <f t="shared" si="40"/>
        <v>#REF!</v>
      </c>
      <c r="BK58" t="e">
        <f t="shared" si="41"/>
        <v>#REF!</v>
      </c>
      <c r="BL58" t="e">
        <f t="shared" si="42"/>
        <v>#REF!</v>
      </c>
      <c r="BM58" t="e">
        <f t="shared" si="43"/>
        <v>#REF!</v>
      </c>
      <c r="BN58" t="e">
        <f t="shared" si="3"/>
        <v>#REF!</v>
      </c>
      <c r="BR58" t="e">
        <f>Reflection!A58</f>
        <v>#REF!</v>
      </c>
      <c r="BS58" t="s">
        <v>13</v>
      </c>
      <c r="BT58" t="e">
        <f t="shared" si="44"/>
        <v>#REF!</v>
      </c>
      <c r="BU58" t="e">
        <f t="shared" si="51"/>
        <v>#REF!</v>
      </c>
      <c r="BV58" t="e">
        <f t="shared" si="45"/>
        <v>#REF!</v>
      </c>
      <c r="BW58" t="e">
        <f t="shared" si="46"/>
        <v>#REF!</v>
      </c>
      <c r="BX58" t="e">
        <f t="shared" si="47"/>
        <v>#REF!</v>
      </c>
      <c r="BY58" t="e">
        <f t="shared" si="5"/>
        <v>#REF!</v>
      </c>
    </row>
    <row r="59" spans="1:77" x14ac:dyDescent="0.15">
      <c r="A59" t="e">
        <f>Reflection!A59</f>
        <v>#REF!</v>
      </c>
      <c r="B59" t="e">
        <f t="shared" si="48"/>
        <v>#REF!</v>
      </c>
      <c r="C59" t="e">
        <f t="shared" si="49"/>
        <v>#REF!</v>
      </c>
      <c r="D59" t="e">
        <f t="shared" si="6"/>
        <v>#REF!</v>
      </c>
      <c r="E59" t="e">
        <f t="shared" si="7"/>
        <v>#REF!</v>
      </c>
      <c r="F59" t="e">
        <f t="shared" si="8"/>
        <v>#REF!</v>
      </c>
      <c r="G59" t="e">
        <f t="shared" si="50"/>
        <v>#REF!</v>
      </c>
      <c r="J59" t="e">
        <f>Reflection!A59</f>
        <v>#REF!</v>
      </c>
      <c r="K59" t="s">
        <v>13</v>
      </c>
      <c r="L59" t="e">
        <f t="shared" si="9"/>
        <v>#REF!</v>
      </c>
      <c r="M59" t="e">
        <f t="shared" si="10"/>
        <v>#REF!</v>
      </c>
      <c r="N59" t="e">
        <f t="shared" si="11"/>
        <v>#REF!</v>
      </c>
      <c r="O59" t="e">
        <f t="shared" si="12"/>
        <v>#REF!</v>
      </c>
      <c r="P59" t="e">
        <f t="shared" si="13"/>
        <v>#REF!</v>
      </c>
      <c r="Q59" t="e">
        <f t="shared" si="14"/>
        <v>#REF!</v>
      </c>
      <c r="T59" t="e">
        <f>Reflection!A59</f>
        <v>#REF!</v>
      </c>
      <c r="U59" t="s">
        <v>13</v>
      </c>
      <c r="V59" t="e">
        <f t="shared" si="15"/>
        <v>#REF!</v>
      </c>
      <c r="W59" t="e">
        <f t="shared" si="16"/>
        <v>#REF!</v>
      </c>
      <c r="X59" t="e">
        <f t="shared" si="17"/>
        <v>#REF!</v>
      </c>
      <c r="Y59" t="e">
        <f t="shared" si="18"/>
        <v>#REF!</v>
      </c>
      <c r="Z59" t="e">
        <f t="shared" si="19"/>
        <v>#REF!</v>
      </c>
      <c r="AA59" t="e">
        <f t="shared" si="20"/>
        <v>#REF!</v>
      </c>
      <c r="AD59" t="e">
        <f>Reflection!A59</f>
        <v>#REF!</v>
      </c>
      <c r="AE59" t="s">
        <v>13</v>
      </c>
      <c r="AF59" t="e">
        <f t="shared" si="21"/>
        <v>#REF!</v>
      </c>
      <c r="AG59" t="e">
        <f t="shared" si="22"/>
        <v>#REF!</v>
      </c>
      <c r="AH59" t="e">
        <f t="shared" si="23"/>
        <v>#REF!</v>
      </c>
      <c r="AI59" t="e">
        <f t="shared" si="24"/>
        <v>#REF!</v>
      </c>
      <c r="AJ59" t="e">
        <f t="shared" si="25"/>
        <v>#REF!</v>
      </c>
      <c r="AK59" t="e">
        <f t="shared" si="26"/>
        <v>#REF!</v>
      </c>
      <c r="AN59" t="e">
        <f>Reflection!A59</f>
        <v>#REF!</v>
      </c>
      <c r="AO59" t="s">
        <v>13</v>
      </c>
      <c r="AP59" t="e">
        <f t="shared" si="27"/>
        <v>#REF!</v>
      </c>
      <c r="AQ59" t="e">
        <f t="shared" si="28"/>
        <v>#REF!</v>
      </c>
      <c r="AR59" t="e">
        <f t="shared" si="29"/>
        <v>#REF!</v>
      </c>
      <c r="AS59" t="e">
        <f t="shared" si="30"/>
        <v>#REF!</v>
      </c>
      <c r="AT59" t="e">
        <f t="shared" si="31"/>
        <v>#REF!</v>
      </c>
      <c r="AU59" t="e">
        <f t="shared" si="32"/>
        <v>#REF!</v>
      </c>
      <c r="AX59" t="e">
        <f>Reflection!A59</f>
        <v>#REF!</v>
      </c>
      <c r="AY59" t="s">
        <v>13</v>
      </c>
      <c r="AZ59" t="e">
        <f t="shared" si="33"/>
        <v>#REF!</v>
      </c>
      <c r="BA59" t="e">
        <f t="shared" si="34"/>
        <v>#REF!</v>
      </c>
      <c r="BB59" t="e">
        <f t="shared" si="35"/>
        <v>#REF!</v>
      </c>
      <c r="BC59" t="e">
        <f t="shared" si="36"/>
        <v>#REF!</v>
      </c>
      <c r="BD59" t="e">
        <f t="shared" si="37"/>
        <v>#REF!</v>
      </c>
      <c r="BE59" t="e">
        <f t="shared" si="38"/>
        <v>#REF!</v>
      </c>
      <c r="BH59" t="e">
        <f>Reflection!A59</f>
        <v>#REF!</v>
      </c>
      <c r="BI59" t="e">
        <f t="shared" si="39"/>
        <v>#REF!</v>
      </c>
      <c r="BJ59" t="e">
        <f t="shared" si="40"/>
        <v>#REF!</v>
      </c>
      <c r="BK59" t="e">
        <f t="shared" si="41"/>
        <v>#REF!</v>
      </c>
      <c r="BL59" t="e">
        <f t="shared" si="42"/>
        <v>#REF!</v>
      </c>
      <c r="BM59" t="e">
        <f t="shared" si="43"/>
        <v>#REF!</v>
      </c>
      <c r="BN59" t="e">
        <f t="shared" si="3"/>
        <v>#REF!</v>
      </c>
      <c r="BR59" t="e">
        <f>Reflection!A59</f>
        <v>#REF!</v>
      </c>
      <c r="BS59" t="s">
        <v>13</v>
      </c>
      <c r="BT59" t="e">
        <f t="shared" si="44"/>
        <v>#REF!</v>
      </c>
      <c r="BU59" t="e">
        <f t="shared" si="51"/>
        <v>#REF!</v>
      </c>
      <c r="BV59" t="e">
        <f t="shared" si="45"/>
        <v>#REF!</v>
      </c>
      <c r="BW59" t="e">
        <f t="shared" si="46"/>
        <v>#REF!</v>
      </c>
      <c r="BX59" t="e">
        <f t="shared" si="47"/>
        <v>#REF!</v>
      </c>
      <c r="BY59" t="e">
        <f t="shared" si="5"/>
        <v>#REF!</v>
      </c>
    </row>
    <row r="60" spans="1:77" x14ac:dyDescent="0.15">
      <c r="A60" t="e">
        <f>Reflection!A60</f>
        <v>#REF!</v>
      </c>
      <c r="B60" t="e">
        <f t="shared" si="48"/>
        <v>#REF!</v>
      </c>
      <c r="C60" t="e">
        <f t="shared" si="49"/>
        <v>#REF!</v>
      </c>
      <c r="D60" t="e">
        <f t="shared" si="6"/>
        <v>#REF!</v>
      </c>
      <c r="E60" t="e">
        <f t="shared" si="7"/>
        <v>#REF!</v>
      </c>
      <c r="F60" t="e">
        <f t="shared" si="8"/>
        <v>#REF!</v>
      </c>
      <c r="G60" t="e">
        <f t="shared" si="50"/>
        <v>#REF!</v>
      </c>
      <c r="J60" t="e">
        <f>Reflection!A60</f>
        <v>#REF!</v>
      </c>
      <c r="K60" t="s">
        <v>13</v>
      </c>
      <c r="L60" t="e">
        <f t="shared" si="9"/>
        <v>#REF!</v>
      </c>
      <c r="M60" t="e">
        <f t="shared" si="10"/>
        <v>#REF!</v>
      </c>
      <c r="N60" t="e">
        <f t="shared" si="11"/>
        <v>#REF!</v>
      </c>
      <c r="O60" t="e">
        <f t="shared" si="12"/>
        <v>#REF!</v>
      </c>
      <c r="P60" t="e">
        <f t="shared" si="13"/>
        <v>#REF!</v>
      </c>
      <c r="Q60" t="e">
        <f t="shared" si="14"/>
        <v>#REF!</v>
      </c>
      <c r="T60" t="e">
        <f>Reflection!A60</f>
        <v>#REF!</v>
      </c>
      <c r="U60" t="s">
        <v>13</v>
      </c>
      <c r="V60" t="e">
        <f t="shared" si="15"/>
        <v>#REF!</v>
      </c>
      <c r="W60" t="e">
        <f t="shared" si="16"/>
        <v>#REF!</v>
      </c>
      <c r="X60" t="e">
        <f t="shared" si="17"/>
        <v>#REF!</v>
      </c>
      <c r="Y60" t="e">
        <f t="shared" si="18"/>
        <v>#REF!</v>
      </c>
      <c r="Z60" t="e">
        <f t="shared" si="19"/>
        <v>#REF!</v>
      </c>
      <c r="AA60" t="e">
        <f t="shared" si="20"/>
        <v>#REF!</v>
      </c>
      <c r="AD60" t="e">
        <f>Reflection!A60</f>
        <v>#REF!</v>
      </c>
      <c r="AE60" t="s">
        <v>13</v>
      </c>
      <c r="AF60" t="e">
        <f t="shared" si="21"/>
        <v>#REF!</v>
      </c>
      <c r="AG60" t="e">
        <f t="shared" si="22"/>
        <v>#REF!</v>
      </c>
      <c r="AH60" t="e">
        <f t="shared" si="23"/>
        <v>#REF!</v>
      </c>
      <c r="AI60" t="e">
        <f t="shared" si="24"/>
        <v>#REF!</v>
      </c>
      <c r="AJ60" t="e">
        <f t="shared" si="25"/>
        <v>#REF!</v>
      </c>
      <c r="AK60" t="e">
        <f t="shared" si="26"/>
        <v>#REF!</v>
      </c>
      <c r="AN60" t="e">
        <f>Reflection!A60</f>
        <v>#REF!</v>
      </c>
      <c r="AO60" t="s">
        <v>13</v>
      </c>
      <c r="AP60" t="e">
        <f t="shared" si="27"/>
        <v>#REF!</v>
      </c>
      <c r="AQ60" t="e">
        <f t="shared" si="28"/>
        <v>#REF!</v>
      </c>
      <c r="AR60" t="e">
        <f t="shared" si="29"/>
        <v>#REF!</v>
      </c>
      <c r="AS60" t="e">
        <f t="shared" si="30"/>
        <v>#REF!</v>
      </c>
      <c r="AT60" t="e">
        <f t="shared" si="31"/>
        <v>#REF!</v>
      </c>
      <c r="AU60" t="e">
        <f t="shared" si="32"/>
        <v>#REF!</v>
      </c>
      <c r="AX60" t="e">
        <f>Reflection!A60</f>
        <v>#REF!</v>
      </c>
      <c r="AY60" t="s">
        <v>13</v>
      </c>
      <c r="AZ60" t="e">
        <f t="shared" si="33"/>
        <v>#REF!</v>
      </c>
      <c r="BA60" t="e">
        <f t="shared" si="34"/>
        <v>#REF!</v>
      </c>
      <c r="BB60" t="e">
        <f t="shared" si="35"/>
        <v>#REF!</v>
      </c>
      <c r="BC60" t="e">
        <f t="shared" si="36"/>
        <v>#REF!</v>
      </c>
      <c r="BD60" t="e">
        <f t="shared" si="37"/>
        <v>#REF!</v>
      </c>
      <c r="BE60" t="e">
        <f t="shared" si="38"/>
        <v>#REF!</v>
      </c>
      <c r="BH60" t="e">
        <f>Reflection!A60</f>
        <v>#REF!</v>
      </c>
      <c r="BI60" t="e">
        <f t="shared" si="39"/>
        <v>#REF!</v>
      </c>
      <c r="BJ60" t="e">
        <f t="shared" si="40"/>
        <v>#REF!</v>
      </c>
      <c r="BK60" t="e">
        <f t="shared" si="41"/>
        <v>#REF!</v>
      </c>
      <c r="BL60" t="e">
        <f t="shared" si="42"/>
        <v>#REF!</v>
      </c>
      <c r="BM60" t="e">
        <f t="shared" si="43"/>
        <v>#REF!</v>
      </c>
      <c r="BN60" t="e">
        <f t="shared" si="3"/>
        <v>#REF!</v>
      </c>
      <c r="BR60" t="e">
        <f>Reflection!A60</f>
        <v>#REF!</v>
      </c>
      <c r="BS60" t="s">
        <v>13</v>
      </c>
      <c r="BT60" t="e">
        <f t="shared" si="44"/>
        <v>#REF!</v>
      </c>
      <c r="BU60" t="e">
        <f t="shared" si="51"/>
        <v>#REF!</v>
      </c>
      <c r="BV60" t="e">
        <f t="shared" si="45"/>
        <v>#REF!</v>
      </c>
      <c r="BW60" t="e">
        <f t="shared" si="46"/>
        <v>#REF!</v>
      </c>
      <c r="BX60" t="e">
        <f t="shared" si="47"/>
        <v>#REF!</v>
      </c>
      <c r="BY60" t="e">
        <f t="shared" si="5"/>
        <v>#REF!</v>
      </c>
    </row>
    <row r="61" spans="1:77" x14ac:dyDescent="0.15">
      <c r="A61" t="e">
        <f>Reflection!A61</f>
        <v>#REF!</v>
      </c>
      <c r="B61" t="e">
        <f t="shared" si="48"/>
        <v>#REF!</v>
      </c>
      <c r="C61" t="e">
        <f t="shared" si="49"/>
        <v>#REF!</v>
      </c>
      <c r="D61" t="e">
        <f t="shared" si="6"/>
        <v>#REF!</v>
      </c>
      <c r="E61" t="e">
        <f t="shared" si="7"/>
        <v>#REF!</v>
      </c>
      <c r="F61" t="e">
        <f t="shared" si="8"/>
        <v>#REF!</v>
      </c>
      <c r="G61" t="e">
        <f t="shared" si="50"/>
        <v>#REF!</v>
      </c>
      <c r="J61" t="e">
        <f>Reflection!A61</f>
        <v>#REF!</v>
      </c>
      <c r="K61" t="s">
        <v>13</v>
      </c>
      <c r="L61" t="e">
        <f t="shared" si="9"/>
        <v>#REF!</v>
      </c>
      <c r="M61" t="e">
        <f t="shared" si="10"/>
        <v>#REF!</v>
      </c>
      <c r="N61" t="e">
        <f t="shared" si="11"/>
        <v>#REF!</v>
      </c>
      <c r="O61" t="e">
        <f t="shared" si="12"/>
        <v>#REF!</v>
      </c>
      <c r="P61" t="e">
        <f t="shared" si="13"/>
        <v>#REF!</v>
      </c>
      <c r="Q61" t="e">
        <f t="shared" si="14"/>
        <v>#REF!</v>
      </c>
      <c r="T61" t="e">
        <f>Reflection!A61</f>
        <v>#REF!</v>
      </c>
      <c r="U61" t="s">
        <v>13</v>
      </c>
      <c r="V61" t="e">
        <f t="shared" si="15"/>
        <v>#REF!</v>
      </c>
      <c r="W61" t="e">
        <f t="shared" si="16"/>
        <v>#REF!</v>
      </c>
      <c r="X61" t="e">
        <f t="shared" si="17"/>
        <v>#REF!</v>
      </c>
      <c r="Y61" t="e">
        <f t="shared" si="18"/>
        <v>#REF!</v>
      </c>
      <c r="Z61" t="e">
        <f t="shared" si="19"/>
        <v>#REF!</v>
      </c>
      <c r="AA61" t="e">
        <f t="shared" si="20"/>
        <v>#REF!</v>
      </c>
      <c r="AD61" t="e">
        <f>Reflection!A61</f>
        <v>#REF!</v>
      </c>
      <c r="AE61" t="s">
        <v>13</v>
      </c>
      <c r="AF61" t="e">
        <f t="shared" si="21"/>
        <v>#REF!</v>
      </c>
      <c r="AG61" t="e">
        <f t="shared" si="22"/>
        <v>#REF!</v>
      </c>
      <c r="AH61" t="e">
        <f t="shared" si="23"/>
        <v>#REF!</v>
      </c>
      <c r="AI61" t="e">
        <f t="shared" si="24"/>
        <v>#REF!</v>
      </c>
      <c r="AJ61" t="e">
        <f t="shared" si="25"/>
        <v>#REF!</v>
      </c>
      <c r="AK61" t="e">
        <f t="shared" si="26"/>
        <v>#REF!</v>
      </c>
      <c r="AN61" t="e">
        <f>Reflection!A61</f>
        <v>#REF!</v>
      </c>
      <c r="AO61" t="s">
        <v>13</v>
      </c>
      <c r="AP61" t="e">
        <f t="shared" si="27"/>
        <v>#REF!</v>
      </c>
      <c r="AQ61" t="e">
        <f t="shared" si="28"/>
        <v>#REF!</v>
      </c>
      <c r="AR61" t="e">
        <f t="shared" si="29"/>
        <v>#REF!</v>
      </c>
      <c r="AS61" t="e">
        <f t="shared" si="30"/>
        <v>#REF!</v>
      </c>
      <c r="AT61" t="e">
        <f t="shared" si="31"/>
        <v>#REF!</v>
      </c>
      <c r="AU61" t="e">
        <f t="shared" si="32"/>
        <v>#REF!</v>
      </c>
      <c r="AX61" t="e">
        <f>Reflection!A61</f>
        <v>#REF!</v>
      </c>
      <c r="AY61" t="s">
        <v>13</v>
      </c>
      <c r="AZ61" t="e">
        <f t="shared" si="33"/>
        <v>#REF!</v>
      </c>
      <c r="BA61" t="e">
        <f t="shared" si="34"/>
        <v>#REF!</v>
      </c>
      <c r="BB61" t="e">
        <f t="shared" si="35"/>
        <v>#REF!</v>
      </c>
      <c r="BC61" t="e">
        <f t="shared" si="36"/>
        <v>#REF!</v>
      </c>
      <c r="BD61" t="e">
        <f t="shared" si="37"/>
        <v>#REF!</v>
      </c>
      <c r="BE61" t="e">
        <f t="shared" si="38"/>
        <v>#REF!</v>
      </c>
      <c r="BH61" t="e">
        <f>Reflection!A61</f>
        <v>#REF!</v>
      </c>
      <c r="BI61" t="e">
        <f t="shared" si="39"/>
        <v>#REF!</v>
      </c>
      <c r="BJ61" t="e">
        <f t="shared" si="40"/>
        <v>#REF!</v>
      </c>
      <c r="BK61" t="e">
        <f t="shared" si="41"/>
        <v>#REF!</v>
      </c>
      <c r="BL61" t="e">
        <f t="shared" si="42"/>
        <v>#REF!</v>
      </c>
      <c r="BM61" t="e">
        <f t="shared" si="43"/>
        <v>#REF!</v>
      </c>
      <c r="BN61" t="e">
        <f t="shared" si="3"/>
        <v>#REF!</v>
      </c>
      <c r="BR61" t="e">
        <f>Reflection!A61</f>
        <v>#REF!</v>
      </c>
      <c r="BS61" t="s">
        <v>13</v>
      </c>
      <c r="BT61" t="e">
        <f t="shared" si="44"/>
        <v>#REF!</v>
      </c>
      <c r="BU61" t="e">
        <f t="shared" si="51"/>
        <v>#REF!</v>
      </c>
      <c r="BV61" t="e">
        <f t="shared" si="45"/>
        <v>#REF!</v>
      </c>
      <c r="BW61" t="e">
        <f t="shared" si="46"/>
        <v>#REF!</v>
      </c>
      <c r="BX61" t="e">
        <f t="shared" si="47"/>
        <v>#REF!</v>
      </c>
      <c r="BY61" t="e">
        <f t="shared" si="5"/>
        <v>#REF!</v>
      </c>
    </row>
    <row r="62" spans="1:77" x14ac:dyDescent="0.15">
      <c r="A62" t="e">
        <f>Reflection!A62</f>
        <v>#REF!</v>
      </c>
      <c r="B62" t="e">
        <f t="shared" si="48"/>
        <v>#REF!</v>
      </c>
      <c r="C62" t="e">
        <f t="shared" si="49"/>
        <v>#REF!</v>
      </c>
      <c r="D62" t="e">
        <f t="shared" si="6"/>
        <v>#REF!</v>
      </c>
      <c r="E62" t="e">
        <f t="shared" si="7"/>
        <v>#REF!</v>
      </c>
      <c r="F62" t="e">
        <f t="shared" si="8"/>
        <v>#REF!</v>
      </c>
      <c r="G62" t="e">
        <f t="shared" si="50"/>
        <v>#REF!</v>
      </c>
      <c r="J62" t="e">
        <f>Reflection!A62</f>
        <v>#REF!</v>
      </c>
      <c r="K62" t="s">
        <v>13</v>
      </c>
      <c r="L62" t="e">
        <f t="shared" si="9"/>
        <v>#REF!</v>
      </c>
      <c r="M62" t="e">
        <f t="shared" si="10"/>
        <v>#REF!</v>
      </c>
      <c r="N62" t="e">
        <f t="shared" si="11"/>
        <v>#REF!</v>
      </c>
      <c r="O62" t="e">
        <f t="shared" si="12"/>
        <v>#REF!</v>
      </c>
      <c r="P62" t="e">
        <f t="shared" si="13"/>
        <v>#REF!</v>
      </c>
      <c r="Q62" t="e">
        <f t="shared" si="14"/>
        <v>#REF!</v>
      </c>
      <c r="T62" t="e">
        <f>Reflection!A62</f>
        <v>#REF!</v>
      </c>
      <c r="U62" t="s">
        <v>13</v>
      </c>
      <c r="V62" t="e">
        <f t="shared" si="15"/>
        <v>#REF!</v>
      </c>
      <c r="W62" t="e">
        <f t="shared" si="16"/>
        <v>#REF!</v>
      </c>
      <c r="X62" t="e">
        <f t="shared" si="17"/>
        <v>#REF!</v>
      </c>
      <c r="Y62" t="e">
        <f t="shared" si="18"/>
        <v>#REF!</v>
      </c>
      <c r="Z62" t="e">
        <f t="shared" si="19"/>
        <v>#REF!</v>
      </c>
      <c r="AA62" t="e">
        <f t="shared" si="20"/>
        <v>#REF!</v>
      </c>
      <c r="AD62" t="e">
        <f>Reflection!A62</f>
        <v>#REF!</v>
      </c>
      <c r="AE62" t="s">
        <v>13</v>
      </c>
      <c r="AF62" t="e">
        <f t="shared" si="21"/>
        <v>#REF!</v>
      </c>
      <c r="AG62" t="e">
        <f t="shared" si="22"/>
        <v>#REF!</v>
      </c>
      <c r="AH62" t="e">
        <f t="shared" si="23"/>
        <v>#REF!</v>
      </c>
      <c r="AI62" t="e">
        <f t="shared" si="24"/>
        <v>#REF!</v>
      </c>
      <c r="AJ62" t="e">
        <f t="shared" si="25"/>
        <v>#REF!</v>
      </c>
      <c r="AK62" t="e">
        <f t="shared" si="26"/>
        <v>#REF!</v>
      </c>
      <c r="AN62" t="e">
        <f>Reflection!A62</f>
        <v>#REF!</v>
      </c>
      <c r="AO62" t="s">
        <v>13</v>
      </c>
      <c r="AP62" t="e">
        <f t="shared" si="27"/>
        <v>#REF!</v>
      </c>
      <c r="AQ62" t="e">
        <f t="shared" si="28"/>
        <v>#REF!</v>
      </c>
      <c r="AR62" t="e">
        <f t="shared" si="29"/>
        <v>#REF!</v>
      </c>
      <c r="AS62" t="e">
        <f t="shared" si="30"/>
        <v>#REF!</v>
      </c>
      <c r="AT62" t="e">
        <f t="shared" si="31"/>
        <v>#REF!</v>
      </c>
      <c r="AU62" t="e">
        <f t="shared" si="32"/>
        <v>#REF!</v>
      </c>
      <c r="AX62" t="e">
        <f>Reflection!A62</f>
        <v>#REF!</v>
      </c>
      <c r="AY62" t="s">
        <v>13</v>
      </c>
      <c r="AZ62" t="e">
        <f t="shared" si="33"/>
        <v>#REF!</v>
      </c>
      <c r="BA62" t="e">
        <f t="shared" si="34"/>
        <v>#REF!</v>
      </c>
      <c r="BB62" t="e">
        <f t="shared" si="35"/>
        <v>#REF!</v>
      </c>
      <c r="BC62" t="e">
        <f t="shared" si="36"/>
        <v>#REF!</v>
      </c>
      <c r="BD62" t="e">
        <f t="shared" si="37"/>
        <v>#REF!</v>
      </c>
      <c r="BE62" t="e">
        <f t="shared" si="38"/>
        <v>#REF!</v>
      </c>
      <c r="BH62" t="e">
        <f>Reflection!A62</f>
        <v>#REF!</v>
      </c>
      <c r="BI62" t="e">
        <f t="shared" si="39"/>
        <v>#REF!</v>
      </c>
      <c r="BJ62" t="e">
        <f t="shared" si="40"/>
        <v>#REF!</v>
      </c>
      <c r="BK62" t="e">
        <f t="shared" si="41"/>
        <v>#REF!</v>
      </c>
      <c r="BL62" t="e">
        <f t="shared" si="42"/>
        <v>#REF!</v>
      </c>
      <c r="BM62" t="e">
        <f t="shared" si="43"/>
        <v>#REF!</v>
      </c>
      <c r="BN62" t="e">
        <f t="shared" si="3"/>
        <v>#REF!</v>
      </c>
      <c r="BR62" t="e">
        <f>Reflection!A62</f>
        <v>#REF!</v>
      </c>
      <c r="BS62" t="s">
        <v>13</v>
      </c>
      <c r="BT62" t="e">
        <f t="shared" si="44"/>
        <v>#REF!</v>
      </c>
      <c r="BU62" t="e">
        <f t="shared" si="51"/>
        <v>#REF!</v>
      </c>
      <c r="BV62" t="e">
        <f t="shared" si="45"/>
        <v>#REF!</v>
      </c>
      <c r="BW62" t="e">
        <f t="shared" si="46"/>
        <v>#REF!</v>
      </c>
      <c r="BX62" t="e">
        <f t="shared" si="47"/>
        <v>#REF!</v>
      </c>
      <c r="BY62" t="e">
        <f t="shared" si="5"/>
        <v>#REF!</v>
      </c>
    </row>
    <row r="63" spans="1:77" x14ac:dyDescent="0.15">
      <c r="A63" t="e">
        <f>Reflection!A63</f>
        <v>#REF!</v>
      </c>
      <c r="B63" t="e">
        <f t="shared" si="48"/>
        <v>#REF!</v>
      </c>
      <c r="C63" t="e">
        <f t="shared" si="49"/>
        <v>#REF!</v>
      </c>
      <c r="D63" t="e">
        <f t="shared" si="6"/>
        <v>#REF!</v>
      </c>
      <c r="E63" t="e">
        <f t="shared" si="7"/>
        <v>#REF!</v>
      </c>
      <c r="F63" t="e">
        <f t="shared" si="8"/>
        <v>#REF!</v>
      </c>
      <c r="G63" t="e">
        <f t="shared" si="50"/>
        <v>#REF!</v>
      </c>
      <c r="J63" t="e">
        <f>Reflection!A63</f>
        <v>#REF!</v>
      </c>
      <c r="K63" t="s">
        <v>13</v>
      </c>
      <c r="L63" t="e">
        <f t="shared" si="9"/>
        <v>#REF!</v>
      </c>
      <c r="M63" t="e">
        <f t="shared" si="10"/>
        <v>#REF!</v>
      </c>
      <c r="N63" t="e">
        <f t="shared" si="11"/>
        <v>#REF!</v>
      </c>
      <c r="O63" t="e">
        <f t="shared" si="12"/>
        <v>#REF!</v>
      </c>
      <c r="P63" t="e">
        <f t="shared" si="13"/>
        <v>#REF!</v>
      </c>
      <c r="Q63" t="e">
        <f t="shared" si="14"/>
        <v>#REF!</v>
      </c>
      <c r="T63" t="e">
        <f>Reflection!A63</f>
        <v>#REF!</v>
      </c>
      <c r="U63" t="s">
        <v>13</v>
      </c>
      <c r="V63" t="e">
        <f t="shared" si="15"/>
        <v>#REF!</v>
      </c>
      <c r="W63" t="e">
        <f t="shared" si="16"/>
        <v>#REF!</v>
      </c>
      <c r="X63" t="e">
        <f t="shared" si="17"/>
        <v>#REF!</v>
      </c>
      <c r="Y63" t="e">
        <f t="shared" si="18"/>
        <v>#REF!</v>
      </c>
      <c r="Z63" t="e">
        <f t="shared" si="19"/>
        <v>#REF!</v>
      </c>
      <c r="AA63" t="e">
        <f t="shared" si="20"/>
        <v>#REF!</v>
      </c>
      <c r="AD63" t="e">
        <f>Reflection!A63</f>
        <v>#REF!</v>
      </c>
      <c r="AE63" t="s">
        <v>13</v>
      </c>
      <c r="AF63" t="e">
        <f t="shared" si="21"/>
        <v>#REF!</v>
      </c>
      <c r="AG63" t="e">
        <f t="shared" si="22"/>
        <v>#REF!</v>
      </c>
      <c r="AH63" t="e">
        <f t="shared" si="23"/>
        <v>#REF!</v>
      </c>
      <c r="AI63" t="e">
        <f t="shared" si="24"/>
        <v>#REF!</v>
      </c>
      <c r="AJ63" t="e">
        <f t="shared" si="25"/>
        <v>#REF!</v>
      </c>
      <c r="AK63" t="e">
        <f t="shared" si="26"/>
        <v>#REF!</v>
      </c>
      <c r="AN63" t="e">
        <f>Reflection!A63</f>
        <v>#REF!</v>
      </c>
      <c r="AO63" t="s">
        <v>13</v>
      </c>
      <c r="AP63" t="e">
        <f t="shared" si="27"/>
        <v>#REF!</v>
      </c>
      <c r="AQ63" t="e">
        <f t="shared" si="28"/>
        <v>#REF!</v>
      </c>
      <c r="AR63" t="e">
        <f t="shared" si="29"/>
        <v>#REF!</v>
      </c>
      <c r="AS63" t="e">
        <f t="shared" si="30"/>
        <v>#REF!</v>
      </c>
      <c r="AT63" t="e">
        <f t="shared" si="31"/>
        <v>#REF!</v>
      </c>
      <c r="AU63" t="e">
        <f t="shared" si="32"/>
        <v>#REF!</v>
      </c>
      <c r="AX63" t="e">
        <f>Reflection!A63</f>
        <v>#REF!</v>
      </c>
      <c r="AY63" t="s">
        <v>13</v>
      </c>
      <c r="AZ63" t="e">
        <f t="shared" si="33"/>
        <v>#REF!</v>
      </c>
      <c r="BA63" t="e">
        <f t="shared" si="34"/>
        <v>#REF!</v>
      </c>
      <c r="BB63" t="e">
        <f t="shared" si="35"/>
        <v>#REF!</v>
      </c>
      <c r="BC63" t="e">
        <f t="shared" si="36"/>
        <v>#REF!</v>
      </c>
      <c r="BD63" t="e">
        <f t="shared" si="37"/>
        <v>#REF!</v>
      </c>
      <c r="BE63" t="e">
        <f t="shared" si="38"/>
        <v>#REF!</v>
      </c>
      <c r="BH63" t="e">
        <f>Reflection!A63</f>
        <v>#REF!</v>
      </c>
      <c r="BI63" t="e">
        <f t="shared" si="39"/>
        <v>#REF!</v>
      </c>
      <c r="BJ63" t="e">
        <f t="shared" si="40"/>
        <v>#REF!</v>
      </c>
      <c r="BK63" t="e">
        <f t="shared" si="41"/>
        <v>#REF!</v>
      </c>
      <c r="BL63" t="e">
        <f t="shared" si="42"/>
        <v>#REF!</v>
      </c>
      <c r="BM63" t="e">
        <f t="shared" si="43"/>
        <v>#REF!</v>
      </c>
      <c r="BN63" t="e">
        <f t="shared" si="3"/>
        <v>#REF!</v>
      </c>
      <c r="BR63" t="e">
        <f>Reflection!A63</f>
        <v>#REF!</v>
      </c>
      <c r="BS63" t="s">
        <v>13</v>
      </c>
      <c r="BT63" t="e">
        <f t="shared" si="44"/>
        <v>#REF!</v>
      </c>
      <c r="BU63" t="e">
        <f t="shared" si="51"/>
        <v>#REF!</v>
      </c>
      <c r="BV63" t="e">
        <f t="shared" si="45"/>
        <v>#REF!</v>
      </c>
      <c r="BW63" t="e">
        <f t="shared" si="46"/>
        <v>#REF!</v>
      </c>
      <c r="BX63" t="e">
        <f t="shared" si="47"/>
        <v>#REF!</v>
      </c>
      <c r="BY63" t="e">
        <f t="shared" si="5"/>
        <v>#REF!</v>
      </c>
    </row>
    <row r="64" spans="1:77" x14ac:dyDescent="0.15">
      <c r="A64" t="e">
        <f>Reflection!A64</f>
        <v>#REF!</v>
      </c>
      <c r="B64" t="e">
        <f t="shared" si="48"/>
        <v>#REF!</v>
      </c>
      <c r="C64" t="e">
        <f t="shared" si="49"/>
        <v>#REF!</v>
      </c>
      <c r="D64" t="e">
        <f t="shared" si="6"/>
        <v>#REF!</v>
      </c>
      <c r="E64" t="e">
        <f t="shared" si="7"/>
        <v>#REF!</v>
      </c>
      <c r="F64" t="e">
        <f t="shared" si="8"/>
        <v>#REF!</v>
      </c>
      <c r="G64" t="e">
        <f t="shared" si="50"/>
        <v>#REF!</v>
      </c>
      <c r="J64" t="e">
        <f>Reflection!A64</f>
        <v>#REF!</v>
      </c>
      <c r="K64" t="s">
        <v>13</v>
      </c>
      <c r="L64" t="e">
        <f t="shared" si="9"/>
        <v>#REF!</v>
      </c>
      <c r="M64" t="e">
        <f t="shared" si="10"/>
        <v>#REF!</v>
      </c>
      <c r="N64" t="e">
        <f t="shared" si="11"/>
        <v>#REF!</v>
      </c>
      <c r="O64" t="e">
        <f t="shared" si="12"/>
        <v>#REF!</v>
      </c>
      <c r="P64" t="e">
        <f t="shared" si="13"/>
        <v>#REF!</v>
      </c>
      <c r="Q64" t="e">
        <f t="shared" si="14"/>
        <v>#REF!</v>
      </c>
      <c r="T64" t="e">
        <f>Reflection!A64</f>
        <v>#REF!</v>
      </c>
      <c r="U64" t="s">
        <v>13</v>
      </c>
      <c r="V64" t="e">
        <f t="shared" si="15"/>
        <v>#REF!</v>
      </c>
      <c r="W64" t="e">
        <f t="shared" si="16"/>
        <v>#REF!</v>
      </c>
      <c r="X64" t="e">
        <f t="shared" si="17"/>
        <v>#REF!</v>
      </c>
      <c r="Y64" t="e">
        <f t="shared" si="18"/>
        <v>#REF!</v>
      </c>
      <c r="Z64" t="e">
        <f t="shared" si="19"/>
        <v>#REF!</v>
      </c>
      <c r="AA64" t="e">
        <f t="shared" si="20"/>
        <v>#REF!</v>
      </c>
      <c r="AD64" t="e">
        <f>Reflection!A64</f>
        <v>#REF!</v>
      </c>
      <c r="AE64" t="s">
        <v>13</v>
      </c>
      <c r="AF64" t="e">
        <f t="shared" si="21"/>
        <v>#REF!</v>
      </c>
      <c r="AG64" t="e">
        <f t="shared" si="22"/>
        <v>#REF!</v>
      </c>
      <c r="AH64" t="e">
        <f t="shared" si="23"/>
        <v>#REF!</v>
      </c>
      <c r="AI64" t="e">
        <f t="shared" si="24"/>
        <v>#REF!</v>
      </c>
      <c r="AJ64" t="e">
        <f t="shared" si="25"/>
        <v>#REF!</v>
      </c>
      <c r="AK64" t="e">
        <f t="shared" si="26"/>
        <v>#REF!</v>
      </c>
      <c r="AN64" t="e">
        <f>Reflection!A64</f>
        <v>#REF!</v>
      </c>
      <c r="AO64" t="s">
        <v>13</v>
      </c>
      <c r="AP64" t="e">
        <f t="shared" si="27"/>
        <v>#REF!</v>
      </c>
      <c r="AQ64" t="e">
        <f t="shared" si="28"/>
        <v>#REF!</v>
      </c>
      <c r="AR64" t="e">
        <f t="shared" si="29"/>
        <v>#REF!</v>
      </c>
      <c r="AS64" t="e">
        <f t="shared" si="30"/>
        <v>#REF!</v>
      </c>
      <c r="AT64" t="e">
        <f t="shared" si="31"/>
        <v>#REF!</v>
      </c>
      <c r="AU64" t="e">
        <f t="shared" si="32"/>
        <v>#REF!</v>
      </c>
      <c r="AX64" t="e">
        <f>Reflection!A64</f>
        <v>#REF!</v>
      </c>
      <c r="AY64" t="s">
        <v>13</v>
      </c>
      <c r="AZ64" t="e">
        <f t="shared" si="33"/>
        <v>#REF!</v>
      </c>
      <c r="BA64" t="e">
        <f t="shared" si="34"/>
        <v>#REF!</v>
      </c>
      <c r="BB64" t="e">
        <f t="shared" si="35"/>
        <v>#REF!</v>
      </c>
      <c r="BC64" t="e">
        <f t="shared" si="36"/>
        <v>#REF!</v>
      </c>
      <c r="BD64" t="e">
        <f t="shared" si="37"/>
        <v>#REF!</v>
      </c>
      <c r="BE64" t="e">
        <f t="shared" si="38"/>
        <v>#REF!</v>
      </c>
      <c r="BH64" t="e">
        <f>Reflection!A64</f>
        <v>#REF!</v>
      </c>
      <c r="BI64" t="e">
        <f t="shared" si="39"/>
        <v>#REF!</v>
      </c>
      <c r="BJ64" t="e">
        <f t="shared" si="40"/>
        <v>#REF!</v>
      </c>
      <c r="BK64" t="e">
        <f t="shared" si="41"/>
        <v>#REF!</v>
      </c>
      <c r="BL64" t="e">
        <f t="shared" si="42"/>
        <v>#REF!</v>
      </c>
      <c r="BM64" t="e">
        <f t="shared" si="43"/>
        <v>#REF!</v>
      </c>
      <c r="BN64" t="e">
        <f t="shared" si="3"/>
        <v>#REF!</v>
      </c>
      <c r="BR64" t="e">
        <f>Reflection!A64</f>
        <v>#REF!</v>
      </c>
      <c r="BS64" t="s">
        <v>13</v>
      </c>
      <c r="BT64" t="e">
        <f t="shared" si="44"/>
        <v>#REF!</v>
      </c>
      <c r="BU64" t="e">
        <f t="shared" si="51"/>
        <v>#REF!</v>
      </c>
      <c r="BV64" t="e">
        <f t="shared" si="45"/>
        <v>#REF!</v>
      </c>
      <c r="BW64" t="e">
        <f t="shared" si="46"/>
        <v>#REF!</v>
      </c>
      <c r="BX64" t="e">
        <f t="shared" si="47"/>
        <v>#REF!</v>
      </c>
      <c r="BY64" t="e">
        <f t="shared" si="5"/>
        <v>#REF!</v>
      </c>
    </row>
    <row r="65" spans="1:77" x14ac:dyDescent="0.15">
      <c r="A65" t="e">
        <f>Reflection!A65</f>
        <v>#REF!</v>
      </c>
      <c r="B65" t="e">
        <f t="shared" si="48"/>
        <v>#REF!</v>
      </c>
      <c r="C65" t="e">
        <f t="shared" si="49"/>
        <v>#REF!</v>
      </c>
      <c r="D65" t="e">
        <f t="shared" si="6"/>
        <v>#REF!</v>
      </c>
      <c r="E65" t="e">
        <f t="shared" si="7"/>
        <v>#REF!</v>
      </c>
      <c r="F65" t="e">
        <f t="shared" si="8"/>
        <v>#REF!</v>
      </c>
      <c r="G65" t="e">
        <f t="shared" si="50"/>
        <v>#REF!</v>
      </c>
      <c r="J65" t="e">
        <f>Reflection!A65</f>
        <v>#REF!</v>
      </c>
      <c r="K65" t="s">
        <v>13</v>
      </c>
      <c r="L65" t="e">
        <f t="shared" si="9"/>
        <v>#REF!</v>
      </c>
      <c r="M65" t="e">
        <f t="shared" si="10"/>
        <v>#REF!</v>
      </c>
      <c r="N65" t="e">
        <f t="shared" si="11"/>
        <v>#REF!</v>
      </c>
      <c r="O65" t="e">
        <f t="shared" si="12"/>
        <v>#REF!</v>
      </c>
      <c r="P65" t="e">
        <f t="shared" si="13"/>
        <v>#REF!</v>
      </c>
      <c r="Q65" t="e">
        <f t="shared" si="14"/>
        <v>#REF!</v>
      </c>
      <c r="T65" t="e">
        <f>Reflection!A65</f>
        <v>#REF!</v>
      </c>
      <c r="U65" t="s">
        <v>13</v>
      </c>
      <c r="V65" t="e">
        <f t="shared" si="15"/>
        <v>#REF!</v>
      </c>
      <c r="W65" t="e">
        <f t="shared" si="16"/>
        <v>#REF!</v>
      </c>
      <c r="X65" t="e">
        <f t="shared" si="17"/>
        <v>#REF!</v>
      </c>
      <c r="Y65" t="e">
        <f t="shared" si="18"/>
        <v>#REF!</v>
      </c>
      <c r="Z65" t="e">
        <f t="shared" si="19"/>
        <v>#REF!</v>
      </c>
      <c r="AA65" t="e">
        <f t="shared" si="20"/>
        <v>#REF!</v>
      </c>
      <c r="AD65" t="e">
        <f>Reflection!A65</f>
        <v>#REF!</v>
      </c>
      <c r="AE65" t="s">
        <v>13</v>
      </c>
      <c r="AF65" t="e">
        <f t="shared" si="21"/>
        <v>#REF!</v>
      </c>
      <c r="AG65" t="e">
        <f t="shared" si="22"/>
        <v>#REF!</v>
      </c>
      <c r="AH65" t="e">
        <f t="shared" si="23"/>
        <v>#REF!</v>
      </c>
      <c r="AI65" t="e">
        <f t="shared" si="24"/>
        <v>#REF!</v>
      </c>
      <c r="AJ65" t="e">
        <f t="shared" si="25"/>
        <v>#REF!</v>
      </c>
      <c r="AK65" t="e">
        <f t="shared" si="26"/>
        <v>#REF!</v>
      </c>
      <c r="AN65" t="e">
        <f>Reflection!A65</f>
        <v>#REF!</v>
      </c>
      <c r="AO65" t="s">
        <v>13</v>
      </c>
      <c r="AP65" t="e">
        <f t="shared" si="27"/>
        <v>#REF!</v>
      </c>
      <c r="AQ65" t="e">
        <f t="shared" si="28"/>
        <v>#REF!</v>
      </c>
      <c r="AR65" t="e">
        <f t="shared" si="29"/>
        <v>#REF!</v>
      </c>
      <c r="AS65" t="e">
        <f t="shared" si="30"/>
        <v>#REF!</v>
      </c>
      <c r="AT65" t="e">
        <f t="shared" si="31"/>
        <v>#REF!</v>
      </c>
      <c r="AU65" t="e">
        <f t="shared" si="32"/>
        <v>#REF!</v>
      </c>
      <c r="AX65" t="e">
        <f>Reflection!A65</f>
        <v>#REF!</v>
      </c>
      <c r="AY65" t="s">
        <v>13</v>
      </c>
      <c r="AZ65" t="e">
        <f t="shared" si="33"/>
        <v>#REF!</v>
      </c>
      <c r="BA65" t="e">
        <f t="shared" si="34"/>
        <v>#REF!</v>
      </c>
      <c r="BB65" t="e">
        <f t="shared" si="35"/>
        <v>#REF!</v>
      </c>
      <c r="BC65" t="e">
        <f t="shared" si="36"/>
        <v>#REF!</v>
      </c>
      <c r="BD65" t="e">
        <f t="shared" si="37"/>
        <v>#REF!</v>
      </c>
      <c r="BE65" t="e">
        <f t="shared" si="38"/>
        <v>#REF!</v>
      </c>
      <c r="BH65" t="e">
        <f>Reflection!A65</f>
        <v>#REF!</v>
      </c>
      <c r="BI65" t="e">
        <f t="shared" si="39"/>
        <v>#REF!</v>
      </c>
      <c r="BJ65" t="e">
        <f t="shared" si="40"/>
        <v>#REF!</v>
      </c>
      <c r="BK65" t="e">
        <f t="shared" si="41"/>
        <v>#REF!</v>
      </c>
      <c r="BL65" t="e">
        <f t="shared" si="42"/>
        <v>#REF!</v>
      </c>
      <c r="BM65" t="e">
        <f t="shared" si="43"/>
        <v>#REF!</v>
      </c>
      <c r="BN65" t="e">
        <f t="shared" si="3"/>
        <v>#REF!</v>
      </c>
      <c r="BR65" t="e">
        <f>Reflection!A65</f>
        <v>#REF!</v>
      </c>
      <c r="BS65" t="s">
        <v>13</v>
      </c>
      <c r="BT65" t="e">
        <f t="shared" si="44"/>
        <v>#REF!</v>
      </c>
      <c r="BU65" t="e">
        <f t="shared" si="51"/>
        <v>#REF!</v>
      </c>
      <c r="BV65" t="e">
        <f t="shared" si="45"/>
        <v>#REF!</v>
      </c>
      <c r="BW65" t="e">
        <f t="shared" si="46"/>
        <v>#REF!</v>
      </c>
      <c r="BX65" t="e">
        <f t="shared" si="47"/>
        <v>#REF!</v>
      </c>
      <c r="BY65" t="e">
        <f t="shared" si="5"/>
        <v>#REF!</v>
      </c>
    </row>
    <row r="66" spans="1:77" x14ac:dyDescent="0.15">
      <c r="A66" t="e">
        <f>Reflection!A66</f>
        <v>#REF!</v>
      </c>
      <c r="B66" t="e">
        <f t="shared" si="48"/>
        <v>#REF!</v>
      </c>
      <c r="C66" t="e">
        <f t="shared" si="49"/>
        <v>#REF!</v>
      </c>
      <c r="D66" t="e">
        <f t="shared" si="6"/>
        <v>#REF!</v>
      </c>
      <c r="E66" t="e">
        <f t="shared" si="7"/>
        <v>#REF!</v>
      </c>
      <c r="F66" t="e">
        <f t="shared" si="8"/>
        <v>#REF!</v>
      </c>
      <c r="G66" t="e">
        <f t="shared" si="50"/>
        <v>#REF!</v>
      </c>
      <c r="J66" t="e">
        <f>Reflection!A66</f>
        <v>#REF!</v>
      </c>
      <c r="K66" t="s">
        <v>13</v>
      </c>
      <c r="L66" t="e">
        <f t="shared" si="9"/>
        <v>#REF!</v>
      </c>
      <c r="M66" t="e">
        <f t="shared" si="10"/>
        <v>#REF!</v>
      </c>
      <c r="N66" t="e">
        <f t="shared" si="11"/>
        <v>#REF!</v>
      </c>
      <c r="O66" t="e">
        <f t="shared" si="12"/>
        <v>#REF!</v>
      </c>
      <c r="P66" t="e">
        <f t="shared" si="13"/>
        <v>#REF!</v>
      </c>
      <c r="Q66" t="e">
        <f t="shared" si="14"/>
        <v>#REF!</v>
      </c>
      <c r="T66" t="e">
        <f>Reflection!A66</f>
        <v>#REF!</v>
      </c>
      <c r="U66" t="s">
        <v>13</v>
      </c>
      <c r="V66" t="e">
        <f t="shared" si="15"/>
        <v>#REF!</v>
      </c>
      <c r="W66" t="e">
        <f t="shared" si="16"/>
        <v>#REF!</v>
      </c>
      <c r="X66" t="e">
        <f t="shared" si="17"/>
        <v>#REF!</v>
      </c>
      <c r="Y66" t="e">
        <f t="shared" si="18"/>
        <v>#REF!</v>
      </c>
      <c r="Z66" t="e">
        <f t="shared" si="19"/>
        <v>#REF!</v>
      </c>
      <c r="AA66" t="e">
        <f t="shared" si="20"/>
        <v>#REF!</v>
      </c>
      <c r="AD66" t="e">
        <f>Reflection!A66</f>
        <v>#REF!</v>
      </c>
      <c r="AE66" t="s">
        <v>13</v>
      </c>
      <c r="AF66" t="e">
        <f t="shared" si="21"/>
        <v>#REF!</v>
      </c>
      <c r="AG66" t="e">
        <f t="shared" si="22"/>
        <v>#REF!</v>
      </c>
      <c r="AH66" t="e">
        <f t="shared" si="23"/>
        <v>#REF!</v>
      </c>
      <c r="AI66" t="e">
        <f t="shared" si="24"/>
        <v>#REF!</v>
      </c>
      <c r="AJ66" t="e">
        <f t="shared" si="25"/>
        <v>#REF!</v>
      </c>
      <c r="AK66" t="e">
        <f t="shared" si="26"/>
        <v>#REF!</v>
      </c>
      <c r="AN66" t="e">
        <f>Reflection!A66</f>
        <v>#REF!</v>
      </c>
      <c r="AO66" t="s">
        <v>13</v>
      </c>
      <c r="AP66" t="e">
        <f t="shared" si="27"/>
        <v>#REF!</v>
      </c>
      <c r="AQ66" t="e">
        <f t="shared" si="28"/>
        <v>#REF!</v>
      </c>
      <c r="AR66" t="e">
        <f t="shared" si="29"/>
        <v>#REF!</v>
      </c>
      <c r="AS66" t="e">
        <f t="shared" si="30"/>
        <v>#REF!</v>
      </c>
      <c r="AT66" t="e">
        <f t="shared" si="31"/>
        <v>#REF!</v>
      </c>
      <c r="AU66" t="e">
        <f t="shared" si="32"/>
        <v>#REF!</v>
      </c>
      <c r="AX66" t="e">
        <f>Reflection!A66</f>
        <v>#REF!</v>
      </c>
      <c r="AY66" t="s">
        <v>13</v>
      </c>
      <c r="AZ66" t="e">
        <f t="shared" si="33"/>
        <v>#REF!</v>
      </c>
      <c r="BA66" t="e">
        <f t="shared" si="34"/>
        <v>#REF!</v>
      </c>
      <c r="BB66" t="e">
        <f t="shared" si="35"/>
        <v>#REF!</v>
      </c>
      <c r="BC66" t="e">
        <f t="shared" si="36"/>
        <v>#REF!</v>
      </c>
      <c r="BD66" t="e">
        <f t="shared" si="37"/>
        <v>#REF!</v>
      </c>
      <c r="BE66" t="e">
        <f t="shared" si="38"/>
        <v>#REF!</v>
      </c>
      <c r="BH66" t="e">
        <f>Reflection!A66</f>
        <v>#REF!</v>
      </c>
      <c r="BI66" t="e">
        <f t="shared" si="39"/>
        <v>#REF!</v>
      </c>
      <c r="BJ66" t="e">
        <f t="shared" si="40"/>
        <v>#REF!</v>
      </c>
      <c r="BK66" t="e">
        <f t="shared" si="41"/>
        <v>#REF!</v>
      </c>
      <c r="BL66" t="e">
        <f t="shared" si="42"/>
        <v>#REF!</v>
      </c>
      <c r="BM66" t="e">
        <f t="shared" si="43"/>
        <v>#REF!</v>
      </c>
      <c r="BN66" t="e">
        <f t="shared" si="3"/>
        <v>#REF!</v>
      </c>
      <c r="BR66" t="e">
        <f>Reflection!A66</f>
        <v>#REF!</v>
      </c>
      <c r="BS66" t="s">
        <v>13</v>
      </c>
      <c r="BT66" t="e">
        <f t="shared" si="44"/>
        <v>#REF!</v>
      </c>
      <c r="BU66" t="e">
        <f t="shared" si="51"/>
        <v>#REF!</v>
      </c>
      <c r="BV66" t="e">
        <f t="shared" si="45"/>
        <v>#REF!</v>
      </c>
      <c r="BW66" t="e">
        <f t="shared" si="46"/>
        <v>#REF!</v>
      </c>
      <c r="BX66" t="e">
        <f t="shared" si="47"/>
        <v>#REF!</v>
      </c>
      <c r="BY66" t="e">
        <f t="shared" si="5"/>
        <v>#REF!</v>
      </c>
    </row>
    <row r="67" spans="1:77" x14ac:dyDescent="0.15">
      <c r="A67" t="e">
        <f>Reflection!A67</f>
        <v>#REF!</v>
      </c>
      <c r="B67" t="e">
        <f t="shared" ref="B67:B98" si="52">IMSUM(4.1,IMDIV((78.4-4.1),IMSUM(IMPRODUCT($C$1,2*PI()*A67*0.0000000000083),1)))</f>
        <v>#REF!</v>
      </c>
      <c r="C67" t="e">
        <f t="shared" ref="C67:C98" si="53">IMPRODUCT(IMPRODUCT(B67,$C$1),2*PI()*A67*0.000000000008854)</f>
        <v>#REF!</v>
      </c>
      <c r="D67" t="e">
        <f t="shared" si="6"/>
        <v>#REF!</v>
      </c>
      <c r="E67" t="e">
        <f t="shared" si="7"/>
        <v>#REF!</v>
      </c>
      <c r="F67" t="e">
        <f t="shared" si="8"/>
        <v>#REF!</v>
      </c>
      <c r="G67" t="e">
        <f t="shared" ref="G67:G98" si="54">IMAGINARY(C67)</f>
        <v>#REF!</v>
      </c>
      <c r="J67" t="e">
        <f>Reflection!A67</f>
        <v>#REF!</v>
      </c>
      <c r="K67" t="s">
        <v>13</v>
      </c>
      <c r="L67" t="e">
        <f t="shared" si="9"/>
        <v>#REF!</v>
      </c>
      <c r="M67" t="e">
        <f t="shared" si="10"/>
        <v>#REF!</v>
      </c>
      <c r="N67" t="e">
        <f t="shared" si="11"/>
        <v>#REF!</v>
      </c>
      <c r="O67" t="e">
        <f t="shared" si="12"/>
        <v>#REF!</v>
      </c>
      <c r="P67" t="e">
        <f t="shared" si="13"/>
        <v>#REF!</v>
      </c>
      <c r="Q67" t="e">
        <f t="shared" si="14"/>
        <v>#REF!</v>
      </c>
      <c r="T67" t="e">
        <f>Reflection!A67</f>
        <v>#REF!</v>
      </c>
      <c r="U67" t="s">
        <v>13</v>
      </c>
      <c r="V67" t="e">
        <f t="shared" si="15"/>
        <v>#REF!</v>
      </c>
      <c r="W67" t="e">
        <f t="shared" si="16"/>
        <v>#REF!</v>
      </c>
      <c r="X67" t="e">
        <f t="shared" si="17"/>
        <v>#REF!</v>
      </c>
      <c r="Y67" t="e">
        <f t="shared" si="18"/>
        <v>#REF!</v>
      </c>
      <c r="Z67" t="e">
        <f t="shared" si="19"/>
        <v>#REF!</v>
      </c>
      <c r="AA67" t="e">
        <f t="shared" si="20"/>
        <v>#REF!</v>
      </c>
      <c r="AD67" t="e">
        <f>Reflection!A67</f>
        <v>#REF!</v>
      </c>
      <c r="AE67" t="s">
        <v>13</v>
      </c>
      <c r="AF67" t="e">
        <f t="shared" si="21"/>
        <v>#REF!</v>
      </c>
      <c r="AG67" t="e">
        <f t="shared" si="22"/>
        <v>#REF!</v>
      </c>
      <c r="AH67" t="e">
        <f t="shared" si="23"/>
        <v>#REF!</v>
      </c>
      <c r="AI67" t="e">
        <f t="shared" si="24"/>
        <v>#REF!</v>
      </c>
      <c r="AJ67" t="e">
        <f t="shared" si="25"/>
        <v>#REF!</v>
      </c>
      <c r="AK67" t="e">
        <f t="shared" si="26"/>
        <v>#REF!</v>
      </c>
      <c r="AN67" t="e">
        <f>Reflection!A67</f>
        <v>#REF!</v>
      </c>
      <c r="AO67" t="s">
        <v>13</v>
      </c>
      <c r="AP67" t="e">
        <f t="shared" si="27"/>
        <v>#REF!</v>
      </c>
      <c r="AQ67" t="e">
        <f t="shared" si="28"/>
        <v>#REF!</v>
      </c>
      <c r="AR67" t="e">
        <f t="shared" si="29"/>
        <v>#REF!</v>
      </c>
      <c r="AS67" t="e">
        <f t="shared" si="30"/>
        <v>#REF!</v>
      </c>
      <c r="AT67" t="e">
        <f t="shared" si="31"/>
        <v>#REF!</v>
      </c>
      <c r="AU67" t="e">
        <f t="shared" si="32"/>
        <v>#REF!</v>
      </c>
      <c r="AX67" t="e">
        <f>Reflection!A67</f>
        <v>#REF!</v>
      </c>
      <c r="AY67" t="s">
        <v>13</v>
      </c>
      <c r="AZ67" t="e">
        <f t="shared" si="33"/>
        <v>#REF!</v>
      </c>
      <c r="BA67" t="e">
        <f t="shared" si="34"/>
        <v>#REF!</v>
      </c>
      <c r="BB67" t="e">
        <f t="shared" si="35"/>
        <v>#REF!</v>
      </c>
      <c r="BC67" t="e">
        <f t="shared" si="36"/>
        <v>#REF!</v>
      </c>
      <c r="BD67" t="e">
        <f t="shared" si="37"/>
        <v>#REF!</v>
      </c>
      <c r="BE67" t="e">
        <f t="shared" si="38"/>
        <v>#REF!</v>
      </c>
      <c r="BH67" t="e">
        <f>Reflection!A67</f>
        <v>#REF!</v>
      </c>
      <c r="BI67" t="e">
        <f t="shared" si="39"/>
        <v>#REF!</v>
      </c>
      <c r="BJ67" t="e">
        <f t="shared" si="40"/>
        <v>#REF!</v>
      </c>
      <c r="BK67" t="e">
        <f t="shared" si="41"/>
        <v>#REF!</v>
      </c>
      <c r="BL67" t="e">
        <f t="shared" si="42"/>
        <v>#REF!</v>
      </c>
      <c r="BM67" t="e">
        <f t="shared" si="43"/>
        <v>#REF!</v>
      </c>
      <c r="BN67" t="e">
        <f t="shared" si="3"/>
        <v>#REF!</v>
      </c>
      <c r="BR67" t="e">
        <f>Reflection!A67</f>
        <v>#REF!</v>
      </c>
      <c r="BS67" t="s">
        <v>13</v>
      </c>
      <c r="BT67" t="e">
        <f t="shared" si="44"/>
        <v>#REF!</v>
      </c>
      <c r="BU67" t="e">
        <f t="shared" ref="BU67:BU98" si="55">IMPRODUCT(IMPRODUCT(BT67,BS67),2*PI()*BR67*0.000000000008854)</f>
        <v>#REF!</v>
      </c>
      <c r="BV67" t="e">
        <f t="shared" si="45"/>
        <v>#REF!</v>
      </c>
      <c r="BW67" t="e">
        <f t="shared" si="46"/>
        <v>#REF!</v>
      </c>
      <c r="BX67" t="e">
        <f t="shared" si="47"/>
        <v>#REF!</v>
      </c>
      <c r="BY67" t="e">
        <f t="shared" si="5"/>
        <v>#REF!</v>
      </c>
    </row>
    <row r="68" spans="1:77" x14ac:dyDescent="0.15">
      <c r="A68" t="e">
        <f>Reflection!A68</f>
        <v>#REF!</v>
      </c>
      <c r="B68" t="e">
        <f t="shared" si="52"/>
        <v>#REF!</v>
      </c>
      <c r="C68" t="e">
        <f t="shared" si="53"/>
        <v>#REF!</v>
      </c>
      <c r="D68" t="e">
        <f t="shared" ref="D68:D131" si="56">IMREAL(B68)</f>
        <v>#REF!</v>
      </c>
      <c r="E68" t="e">
        <f t="shared" ref="E68:E131" si="57">-IMAGINARY(B68)</f>
        <v>#REF!</v>
      </c>
      <c r="F68" t="e">
        <f t="shared" ref="F68:F131" si="58">IMREAL(C68)</f>
        <v>#REF!</v>
      </c>
      <c r="G68" t="e">
        <f t="shared" si="54"/>
        <v>#REF!</v>
      </c>
      <c r="J68" t="e">
        <f>Reflection!A68</f>
        <v>#REF!</v>
      </c>
      <c r="K68" t="s">
        <v>13</v>
      </c>
      <c r="L68" t="e">
        <f t="shared" ref="L68:L131" si="59">IMSUM(2.6,IMDIV(19.94,IMSUM(1,IMPOWER(IMPRODUCT(K68,2*PI()*J68,0.0000000001649),1))),IMDIV(0.74,IMSUM(1,IMPRODUCT(K68,2*PI()*J68*0.0000000000104))),IMDIV(1.19,IMSUM(1,IMPRODUCT(K68,2*PI()*J68*0.00000000000169))))</f>
        <v>#REF!</v>
      </c>
      <c r="M68" t="e">
        <f t="shared" ref="M68:M131" si="60">IMPRODUCT(IMPRODUCT(L68,K68),2*PI()*J68*0.0000000000088542)</f>
        <v>#REF!</v>
      </c>
      <c r="N68" t="e">
        <f t="shared" ref="N68:N131" si="61">IMREAL(L68)</f>
        <v>#REF!</v>
      </c>
      <c r="O68" t="e">
        <f t="shared" ref="O68:O131" si="62">-IMAGINARY(L68)</f>
        <v>#REF!</v>
      </c>
      <c r="P68" t="e">
        <f t="shared" ref="P68:P131" si="63">IMREAL(M68)</f>
        <v>#REF!</v>
      </c>
      <c r="Q68" t="e">
        <f t="shared" ref="Q68:Q131" si="64">IMAGINARY(M68)</f>
        <v>#REF!</v>
      </c>
      <c r="T68" t="e">
        <f>Reflection!A68</f>
        <v>#REF!</v>
      </c>
      <c r="U68" t="s">
        <v>13</v>
      </c>
      <c r="V68" t="e">
        <f t="shared" ref="V68:V131" si="65">IMSUM(2.68,IMDIV(21.73,IMSUM(1,IMPOWER(IMPRODUCT(U68,2*PI()*T68,0.0000000001422),0.988))),IMDIV(0.77,IMSUM(1,IMPRODUCT(U68,2*PI()*T68*0.00000000000957))),IMDIV(1.32,IMSUM(1,IMPRODUCT(U68,2*PI()*T68*0.00000000000197))))</f>
        <v>#REF!</v>
      </c>
      <c r="W68" t="e">
        <f t="shared" ref="W68:W131" si="66">IMPRODUCT(IMPRODUCT(V68,U68),2*PI()*T68*0.0000000000088542)</f>
        <v>#REF!</v>
      </c>
      <c r="X68" t="e">
        <f t="shared" ref="X68:X131" si="67">IMREAL(V68)</f>
        <v>#REF!</v>
      </c>
      <c r="Y68" t="e">
        <f t="shared" ref="Y68:Y131" si="68">-IMAGINARY(V68)</f>
        <v>#REF!</v>
      </c>
      <c r="Z68" t="e">
        <f t="shared" ref="Z68:Z131" si="69">IMREAL(W68)</f>
        <v>#REF!</v>
      </c>
      <c r="AA68" t="e">
        <f t="shared" ref="AA68:AA131" si="70">IMAGINARY(W68)</f>
        <v>#REF!</v>
      </c>
      <c r="AD68" t="e">
        <f>Reflection!A68</f>
        <v>#REF!</v>
      </c>
      <c r="AE68" t="s">
        <v>13</v>
      </c>
      <c r="AF68" t="e">
        <f t="shared" ref="AF68:AF131" si="71">IMSUM(2.7,IMDIV(25.93,IMSUM(1,IMPOWER(IMPRODUCT(AE68,2*PI()*AD68,0.00000000009441),0.956))),IMDIV(1.44,IMSUM(1,IMPRODUCT(AE68,2*PI()*AD68*0.00000000000891))),IMDIV(1.28,IMSUM(1,IMPRODUCT(AE68,2*PI()*AD68*0.00000000000139))))</f>
        <v>#REF!</v>
      </c>
      <c r="AG68" t="e">
        <f t="shared" ref="AG68:AG131" si="72">IMPRODUCT(IMPRODUCT(AF68,AE68),2*PI()*AD68*0.0000000000088542)</f>
        <v>#REF!</v>
      </c>
      <c r="AH68" t="e">
        <f t="shared" ref="AH68:AH131" si="73">IMREAL(AF68)</f>
        <v>#REF!</v>
      </c>
      <c r="AI68" t="e">
        <f t="shared" ref="AI68:AI131" si="74">-IMAGINARY(AF68)</f>
        <v>#REF!</v>
      </c>
      <c r="AJ68" t="e">
        <f t="shared" ref="AJ68:AJ131" si="75">IMREAL(AG68)</f>
        <v>#REF!</v>
      </c>
      <c r="AK68" t="e">
        <f t="shared" ref="AK68:AK131" si="76">IMAGINARY(AG68)</f>
        <v>#REF!</v>
      </c>
      <c r="AN68" t="e">
        <f>Reflection!A68</f>
        <v>#REF!</v>
      </c>
      <c r="AO68" t="s">
        <v>13</v>
      </c>
      <c r="AP68" t="e">
        <f t="shared" ref="AP68:AP131" si="77">IMSUM(2.87,IMDIV(31.07,IMSUM(1,IMPOWER(IMPRODUCT(AO68,2*PI()*AN68,0.00000000005957),0.934))),IMDIV(1.79,IMSUM(1,IMPRODUCT(AO68,2*PI()*AN68*0.0000000000095))),IMDIV(1.21,IMSUM(1,IMPRODUCT(AO68,2*PI()*AN68*0.00000000000108))))</f>
        <v>#REF!</v>
      </c>
      <c r="AQ68" t="e">
        <f t="shared" ref="AQ68:AQ131" si="78">IMPRODUCT(IMPRODUCT(AP68,AO68),2*PI()*AN68*0.0000000000088542)</f>
        <v>#REF!</v>
      </c>
      <c r="AR68" t="e">
        <f t="shared" ref="AR68:AR131" si="79">IMREAL(AP68)</f>
        <v>#REF!</v>
      </c>
      <c r="AS68" t="e">
        <f t="shared" ref="AS68:AS131" si="80">-IMAGINARY(AP68)</f>
        <v>#REF!</v>
      </c>
      <c r="AT68" t="e">
        <f t="shared" ref="AT68:AT131" si="81">IMREAL(AQ68)</f>
        <v>#REF!</v>
      </c>
      <c r="AU68" t="e">
        <f t="shared" ref="AU68:AU131" si="82">IMAGINARY(AQ68)</f>
        <v>#REF!</v>
      </c>
      <c r="AX68" t="e">
        <f>Reflection!A68</f>
        <v>#REF!</v>
      </c>
      <c r="AY68" t="s">
        <v>13</v>
      </c>
      <c r="AZ68" t="e">
        <f t="shared" ref="AZ68:AZ131" si="83">IMSUM(3.14,IMDIV(42.45,IMSUM(1,IMPOWER(IMPRODUCT(AY68,2*PI()*AX68,0.00000000003598),0.94))),IMDIV(0.86,IMSUM(1,IMPRODUCT(AY68,2*PI()*AX68*0.00000000000744))),IMDIV(1.49,IMSUM(1,IMPRODUCT(AY68,2*PI()*AX68*0.00000000000125))))</f>
        <v>#REF!</v>
      </c>
      <c r="BA68" t="e">
        <f t="shared" ref="BA68:BA131" si="84">IMPRODUCT(IMPRODUCT(AZ68,AY68),2*PI()*AX68*0.0000000000088542)</f>
        <v>#REF!</v>
      </c>
      <c r="BB68" t="e">
        <f t="shared" ref="BB68:BB131" si="85">IMREAL(AZ68)</f>
        <v>#REF!</v>
      </c>
      <c r="BC68" t="e">
        <f t="shared" ref="BC68:BC131" si="86">-IMAGINARY(AZ68)</f>
        <v>#REF!</v>
      </c>
      <c r="BD68" t="e">
        <f t="shared" ref="BD68:BD131" si="87">IMREAL(BA68)</f>
        <v>#REF!</v>
      </c>
      <c r="BE68" t="e">
        <f t="shared" ref="BE68:BE131" si="88">IMAGINARY(BA68)</f>
        <v>#REF!</v>
      </c>
      <c r="BH68" t="e">
        <f>Reflection!A68</f>
        <v>#REF!</v>
      </c>
      <c r="BI68" t="e">
        <f t="shared" ref="BI68:BI131" si="89">IMSUM($BJ$1,IMSUM(IMDIV(($BK$1-$BJ$1),IMSUM(IMPOWER(IMPRODUCT($BP$1,2*PI()*BH68*$BL$1),(1-$BM$1)),1)),IMDIV($BN$1,IMPRODUCT($BP$1,2*PI()*BH68*0.000000000008854))))</f>
        <v>#REF!</v>
      </c>
      <c r="BJ68" t="e">
        <f t="shared" ref="BJ68:BJ131" si="90">IMPRODUCT(IMPRODUCT(BI68,$BP$1),2*PI()*BH68*0.000000000008854)</f>
        <v>#REF!</v>
      </c>
      <c r="BK68" t="e">
        <f t="shared" ref="BK68:BK131" si="91">IMREAL(BI68)</f>
        <v>#REF!</v>
      </c>
      <c r="BL68" t="e">
        <f t="shared" ref="BL68:BL131" si="92">-IMAGINARY(BI68)</f>
        <v>#REF!</v>
      </c>
      <c r="BM68" t="e">
        <f t="shared" ref="BM68:BM131" si="93">IMREAL(BJ68)</f>
        <v>#REF!</v>
      </c>
      <c r="BN68" t="e">
        <f t="shared" ref="BN68:BN131" si="94">IMAGINARY(BJ68)</f>
        <v>#REF!</v>
      </c>
      <c r="BR68" t="e">
        <f>Reflection!A68</f>
        <v>#REF!</v>
      </c>
      <c r="BS68" t="s">
        <v>13</v>
      </c>
      <c r="BT68" t="e">
        <f t="shared" ref="BT68:BT131" si="95">IMSUM(4.1,IMDIV((78.4-4.1),IMSUM(IMPRODUCT(BS68,2*PI()*BR68*0.0000000000083),1)))</f>
        <v>#REF!</v>
      </c>
      <c r="BU68" t="e">
        <f t="shared" si="55"/>
        <v>#REF!</v>
      </c>
      <c r="BV68" t="e">
        <f t="shared" ref="BV68:BV131" si="96">IMREAL(BT68)</f>
        <v>#REF!</v>
      </c>
      <c r="BW68" t="e">
        <f t="shared" ref="BW68:BW131" si="97">-IMAGINARY(BT68)</f>
        <v>#REF!</v>
      </c>
      <c r="BX68" t="e">
        <f t="shared" ref="BX68:BX131" si="98">IMREAL(BU68)</f>
        <v>#REF!</v>
      </c>
      <c r="BY68" t="e">
        <f t="shared" ref="BY68:BY131" si="99">IMAGINARY(BU68)</f>
        <v>#REF!</v>
      </c>
    </row>
    <row r="69" spans="1:77" x14ac:dyDescent="0.15">
      <c r="A69" t="e">
        <f>Reflection!A69</f>
        <v>#REF!</v>
      </c>
      <c r="B69" t="e">
        <f t="shared" si="52"/>
        <v>#REF!</v>
      </c>
      <c r="C69" t="e">
        <f t="shared" si="53"/>
        <v>#REF!</v>
      </c>
      <c r="D69" t="e">
        <f t="shared" si="56"/>
        <v>#REF!</v>
      </c>
      <c r="E69" t="e">
        <f t="shared" si="57"/>
        <v>#REF!</v>
      </c>
      <c r="F69" t="e">
        <f t="shared" si="58"/>
        <v>#REF!</v>
      </c>
      <c r="G69" t="e">
        <f t="shared" si="54"/>
        <v>#REF!</v>
      </c>
      <c r="J69" t="e">
        <f>Reflection!A69</f>
        <v>#REF!</v>
      </c>
      <c r="K69" t="s">
        <v>13</v>
      </c>
      <c r="L69" t="e">
        <f t="shared" si="59"/>
        <v>#REF!</v>
      </c>
      <c r="M69" t="e">
        <f t="shared" si="60"/>
        <v>#REF!</v>
      </c>
      <c r="N69" t="e">
        <f t="shared" si="61"/>
        <v>#REF!</v>
      </c>
      <c r="O69" t="e">
        <f t="shared" si="62"/>
        <v>#REF!</v>
      </c>
      <c r="P69" t="e">
        <f t="shared" si="63"/>
        <v>#REF!</v>
      </c>
      <c r="Q69" t="e">
        <f t="shared" si="64"/>
        <v>#REF!</v>
      </c>
      <c r="T69" t="e">
        <f>Reflection!A69</f>
        <v>#REF!</v>
      </c>
      <c r="U69" t="s">
        <v>13</v>
      </c>
      <c r="V69" t="e">
        <f t="shared" si="65"/>
        <v>#REF!</v>
      </c>
      <c r="W69" t="e">
        <f t="shared" si="66"/>
        <v>#REF!</v>
      </c>
      <c r="X69" t="e">
        <f t="shared" si="67"/>
        <v>#REF!</v>
      </c>
      <c r="Y69" t="e">
        <f t="shared" si="68"/>
        <v>#REF!</v>
      </c>
      <c r="Z69" t="e">
        <f t="shared" si="69"/>
        <v>#REF!</v>
      </c>
      <c r="AA69" t="e">
        <f t="shared" si="70"/>
        <v>#REF!</v>
      </c>
      <c r="AD69" t="e">
        <f>Reflection!A69</f>
        <v>#REF!</v>
      </c>
      <c r="AE69" t="s">
        <v>13</v>
      </c>
      <c r="AF69" t="e">
        <f t="shared" si="71"/>
        <v>#REF!</v>
      </c>
      <c r="AG69" t="e">
        <f t="shared" si="72"/>
        <v>#REF!</v>
      </c>
      <c r="AH69" t="e">
        <f t="shared" si="73"/>
        <v>#REF!</v>
      </c>
      <c r="AI69" t="e">
        <f t="shared" si="74"/>
        <v>#REF!</v>
      </c>
      <c r="AJ69" t="e">
        <f t="shared" si="75"/>
        <v>#REF!</v>
      </c>
      <c r="AK69" t="e">
        <f t="shared" si="76"/>
        <v>#REF!</v>
      </c>
      <c r="AN69" t="e">
        <f>Reflection!A69</f>
        <v>#REF!</v>
      </c>
      <c r="AO69" t="s">
        <v>13</v>
      </c>
      <c r="AP69" t="e">
        <f t="shared" si="77"/>
        <v>#REF!</v>
      </c>
      <c r="AQ69" t="e">
        <f t="shared" si="78"/>
        <v>#REF!</v>
      </c>
      <c r="AR69" t="e">
        <f t="shared" si="79"/>
        <v>#REF!</v>
      </c>
      <c r="AS69" t="e">
        <f t="shared" si="80"/>
        <v>#REF!</v>
      </c>
      <c r="AT69" t="e">
        <f t="shared" si="81"/>
        <v>#REF!</v>
      </c>
      <c r="AU69" t="e">
        <f t="shared" si="82"/>
        <v>#REF!</v>
      </c>
      <c r="AX69" t="e">
        <f>Reflection!A69</f>
        <v>#REF!</v>
      </c>
      <c r="AY69" t="s">
        <v>13</v>
      </c>
      <c r="AZ69" t="e">
        <f t="shared" si="83"/>
        <v>#REF!</v>
      </c>
      <c r="BA69" t="e">
        <f t="shared" si="84"/>
        <v>#REF!</v>
      </c>
      <c r="BB69" t="e">
        <f t="shared" si="85"/>
        <v>#REF!</v>
      </c>
      <c r="BC69" t="e">
        <f t="shared" si="86"/>
        <v>#REF!</v>
      </c>
      <c r="BD69" t="e">
        <f t="shared" si="87"/>
        <v>#REF!</v>
      </c>
      <c r="BE69" t="e">
        <f t="shared" si="88"/>
        <v>#REF!</v>
      </c>
      <c r="BH69" t="e">
        <f>Reflection!A69</f>
        <v>#REF!</v>
      </c>
      <c r="BI69" t="e">
        <f t="shared" si="89"/>
        <v>#REF!</v>
      </c>
      <c r="BJ69" t="e">
        <f t="shared" si="90"/>
        <v>#REF!</v>
      </c>
      <c r="BK69" t="e">
        <f t="shared" si="91"/>
        <v>#REF!</v>
      </c>
      <c r="BL69" t="e">
        <f t="shared" si="92"/>
        <v>#REF!</v>
      </c>
      <c r="BM69" t="e">
        <f t="shared" si="93"/>
        <v>#REF!</v>
      </c>
      <c r="BN69" t="e">
        <f t="shared" si="94"/>
        <v>#REF!</v>
      </c>
      <c r="BR69" t="e">
        <f>Reflection!A69</f>
        <v>#REF!</v>
      </c>
      <c r="BS69" t="s">
        <v>13</v>
      </c>
      <c r="BT69" t="e">
        <f t="shared" si="95"/>
        <v>#REF!</v>
      </c>
      <c r="BU69" t="e">
        <f t="shared" si="55"/>
        <v>#REF!</v>
      </c>
      <c r="BV69" t="e">
        <f t="shared" si="96"/>
        <v>#REF!</v>
      </c>
      <c r="BW69" t="e">
        <f t="shared" si="97"/>
        <v>#REF!</v>
      </c>
      <c r="BX69" t="e">
        <f t="shared" si="98"/>
        <v>#REF!</v>
      </c>
      <c r="BY69" t="e">
        <f t="shared" si="99"/>
        <v>#REF!</v>
      </c>
    </row>
    <row r="70" spans="1:77" x14ac:dyDescent="0.15">
      <c r="A70" t="e">
        <f>Reflection!A70</f>
        <v>#REF!</v>
      </c>
      <c r="B70" t="e">
        <f t="shared" si="52"/>
        <v>#REF!</v>
      </c>
      <c r="C70" t="e">
        <f t="shared" si="53"/>
        <v>#REF!</v>
      </c>
      <c r="D70" t="e">
        <f t="shared" si="56"/>
        <v>#REF!</v>
      </c>
      <c r="E70" t="e">
        <f t="shared" si="57"/>
        <v>#REF!</v>
      </c>
      <c r="F70" t="e">
        <f t="shared" si="58"/>
        <v>#REF!</v>
      </c>
      <c r="G70" t="e">
        <f t="shared" si="54"/>
        <v>#REF!</v>
      </c>
      <c r="J70" t="e">
        <f>Reflection!A70</f>
        <v>#REF!</v>
      </c>
      <c r="K70" t="s">
        <v>13</v>
      </c>
      <c r="L70" t="e">
        <f t="shared" si="59"/>
        <v>#REF!</v>
      </c>
      <c r="M70" t="e">
        <f t="shared" si="60"/>
        <v>#REF!</v>
      </c>
      <c r="N70" t="e">
        <f t="shared" si="61"/>
        <v>#REF!</v>
      </c>
      <c r="O70" t="e">
        <f t="shared" si="62"/>
        <v>#REF!</v>
      </c>
      <c r="P70" t="e">
        <f t="shared" si="63"/>
        <v>#REF!</v>
      </c>
      <c r="Q70" t="e">
        <f t="shared" si="64"/>
        <v>#REF!</v>
      </c>
      <c r="T70" t="e">
        <f>Reflection!A70</f>
        <v>#REF!</v>
      </c>
      <c r="U70" t="s">
        <v>13</v>
      </c>
      <c r="V70" t="e">
        <f t="shared" si="65"/>
        <v>#REF!</v>
      </c>
      <c r="W70" t="e">
        <f t="shared" si="66"/>
        <v>#REF!</v>
      </c>
      <c r="X70" t="e">
        <f t="shared" si="67"/>
        <v>#REF!</v>
      </c>
      <c r="Y70" t="e">
        <f t="shared" si="68"/>
        <v>#REF!</v>
      </c>
      <c r="Z70" t="e">
        <f t="shared" si="69"/>
        <v>#REF!</v>
      </c>
      <c r="AA70" t="e">
        <f t="shared" si="70"/>
        <v>#REF!</v>
      </c>
      <c r="AD70" t="e">
        <f>Reflection!A70</f>
        <v>#REF!</v>
      </c>
      <c r="AE70" t="s">
        <v>13</v>
      </c>
      <c r="AF70" t="e">
        <f t="shared" si="71"/>
        <v>#REF!</v>
      </c>
      <c r="AG70" t="e">
        <f t="shared" si="72"/>
        <v>#REF!</v>
      </c>
      <c r="AH70" t="e">
        <f t="shared" si="73"/>
        <v>#REF!</v>
      </c>
      <c r="AI70" t="e">
        <f t="shared" si="74"/>
        <v>#REF!</v>
      </c>
      <c r="AJ70" t="e">
        <f t="shared" si="75"/>
        <v>#REF!</v>
      </c>
      <c r="AK70" t="e">
        <f t="shared" si="76"/>
        <v>#REF!</v>
      </c>
      <c r="AN70" t="e">
        <f>Reflection!A70</f>
        <v>#REF!</v>
      </c>
      <c r="AO70" t="s">
        <v>13</v>
      </c>
      <c r="AP70" t="e">
        <f t="shared" si="77"/>
        <v>#REF!</v>
      </c>
      <c r="AQ70" t="e">
        <f t="shared" si="78"/>
        <v>#REF!</v>
      </c>
      <c r="AR70" t="e">
        <f t="shared" si="79"/>
        <v>#REF!</v>
      </c>
      <c r="AS70" t="e">
        <f t="shared" si="80"/>
        <v>#REF!</v>
      </c>
      <c r="AT70" t="e">
        <f t="shared" si="81"/>
        <v>#REF!</v>
      </c>
      <c r="AU70" t="e">
        <f t="shared" si="82"/>
        <v>#REF!</v>
      </c>
      <c r="AX70" t="e">
        <f>Reflection!A70</f>
        <v>#REF!</v>
      </c>
      <c r="AY70" t="s">
        <v>13</v>
      </c>
      <c r="AZ70" t="e">
        <f t="shared" si="83"/>
        <v>#REF!</v>
      </c>
      <c r="BA70" t="e">
        <f t="shared" si="84"/>
        <v>#REF!</v>
      </c>
      <c r="BB70" t="e">
        <f t="shared" si="85"/>
        <v>#REF!</v>
      </c>
      <c r="BC70" t="e">
        <f t="shared" si="86"/>
        <v>#REF!</v>
      </c>
      <c r="BD70" t="e">
        <f t="shared" si="87"/>
        <v>#REF!</v>
      </c>
      <c r="BE70" t="e">
        <f t="shared" si="88"/>
        <v>#REF!</v>
      </c>
      <c r="BH70" t="e">
        <f>Reflection!A70</f>
        <v>#REF!</v>
      </c>
      <c r="BI70" t="e">
        <f t="shared" si="89"/>
        <v>#REF!</v>
      </c>
      <c r="BJ70" t="e">
        <f t="shared" si="90"/>
        <v>#REF!</v>
      </c>
      <c r="BK70" t="e">
        <f t="shared" si="91"/>
        <v>#REF!</v>
      </c>
      <c r="BL70" t="e">
        <f t="shared" si="92"/>
        <v>#REF!</v>
      </c>
      <c r="BM70" t="e">
        <f t="shared" si="93"/>
        <v>#REF!</v>
      </c>
      <c r="BN70" t="e">
        <f t="shared" si="94"/>
        <v>#REF!</v>
      </c>
      <c r="BR70" t="e">
        <f>Reflection!A70</f>
        <v>#REF!</v>
      </c>
      <c r="BS70" t="s">
        <v>13</v>
      </c>
      <c r="BT70" t="e">
        <f t="shared" si="95"/>
        <v>#REF!</v>
      </c>
      <c r="BU70" t="e">
        <f t="shared" si="55"/>
        <v>#REF!</v>
      </c>
      <c r="BV70" t="e">
        <f t="shared" si="96"/>
        <v>#REF!</v>
      </c>
      <c r="BW70" t="e">
        <f t="shared" si="97"/>
        <v>#REF!</v>
      </c>
      <c r="BX70" t="e">
        <f t="shared" si="98"/>
        <v>#REF!</v>
      </c>
      <c r="BY70" t="e">
        <f t="shared" si="99"/>
        <v>#REF!</v>
      </c>
    </row>
    <row r="71" spans="1:77" x14ac:dyDescent="0.15">
      <c r="A71" t="e">
        <f>Reflection!A71</f>
        <v>#REF!</v>
      </c>
      <c r="B71" t="e">
        <f t="shared" si="52"/>
        <v>#REF!</v>
      </c>
      <c r="C71" t="e">
        <f t="shared" si="53"/>
        <v>#REF!</v>
      </c>
      <c r="D71" t="e">
        <f t="shared" si="56"/>
        <v>#REF!</v>
      </c>
      <c r="E71" t="e">
        <f t="shared" si="57"/>
        <v>#REF!</v>
      </c>
      <c r="F71" t="e">
        <f t="shared" si="58"/>
        <v>#REF!</v>
      </c>
      <c r="G71" t="e">
        <f t="shared" si="54"/>
        <v>#REF!</v>
      </c>
      <c r="J71" t="e">
        <f>Reflection!A71</f>
        <v>#REF!</v>
      </c>
      <c r="K71" t="s">
        <v>13</v>
      </c>
      <c r="L71" t="e">
        <f t="shared" si="59"/>
        <v>#REF!</v>
      </c>
      <c r="M71" t="e">
        <f t="shared" si="60"/>
        <v>#REF!</v>
      </c>
      <c r="N71" t="e">
        <f t="shared" si="61"/>
        <v>#REF!</v>
      </c>
      <c r="O71" t="e">
        <f t="shared" si="62"/>
        <v>#REF!</v>
      </c>
      <c r="P71" t="e">
        <f t="shared" si="63"/>
        <v>#REF!</v>
      </c>
      <c r="Q71" t="e">
        <f t="shared" si="64"/>
        <v>#REF!</v>
      </c>
      <c r="T71" t="e">
        <f>Reflection!A71</f>
        <v>#REF!</v>
      </c>
      <c r="U71" t="s">
        <v>13</v>
      </c>
      <c r="V71" t="e">
        <f t="shared" si="65"/>
        <v>#REF!</v>
      </c>
      <c r="W71" t="e">
        <f t="shared" si="66"/>
        <v>#REF!</v>
      </c>
      <c r="X71" t="e">
        <f t="shared" si="67"/>
        <v>#REF!</v>
      </c>
      <c r="Y71" t="e">
        <f t="shared" si="68"/>
        <v>#REF!</v>
      </c>
      <c r="Z71" t="e">
        <f t="shared" si="69"/>
        <v>#REF!</v>
      </c>
      <c r="AA71" t="e">
        <f t="shared" si="70"/>
        <v>#REF!</v>
      </c>
      <c r="AD71" t="e">
        <f>Reflection!A71</f>
        <v>#REF!</v>
      </c>
      <c r="AE71" t="s">
        <v>13</v>
      </c>
      <c r="AF71" t="e">
        <f t="shared" si="71"/>
        <v>#REF!</v>
      </c>
      <c r="AG71" t="e">
        <f t="shared" si="72"/>
        <v>#REF!</v>
      </c>
      <c r="AH71" t="e">
        <f t="shared" si="73"/>
        <v>#REF!</v>
      </c>
      <c r="AI71" t="e">
        <f t="shared" si="74"/>
        <v>#REF!</v>
      </c>
      <c r="AJ71" t="e">
        <f t="shared" si="75"/>
        <v>#REF!</v>
      </c>
      <c r="AK71" t="e">
        <f t="shared" si="76"/>
        <v>#REF!</v>
      </c>
      <c r="AN71" t="e">
        <f>Reflection!A71</f>
        <v>#REF!</v>
      </c>
      <c r="AO71" t="s">
        <v>13</v>
      </c>
      <c r="AP71" t="e">
        <f t="shared" si="77"/>
        <v>#REF!</v>
      </c>
      <c r="AQ71" t="e">
        <f t="shared" si="78"/>
        <v>#REF!</v>
      </c>
      <c r="AR71" t="e">
        <f t="shared" si="79"/>
        <v>#REF!</v>
      </c>
      <c r="AS71" t="e">
        <f t="shared" si="80"/>
        <v>#REF!</v>
      </c>
      <c r="AT71" t="e">
        <f t="shared" si="81"/>
        <v>#REF!</v>
      </c>
      <c r="AU71" t="e">
        <f t="shared" si="82"/>
        <v>#REF!</v>
      </c>
      <c r="AX71" t="e">
        <f>Reflection!A71</f>
        <v>#REF!</v>
      </c>
      <c r="AY71" t="s">
        <v>13</v>
      </c>
      <c r="AZ71" t="e">
        <f t="shared" si="83"/>
        <v>#REF!</v>
      </c>
      <c r="BA71" t="e">
        <f t="shared" si="84"/>
        <v>#REF!</v>
      </c>
      <c r="BB71" t="e">
        <f t="shared" si="85"/>
        <v>#REF!</v>
      </c>
      <c r="BC71" t="e">
        <f t="shared" si="86"/>
        <v>#REF!</v>
      </c>
      <c r="BD71" t="e">
        <f t="shared" si="87"/>
        <v>#REF!</v>
      </c>
      <c r="BE71" t="e">
        <f t="shared" si="88"/>
        <v>#REF!</v>
      </c>
      <c r="BH71" t="e">
        <f>Reflection!A71</f>
        <v>#REF!</v>
      </c>
      <c r="BI71" t="e">
        <f t="shared" si="89"/>
        <v>#REF!</v>
      </c>
      <c r="BJ71" t="e">
        <f t="shared" si="90"/>
        <v>#REF!</v>
      </c>
      <c r="BK71" t="e">
        <f t="shared" si="91"/>
        <v>#REF!</v>
      </c>
      <c r="BL71" t="e">
        <f t="shared" si="92"/>
        <v>#REF!</v>
      </c>
      <c r="BM71" t="e">
        <f t="shared" si="93"/>
        <v>#REF!</v>
      </c>
      <c r="BN71" t="e">
        <f t="shared" si="94"/>
        <v>#REF!</v>
      </c>
      <c r="BR71" t="e">
        <f>Reflection!A71</f>
        <v>#REF!</v>
      </c>
      <c r="BS71" t="s">
        <v>13</v>
      </c>
      <c r="BT71" t="e">
        <f t="shared" si="95"/>
        <v>#REF!</v>
      </c>
      <c r="BU71" t="e">
        <f t="shared" si="55"/>
        <v>#REF!</v>
      </c>
      <c r="BV71" t="e">
        <f t="shared" si="96"/>
        <v>#REF!</v>
      </c>
      <c r="BW71" t="e">
        <f t="shared" si="97"/>
        <v>#REF!</v>
      </c>
      <c r="BX71" t="e">
        <f t="shared" si="98"/>
        <v>#REF!</v>
      </c>
      <c r="BY71" t="e">
        <f t="shared" si="99"/>
        <v>#REF!</v>
      </c>
    </row>
    <row r="72" spans="1:77" x14ac:dyDescent="0.15">
      <c r="A72" t="e">
        <f>Reflection!A72</f>
        <v>#REF!</v>
      </c>
      <c r="B72" t="e">
        <f t="shared" si="52"/>
        <v>#REF!</v>
      </c>
      <c r="C72" t="e">
        <f t="shared" si="53"/>
        <v>#REF!</v>
      </c>
      <c r="D72" t="e">
        <f t="shared" si="56"/>
        <v>#REF!</v>
      </c>
      <c r="E72" t="e">
        <f t="shared" si="57"/>
        <v>#REF!</v>
      </c>
      <c r="F72" t="e">
        <f t="shared" si="58"/>
        <v>#REF!</v>
      </c>
      <c r="G72" t="e">
        <f t="shared" si="54"/>
        <v>#REF!</v>
      </c>
      <c r="J72" t="e">
        <f>Reflection!A72</f>
        <v>#REF!</v>
      </c>
      <c r="K72" t="s">
        <v>13</v>
      </c>
      <c r="L72" t="e">
        <f t="shared" si="59"/>
        <v>#REF!</v>
      </c>
      <c r="M72" t="e">
        <f t="shared" si="60"/>
        <v>#REF!</v>
      </c>
      <c r="N72" t="e">
        <f t="shared" si="61"/>
        <v>#REF!</v>
      </c>
      <c r="O72" t="e">
        <f t="shared" si="62"/>
        <v>#REF!</v>
      </c>
      <c r="P72" t="e">
        <f t="shared" si="63"/>
        <v>#REF!</v>
      </c>
      <c r="Q72" t="e">
        <f t="shared" si="64"/>
        <v>#REF!</v>
      </c>
      <c r="T72" t="e">
        <f>Reflection!A72</f>
        <v>#REF!</v>
      </c>
      <c r="U72" t="s">
        <v>13</v>
      </c>
      <c r="V72" t="e">
        <f t="shared" si="65"/>
        <v>#REF!</v>
      </c>
      <c r="W72" t="e">
        <f t="shared" si="66"/>
        <v>#REF!</v>
      </c>
      <c r="X72" t="e">
        <f t="shared" si="67"/>
        <v>#REF!</v>
      </c>
      <c r="Y72" t="e">
        <f t="shared" si="68"/>
        <v>#REF!</v>
      </c>
      <c r="Z72" t="e">
        <f t="shared" si="69"/>
        <v>#REF!</v>
      </c>
      <c r="AA72" t="e">
        <f t="shared" si="70"/>
        <v>#REF!</v>
      </c>
      <c r="AD72" t="e">
        <f>Reflection!A72</f>
        <v>#REF!</v>
      </c>
      <c r="AE72" t="s">
        <v>13</v>
      </c>
      <c r="AF72" t="e">
        <f t="shared" si="71"/>
        <v>#REF!</v>
      </c>
      <c r="AG72" t="e">
        <f t="shared" si="72"/>
        <v>#REF!</v>
      </c>
      <c r="AH72" t="e">
        <f t="shared" si="73"/>
        <v>#REF!</v>
      </c>
      <c r="AI72" t="e">
        <f t="shared" si="74"/>
        <v>#REF!</v>
      </c>
      <c r="AJ72" t="e">
        <f t="shared" si="75"/>
        <v>#REF!</v>
      </c>
      <c r="AK72" t="e">
        <f t="shared" si="76"/>
        <v>#REF!</v>
      </c>
      <c r="AN72" t="e">
        <f>Reflection!A72</f>
        <v>#REF!</v>
      </c>
      <c r="AO72" t="s">
        <v>13</v>
      </c>
      <c r="AP72" t="e">
        <f t="shared" si="77"/>
        <v>#REF!</v>
      </c>
      <c r="AQ72" t="e">
        <f t="shared" si="78"/>
        <v>#REF!</v>
      </c>
      <c r="AR72" t="e">
        <f t="shared" si="79"/>
        <v>#REF!</v>
      </c>
      <c r="AS72" t="e">
        <f t="shared" si="80"/>
        <v>#REF!</v>
      </c>
      <c r="AT72" t="e">
        <f t="shared" si="81"/>
        <v>#REF!</v>
      </c>
      <c r="AU72" t="e">
        <f t="shared" si="82"/>
        <v>#REF!</v>
      </c>
      <c r="AX72" t="e">
        <f>Reflection!A72</f>
        <v>#REF!</v>
      </c>
      <c r="AY72" t="s">
        <v>13</v>
      </c>
      <c r="AZ72" t="e">
        <f t="shared" si="83"/>
        <v>#REF!</v>
      </c>
      <c r="BA72" t="e">
        <f t="shared" si="84"/>
        <v>#REF!</v>
      </c>
      <c r="BB72" t="e">
        <f t="shared" si="85"/>
        <v>#REF!</v>
      </c>
      <c r="BC72" t="e">
        <f t="shared" si="86"/>
        <v>#REF!</v>
      </c>
      <c r="BD72" t="e">
        <f t="shared" si="87"/>
        <v>#REF!</v>
      </c>
      <c r="BE72" t="e">
        <f t="shared" si="88"/>
        <v>#REF!</v>
      </c>
      <c r="BH72" t="e">
        <f>Reflection!A72</f>
        <v>#REF!</v>
      </c>
      <c r="BI72" t="e">
        <f t="shared" si="89"/>
        <v>#REF!</v>
      </c>
      <c r="BJ72" t="e">
        <f t="shared" si="90"/>
        <v>#REF!</v>
      </c>
      <c r="BK72" t="e">
        <f t="shared" si="91"/>
        <v>#REF!</v>
      </c>
      <c r="BL72" t="e">
        <f t="shared" si="92"/>
        <v>#REF!</v>
      </c>
      <c r="BM72" t="e">
        <f t="shared" si="93"/>
        <v>#REF!</v>
      </c>
      <c r="BN72" t="e">
        <f t="shared" si="94"/>
        <v>#REF!</v>
      </c>
      <c r="BR72" t="e">
        <f>Reflection!A72</f>
        <v>#REF!</v>
      </c>
      <c r="BS72" t="s">
        <v>13</v>
      </c>
      <c r="BT72" t="e">
        <f t="shared" si="95"/>
        <v>#REF!</v>
      </c>
      <c r="BU72" t="e">
        <f t="shared" si="55"/>
        <v>#REF!</v>
      </c>
      <c r="BV72" t="e">
        <f t="shared" si="96"/>
        <v>#REF!</v>
      </c>
      <c r="BW72" t="e">
        <f t="shared" si="97"/>
        <v>#REF!</v>
      </c>
      <c r="BX72" t="e">
        <f t="shared" si="98"/>
        <v>#REF!</v>
      </c>
      <c r="BY72" t="e">
        <f t="shared" si="99"/>
        <v>#REF!</v>
      </c>
    </row>
    <row r="73" spans="1:77" x14ac:dyDescent="0.15">
      <c r="A73" t="e">
        <f>Reflection!A73</f>
        <v>#REF!</v>
      </c>
      <c r="B73" t="e">
        <f t="shared" si="52"/>
        <v>#REF!</v>
      </c>
      <c r="C73" t="e">
        <f t="shared" si="53"/>
        <v>#REF!</v>
      </c>
      <c r="D73" t="e">
        <f t="shared" si="56"/>
        <v>#REF!</v>
      </c>
      <c r="E73" t="e">
        <f t="shared" si="57"/>
        <v>#REF!</v>
      </c>
      <c r="F73" t="e">
        <f t="shared" si="58"/>
        <v>#REF!</v>
      </c>
      <c r="G73" t="e">
        <f t="shared" si="54"/>
        <v>#REF!</v>
      </c>
      <c r="J73" t="e">
        <f>Reflection!A73</f>
        <v>#REF!</v>
      </c>
      <c r="K73" t="s">
        <v>13</v>
      </c>
      <c r="L73" t="e">
        <f t="shared" si="59"/>
        <v>#REF!</v>
      </c>
      <c r="M73" t="e">
        <f t="shared" si="60"/>
        <v>#REF!</v>
      </c>
      <c r="N73" t="e">
        <f t="shared" si="61"/>
        <v>#REF!</v>
      </c>
      <c r="O73" t="e">
        <f t="shared" si="62"/>
        <v>#REF!</v>
      </c>
      <c r="P73" t="e">
        <f t="shared" si="63"/>
        <v>#REF!</v>
      </c>
      <c r="Q73" t="e">
        <f t="shared" si="64"/>
        <v>#REF!</v>
      </c>
      <c r="T73" t="e">
        <f>Reflection!A73</f>
        <v>#REF!</v>
      </c>
      <c r="U73" t="s">
        <v>13</v>
      </c>
      <c r="V73" t="e">
        <f t="shared" si="65"/>
        <v>#REF!</v>
      </c>
      <c r="W73" t="e">
        <f t="shared" si="66"/>
        <v>#REF!</v>
      </c>
      <c r="X73" t="e">
        <f t="shared" si="67"/>
        <v>#REF!</v>
      </c>
      <c r="Y73" t="e">
        <f t="shared" si="68"/>
        <v>#REF!</v>
      </c>
      <c r="Z73" t="e">
        <f t="shared" si="69"/>
        <v>#REF!</v>
      </c>
      <c r="AA73" t="e">
        <f t="shared" si="70"/>
        <v>#REF!</v>
      </c>
      <c r="AD73" t="e">
        <f>Reflection!A73</f>
        <v>#REF!</v>
      </c>
      <c r="AE73" t="s">
        <v>13</v>
      </c>
      <c r="AF73" t="e">
        <f t="shared" si="71"/>
        <v>#REF!</v>
      </c>
      <c r="AG73" t="e">
        <f t="shared" si="72"/>
        <v>#REF!</v>
      </c>
      <c r="AH73" t="e">
        <f t="shared" si="73"/>
        <v>#REF!</v>
      </c>
      <c r="AI73" t="e">
        <f t="shared" si="74"/>
        <v>#REF!</v>
      </c>
      <c r="AJ73" t="e">
        <f t="shared" si="75"/>
        <v>#REF!</v>
      </c>
      <c r="AK73" t="e">
        <f t="shared" si="76"/>
        <v>#REF!</v>
      </c>
      <c r="AN73" t="e">
        <f>Reflection!A73</f>
        <v>#REF!</v>
      </c>
      <c r="AO73" t="s">
        <v>13</v>
      </c>
      <c r="AP73" t="e">
        <f t="shared" si="77"/>
        <v>#REF!</v>
      </c>
      <c r="AQ73" t="e">
        <f t="shared" si="78"/>
        <v>#REF!</v>
      </c>
      <c r="AR73" t="e">
        <f t="shared" si="79"/>
        <v>#REF!</v>
      </c>
      <c r="AS73" t="e">
        <f t="shared" si="80"/>
        <v>#REF!</v>
      </c>
      <c r="AT73" t="e">
        <f t="shared" si="81"/>
        <v>#REF!</v>
      </c>
      <c r="AU73" t="e">
        <f t="shared" si="82"/>
        <v>#REF!</v>
      </c>
      <c r="AX73" t="e">
        <f>Reflection!A73</f>
        <v>#REF!</v>
      </c>
      <c r="AY73" t="s">
        <v>13</v>
      </c>
      <c r="AZ73" t="e">
        <f t="shared" si="83"/>
        <v>#REF!</v>
      </c>
      <c r="BA73" t="e">
        <f t="shared" si="84"/>
        <v>#REF!</v>
      </c>
      <c r="BB73" t="e">
        <f t="shared" si="85"/>
        <v>#REF!</v>
      </c>
      <c r="BC73" t="e">
        <f t="shared" si="86"/>
        <v>#REF!</v>
      </c>
      <c r="BD73" t="e">
        <f t="shared" si="87"/>
        <v>#REF!</v>
      </c>
      <c r="BE73" t="e">
        <f t="shared" si="88"/>
        <v>#REF!</v>
      </c>
      <c r="BH73" t="e">
        <f>Reflection!A73</f>
        <v>#REF!</v>
      </c>
      <c r="BI73" t="e">
        <f t="shared" si="89"/>
        <v>#REF!</v>
      </c>
      <c r="BJ73" t="e">
        <f t="shared" si="90"/>
        <v>#REF!</v>
      </c>
      <c r="BK73" t="e">
        <f t="shared" si="91"/>
        <v>#REF!</v>
      </c>
      <c r="BL73" t="e">
        <f t="shared" si="92"/>
        <v>#REF!</v>
      </c>
      <c r="BM73" t="e">
        <f t="shared" si="93"/>
        <v>#REF!</v>
      </c>
      <c r="BN73" t="e">
        <f t="shared" si="94"/>
        <v>#REF!</v>
      </c>
      <c r="BR73" t="e">
        <f>Reflection!A73</f>
        <v>#REF!</v>
      </c>
      <c r="BS73" t="s">
        <v>13</v>
      </c>
      <c r="BT73" t="e">
        <f t="shared" si="95"/>
        <v>#REF!</v>
      </c>
      <c r="BU73" t="e">
        <f t="shared" si="55"/>
        <v>#REF!</v>
      </c>
      <c r="BV73" t="e">
        <f t="shared" si="96"/>
        <v>#REF!</v>
      </c>
      <c r="BW73" t="e">
        <f t="shared" si="97"/>
        <v>#REF!</v>
      </c>
      <c r="BX73" t="e">
        <f t="shared" si="98"/>
        <v>#REF!</v>
      </c>
      <c r="BY73" t="e">
        <f t="shared" si="99"/>
        <v>#REF!</v>
      </c>
    </row>
    <row r="74" spans="1:77" x14ac:dyDescent="0.15">
      <c r="A74" t="e">
        <f>Reflection!A74</f>
        <v>#REF!</v>
      </c>
      <c r="B74" t="e">
        <f t="shared" si="52"/>
        <v>#REF!</v>
      </c>
      <c r="C74" t="e">
        <f t="shared" si="53"/>
        <v>#REF!</v>
      </c>
      <c r="D74" t="e">
        <f t="shared" si="56"/>
        <v>#REF!</v>
      </c>
      <c r="E74" t="e">
        <f t="shared" si="57"/>
        <v>#REF!</v>
      </c>
      <c r="F74" t="e">
        <f t="shared" si="58"/>
        <v>#REF!</v>
      </c>
      <c r="G74" t="e">
        <f t="shared" si="54"/>
        <v>#REF!</v>
      </c>
      <c r="J74" t="e">
        <f>Reflection!A74</f>
        <v>#REF!</v>
      </c>
      <c r="K74" t="s">
        <v>13</v>
      </c>
      <c r="L74" t="e">
        <f t="shared" si="59"/>
        <v>#REF!</v>
      </c>
      <c r="M74" t="e">
        <f t="shared" si="60"/>
        <v>#REF!</v>
      </c>
      <c r="N74" t="e">
        <f t="shared" si="61"/>
        <v>#REF!</v>
      </c>
      <c r="O74" t="e">
        <f t="shared" si="62"/>
        <v>#REF!</v>
      </c>
      <c r="P74" t="e">
        <f t="shared" si="63"/>
        <v>#REF!</v>
      </c>
      <c r="Q74" t="e">
        <f t="shared" si="64"/>
        <v>#REF!</v>
      </c>
      <c r="T74" t="e">
        <f>Reflection!A74</f>
        <v>#REF!</v>
      </c>
      <c r="U74" t="s">
        <v>13</v>
      </c>
      <c r="V74" t="e">
        <f t="shared" si="65"/>
        <v>#REF!</v>
      </c>
      <c r="W74" t="e">
        <f t="shared" si="66"/>
        <v>#REF!</v>
      </c>
      <c r="X74" t="e">
        <f t="shared" si="67"/>
        <v>#REF!</v>
      </c>
      <c r="Y74" t="e">
        <f t="shared" si="68"/>
        <v>#REF!</v>
      </c>
      <c r="Z74" t="e">
        <f t="shared" si="69"/>
        <v>#REF!</v>
      </c>
      <c r="AA74" t="e">
        <f t="shared" si="70"/>
        <v>#REF!</v>
      </c>
      <c r="AD74" t="e">
        <f>Reflection!A74</f>
        <v>#REF!</v>
      </c>
      <c r="AE74" t="s">
        <v>13</v>
      </c>
      <c r="AF74" t="e">
        <f t="shared" si="71"/>
        <v>#REF!</v>
      </c>
      <c r="AG74" t="e">
        <f t="shared" si="72"/>
        <v>#REF!</v>
      </c>
      <c r="AH74" t="e">
        <f t="shared" si="73"/>
        <v>#REF!</v>
      </c>
      <c r="AI74" t="e">
        <f t="shared" si="74"/>
        <v>#REF!</v>
      </c>
      <c r="AJ74" t="e">
        <f t="shared" si="75"/>
        <v>#REF!</v>
      </c>
      <c r="AK74" t="e">
        <f t="shared" si="76"/>
        <v>#REF!</v>
      </c>
      <c r="AN74" t="e">
        <f>Reflection!A74</f>
        <v>#REF!</v>
      </c>
      <c r="AO74" t="s">
        <v>13</v>
      </c>
      <c r="AP74" t="e">
        <f t="shared" si="77"/>
        <v>#REF!</v>
      </c>
      <c r="AQ74" t="e">
        <f t="shared" si="78"/>
        <v>#REF!</v>
      </c>
      <c r="AR74" t="e">
        <f t="shared" si="79"/>
        <v>#REF!</v>
      </c>
      <c r="AS74" t="e">
        <f t="shared" si="80"/>
        <v>#REF!</v>
      </c>
      <c r="AT74" t="e">
        <f t="shared" si="81"/>
        <v>#REF!</v>
      </c>
      <c r="AU74" t="e">
        <f t="shared" si="82"/>
        <v>#REF!</v>
      </c>
      <c r="AX74" t="e">
        <f>Reflection!A74</f>
        <v>#REF!</v>
      </c>
      <c r="AY74" t="s">
        <v>13</v>
      </c>
      <c r="AZ74" t="e">
        <f t="shared" si="83"/>
        <v>#REF!</v>
      </c>
      <c r="BA74" t="e">
        <f t="shared" si="84"/>
        <v>#REF!</v>
      </c>
      <c r="BB74" t="e">
        <f t="shared" si="85"/>
        <v>#REF!</v>
      </c>
      <c r="BC74" t="e">
        <f t="shared" si="86"/>
        <v>#REF!</v>
      </c>
      <c r="BD74" t="e">
        <f t="shared" si="87"/>
        <v>#REF!</v>
      </c>
      <c r="BE74" t="e">
        <f t="shared" si="88"/>
        <v>#REF!</v>
      </c>
      <c r="BH74" t="e">
        <f>Reflection!A74</f>
        <v>#REF!</v>
      </c>
      <c r="BI74" t="e">
        <f t="shared" si="89"/>
        <v>#REF!</v>
      </c>
      <c r="BJ74" t="e">
        <f t="shared" si="90"/>
        <v>#REF!</v>
      </c>
      <c r="BK74" t="e">
        <f t="shared" si="91"/>
        <v>#REF!</v>
      </c>
      <c r="BL74" t="e">
        <f t="shared" si="92"/>
        <v>#REF!</v>
      </c>
      <c r="BM74" t="e">
        <f t="shared" si="93"/>
        <v>#REF!</v>
      </c>
      <c r="BN74" t="e">
        <f t="shared" si="94"/>
        <v>#REF!</v>
      </c>
      <c r="BR74" t="e">
        <f>Reflection!A74</f>
        <v>#REF!</v>
      </c>
      <c r="BS74" t="s">
        <v>13</v>
      </c>
      <c r="BT74" t="e">
        <f t="shared" si="95"/>
        <v>#REF!</v>
      </c>
      <c r="BU74" t="e">
        <f t="shared" si="55"/>
        <v>#REF!</v>
      </c>
      <c r="BV74" t="e">
        <f t="shared" si="96"/>
        <v>#REF!</v>
      </c>
      <c r="BW74" t="e">
        <f t="shared" si="97"/>
        <v>#REF!</v>
      </c>
      <c r="BX74" t="e">
        <f t="shared" si="98"/>
        <v>#REF!</v>
      </c>
      <c r="BY74" t="e">
        <f t="shared" si="99"/>
        <v>#REF!</v>
      </c>
    </row>
    <row r="75" spans="1:77" x14ac:dyDescent="0.15">
      <c r="A75" t="e">
        <f>Reflection!A75</f>
        <v>#REF!</v>
      </c>
      <c r="B75" t="e">
        <f t="shared" si="52"/>
        <v>#REF!</v>
      </c>
      <c r="C75" t="e">
        <f t="shared" si="53"/>
        <v>#REF!</v>
      </c>
      <c r="D75" t="e">
        <f t="shared" si="56"/>
        <v>#REF!</v>
      </c>
      <c r="E75" t="e">
        <f t="shared" si="57"/>
        <v>#REF!</v>
      </c>
      <c r="F75" t="e">
        <f t="shared" si="58"/>
        <v>#REF!</v>
      </c>
      <c r="G75" t="e">
        <f t="shared" si="54"/>
        <v>#REF!</v>
      </c>
      <c r="J75" t="e">
        <f>Reflection!A75</f>
        <v>#REF!</v>
      </c>
      <c r="K75" t="s">
        <v>13</v>
      </c>
      <c r="L75" t="e">
        <f t="shared" si="59"/>
        <v>#REF!</v>
      </c>
      <c r="M75" t="e">
        <f t="shared" si="60"/>
        <v>#REF!</v>
      </c>
      <c r="N75" t="e">
        <f t="shared" si="61"/>
        <v>#REF!</v>
      </c>
      <c r="O75" t="e">
        <f t="shared" si="62"/>
        <v>#REF!</v>
      </c>
      <c r="P75" t="e">
        <f t="shared" si="63"/>
        <v>#REF!</v>
      </c>
      <c r="Q75" t="e">
        <f t="shared" si="64"/>
        <v>#REF!</v>
      </c>
      <c r="T75" t="e">
        <f>Reflection!A75</f>
        <v>#REF!</v>
      </c>
      <c r="U75" t="s">
        <v>13</v>
      </c>
      <c r="V75" t="e">
        <f t="shared" si="65"/>
        <v>#REF!</v>
      </c>
      <c r="W75" t="e">
        <f t="shared" si="66"/>
        <v>#REF!</v>
      </c>
      <c r="X75" t="e">
        <f t="shared" si="67"/>
        <v>#REF!</v>
      </c>
      <c r="Y75" t="e">
        <f t="shared" si="68"/>
        <v>#REF!</v>
      </c>
      <c r="Z75" t="e">
        <f t="shared" si="69"/>
        <v>#REF!</v>
      </c>
      <c r="AA75" t="e">
        <f t="shared" si="70"/>
        <v>#REF!</v>
      </c>
      <c r="AD75" t="e">
        <f>Reflection!A75</f>
        <v>#REF!</v>
      </c>
      <c r="AE75" t="s">
        <v>13</v>
      </c>
      <c r="AF75" t="e">
        <f t="shared" si="71"/>
        <v>#REF!</v>
      </c>
      <c r="AG75" t="e">
        <f t="shared" si="72"/>
        <v>#REF!</v>
      </c>
      <c r="AH75" t="e">
        <f t="shared" si="73"/>
        <v>#REF!</v>
      </c>
      <c r="AI75" t="e">
        <f t="shared" si="74"/>
        <v>#REF!</v>
      </c>
      <c r="AJ75" t="e">
        <f t="shared" si="75"/>
        <v>#REF!</v>
      </c>
      <c r="AK75" t="e">
        <f t="shared" si="76"/>
        <v>#REF!</v>
      </c>
      <c r="AN75" t="e">
        <f>Reflection!A75</f>
        <v>#REF!</v>
      </c>
      <c r="AO75" t="s">
        <v>13</v>
      </c>
      <c r="AP75" t="e">
        <f t="shared" si="77"/>
        <v>#REF!</v>
      </c>
      <c r="AQ75" t="e">
        <f t="shared" si="78"/>
        <v>#REF!</v>
      </c>
      <c r="AR75" t="e">
        <f t="shared" si="79"/>
        <v>#REF!</v>
      </c>
      <c r="AS75" t="e">
        <f t="shared" si="80"/>
        <v>#REF!</v>
      </c>
      <c r="AT75" t="e">
        <f t="shared" si="81"/>
        <v>#REF!</v>
      </c>
      <c r="AU75" t="e">
        <f t="shared" si="82"/>
        <v>#REF!</v>
      </c>
      <c r="AX75" t="e">
        <f>Reflection!A75</f>
        <v>#REF!</v>
      </c>
      <c r="AY75" t="s">
        <v>13</v>
      </c>
      <c r="AZ75" t="e">
        <f t="shared" si="83"/>
        <v>#REF!</v>
      </c>
      <c r="BA75" t="e">
        <f t="shared" si="84"/>
        <v>#REF!</v>
      </c>
      <c r="BB75" t="e">
        <f t="shared" si="85"/>
        <v>#REF!</v>
      </c>
      <c r="BC75" t="e">
        <f t="shared" si="86"/>
        <v>#REF!</v>
      </c>
      <c r="BD75" t="e">
        <f t="shared" si="87"/>
        <v>#REF!</v>
      </c>
      <c r="BE75" t="e">
        <f t="shared" si="88"/>
        <v>#REF!</v>
      </c>
      <c r="BH75" t="e">
        <f>Reflection!A75</f>
        <v>#REF!</v>
      </c>
      <c r="BI75" t="e">
        <f t="shared" si="89"/>
        <v>#REF!</v>
      </c>
      <c r="BJ75" t="e">
        <f t="shared" si="90"/>
        <v>#REF!</v>
      </c>
      <c r="BK75" t="e">
        <f t="shared" si="91"/>
        <v>#REF!</v>
      </c>
      <c r="BL75" t="e">
        <f t="shared" si="92"/>
        <v>#REF!</v>
      </c>
      <c r="BM75" t="e">
        <f t="shared" si="93"/>
        <v>#REF!</v>
      </c>
      <c r="BN75" t="e">
        <f t="shared" si="94"/>
        <v>#REF!</v>
      </c>
      <c r="BR75" t="e">
        <f>Reflection!A75</f>
        <v>#REF!</v>
      </c>
      <c r="BS75" t="s">
        <v>13</v>
      </c>
      <c r="BT75" t="e">
        <f t="shared" si="95"/>
        <v>#REF!</v>
      </c>
      <c r="BU75" t="e">
        <f t="shared" si="55"/>
        <v>#REF!</v>
      </c>
      <c r="BV75" t="e">
        <f t="shared" si="96"/>
        <v>#REF!</v>
      </c>
      <c r="BW75" t="e">
        <f t="shared" si="97"/>
        <v>#REF!</v>
      </c>
      <c r="BX75" t="e">
        <f t="shared" si="98"/>
        <v>#REF!</v>
      </c>
      <c r="BY75" t="e">
        <f t="shared" si="99"/>
        <v>#REF!</v>
      </c>
    </row>
    <row r="76" spans="1:77" x14ac:dyDescent="0.15">
      <c r="A76" t="e">
        <f>Reflection!A76</f>
        <v>#REF!</v>
      </c>
      <c r="B76" t="e">
        <f t="shared" si="52"/>
        <v>#REF!</v>
      </c>
      <c r="C76" t="e">
        <f t="shared" si="53"/>
        <v>#REF!</v>
      </c>
      <c r="D76" t="e">
        <f t="shared" si="56"/>
        <v>#REF!</v>
      </c>
      <c r="E76" t="e">
        <f t="shared" si="57"/>
        <v>#REF!</v>
      </c>
      <c r="F76" t="e">
        <f t="shared" si="58"/>
        <v>#REF!</v>
      </c>
      <c r="G76" t="e">
        <f t="shared" si="54"/>
        <v>#REF!</v>
      </c>
      <c r="J76" t="e">
        <f>Reflection!A76</f>
        <v>#REF!</v>
      </c>
      <c r="K76" t="s">
        <v>13</v>
      </c>
      <c r="L76" t="e">
        <f t="shared" si="59"/>
        <v>#REF!</v>
      </c>
      <c r="M76" t="e">
        <f t="shared" si="60"/>
        <v>#REF!</v>
      </c>
      <c r="N76" t="e">
        <f t="shared" si="61"/>
        <v>#REF!</v>
      </c>
      <c r="O76" t="e">
        <f t="shared" si="62"/>
        <v>#REF!</v>
      </c>
      <c r="P76" t="e">
        <f t="shared" si="63"/>
        <v>#REF!</v>
      </c>
      <c r="Q76" t="e">
        <f t="shared" si="64"/>
        <v>#REF!</v>
      </c>
      <c r="T76" t="e">
        <f>Reflection!A76</f>
        <v>#REF!</v>
      </c>
      <c r="U76" t="s">
        <v>13</v>
      </c>
      <c r="V76" t="e">
        <f t="shared" si="65"/>
        <v>#REF!</v>
      </c>
      <c r="W76" t="e">
        <f t="shared" si="66"/>
        <v>#REF!</v>
      </c>
      <c r="X76" t="e">
        <f t="shared" si="67"/>
        <v>#REF!</v>
      </c>
      <c r="Y76" t="e">
        <f t="shared" si="68"/>
        <v>#REF!</v>
      </c>
      <c r="Z76" t="e">
        <f t="shared" si="69"/>
        <v>#REF!</v>
      </c>
      <c r="AA76" t="e">
        <f t="shared" si="70"/>
        <v>#REF!</v>
      </c>
      <c r="AD76" t="e">
        <f>Reflection!A76</f>
        <v>#REF!</v>
      </c>
      <c r="AE76" t="s">
        <v>13</v>
      </c>
      <c r="AF76" t="e">
        <f t="shared" si="71"/>
        <v>#REF!</v>
      </c>
      <c r="AG76" t="e">
        <f t="shared" si="72"/>
        <v>#REF!</v>
      </c>
      <c r="AH76" t="e">
        <f t="shared" si="73"/>
        <v>#REF!</v>
      </c>
      <c r="AI76" t="e">
        <f t="shared" si="74"/>
        <v>#REF!</v>
      </c>
      <c r="AJ76" t="e">
        <f t="shared" si="75"/>
        <v>#REF!</v>
      </c>
      <c r="AK76" t="e">
        <f t="shared" si="76"/>
        <v>#REF!</v>
      </c>
      <c r="AN76" t="e">
        <f>Reflection!A76</f>
        <v>#REF!</v>
      </c>
      <c r="AO76" t="s">
        <v>13</v>
      </c>
      <c r="AP76" t="e">
        <f t="shared" si="77"/>
        <v>#REF!</v>
      </c>
      <c r="AQ76" t="e">
        <f t="shared" si="78"/>
        <v>#REF!</v>
      </c>
      <c r="AR76" t="e">
        <f t="shared" si="79"/>
        <v>#REF!</v>
      </c>
      <c r="AS76" t="e">
        <f t="shared" si="80"/>
        <v>#REF!</v>
      </c>
      <c r="AT76" t="e">
        <f t="shared" si="81"/>
        <v>#REF!</v>
      </c>
      <c r="AU76" t="e">
        <f t="shared" si="82"/>
        <v>#REF!</v>
      </c>
      <c r="AX76" t="e">
        <f>Reflection!A76</f>
        <v>#REF!</v>
      </c>
      <c r="AY76" t="s">
        <v>13</v>
      </c>
      <c r="AZ76" t="e">
        <f t="shared" si="83"/>
        <v>#REF!</v>
      </c>
      <c r="BA76" t="e">
        <f t="shared" si="84"/>
        <v>#REF!</v>
      </c>
      <c r="BB76" t="e">
        <f t="shared" si="85"/>
        <v>#REF!</v>
      </c>
      <c r="BC76" t="e">
        <f t="shared" si="86"/>
        <v>#REF!</v>
      </c>
      <c r="BD76" t="e">
        <f t="shared" si="87"/>
        <v>#REF!</v>
      </c>
      <c r="BE76" t="e">
        <f t="shared" si="88"/>
        <v>#REF!</v>
      </c>
      <c r="BH76" t="e">
        <f>Reflection!A76</f>
        <v>#REF!</v>
      </c>
      <c r="BI76" t="e">
        <f t="shared" si="89"/>
        <v>#REF!</v>
      </c>
      <c r="BJ76" t="e">
        <f t="shared" si="90"/>
        <v>#REF!</v>
      </c>
      <c r="BK76" t="e">
        <f t="shared" si="91"/>
        <v>#REF!</v>
      </c>
      <c r="BL76" t="e">
        <f t="shared" si="92"/>
        <v>#REF!</v>
      </c>
      <c r="BM76" t="e">
        <f t="shared" si="93"/>
        <v>#REF!</v>
      </c>
      <c r="BN76" t="e">
        <f t="shared" si="94"/>
        <v>#REF!</v>
      </c>
      <c r="BR76" t="e">
        <f>Reflection!A76</f>
        <v>#REF!</v>
      </c>
      <c r="BS76" t="s">
        <v>13</v>
      </c>
      <c r="BT76" t="e">
        <f t="shared" si="95"/>
        <v>#REF!</v>
      </c>
      <c r="BU76" t="e">
        <f t="shared" si="55"/>
        <v>#REF!</v>
      </c>
      <c r="BV76" t="e">
        <f t="shared" si="96"/>
        <v>#REF!</v>
      </c>
      <c r="BW76" t="e">
        <f t="shared" si="97"/>
        <v>#REF!</v>
      </c>
      <c r="BX76" t="e">
        <f t="shared" si="98"/>
        <v>#REF!</v>
      </c>
      <c r="BY76" t="e">
        <f t="shared" si="99"/>
        <v>#REF!</v>
      </c>
    </row>
    <row r="77" spans="1:77" x14ac:dyDescent="0.15">
      <c r="A77" t="e">
        <f>Reflection!A77</f>
        <v>#REF!</v>
      </c>
      <c r="B77" t="e">
        <f t="shared" si="52"/>
        <v>#REF!</v>
      </c>
      <c r="C77" t="e">
        <f t="shared" si="53"/>
        <v>#REF!</v>
      </c>
      <c r="D77" t="e">
        <f t="shared" si="56"/>
        <v>#REF!</v>
      </c>
      <c r="E77" t="e">
        <f t="shared" si="57"/>
        <v>#REF!</v>
      </c>
      <c r="F77" t="e">
        <f t="shared" si="58"/>
        <v>#REF!</v>
      </c>
      <c r="G77" t="e">
        <f t="shared" si="54"/>
        <v>#REF!</v>
      </c>
      <c r="J77" t="e">
        <f>Reflection!A77</f>
        <v>#REF!</v>
      </c>
      <c r="K77" t="s">
        <v>13</v>
      </c>
      <c r="L77" t="e">
        <f t="shared" si="59"/>
        <v>#REF!</v>
      </c>
      <c r="M77" t="e">
        <f t="shared" si="60"/>
        <v>#REF!</v>
      </c>
      <c r="N77" t="e">
        <f t="shared" si="61"/>
        <v>#REF!</v>
      </c>
      <c r="O77" t="e">
        <f t="shared" si="62"/>
        <v>#REF!</v>
      </c>
      <c r="P77" t="e">
        <f t="shared" si="63"/>
        <v>#REF!</v>
      </c>
      <c r="Q77" t="e">
        <f t="shared" si="64"/>
        <v>#REF!</v>
      </c>
      <c r="T77" t="e">
        <f>Reflection!A77</f>
        <v>#REF!</v>
      </c>
      <c r="U77" t="s">
        <v>13</v>
      </c>
      <c r="V77" t="e">
        <f t="shared" si="65"/>
        <v>#REF!</v>
      </c>
      <c r="W77" t="e">
        <f t="shared" si="66"/>
        <v>#REF!</v>
      </c>
      <c r="X77" t="e">
        <f t="shared" si="67"/>
        <v>#REF!</v>
      </c>
      <c r="Y77" t="e">
        <f t="shared" si="68"/>
        <v>#REF!</v>
      </c>
      <c r="Z77" t="e">
        <f t="shared" si="69"/>
        <v>#REF!</v>
      </c>
      <c r="AA77" t="e">
        <f t="shared" si="70"/>
        <v>#REF!</v>
      </c>
      <c r="AD77" t="e">
        <f>Reflection!A77</f>
        <v>#REF!</v>
      </c>
      <c r="AE77" t="s">
        <v>13</v>
      </c>
      <c r="AF77" t="e">
        <f t="shared" si="71"/>
        <v>#REF!</v>
      </c>
      <c r="AG77" t="e">
        <f t="shared" si="72"/>
        <v>#REF!</v>
      </c>
      <c r="AH77" t="e">
        <f t="shared" si="73"/>
        <v>#REF!</v>
      </c>
      <c r="AI77" t="e">
        <f t="shared" si="74"/>
        <v>#REF!</v>
      </c>
      <c r="AJ77" t="e">
        <f t="shared" si="75"/>
        <v>#REF!</v>
      </c>
      <c r="AK77" t="e">
        <f t="shared" si="76"/>
        <v>#REF!</v>
      </c>
      <c r="AN77" t="e">
        <f>Reflection!A77</f>
        <v>#REF!</v>
      </c>
      <c r="AO77" t="s">
        <v>13</v>
      </c>
      <c r="AP77" t="e">
        <f t="shared" si="77"/>
        <v>#REF!</v>
      </c>
      <c r="AQ77" t="e">
        <f t="shared" si="78"/>
        <v>#REF!</v>
      </c>
      <c r="AR77" t="e">
        <f t="shared" si="79"/>
        <v>#REF!</v>
      </c>
      <c r="AS77" t="e">
        <f t="shared" si="80"/>
        <v>#REF!</v>
      </c>
      <c r="AT77" t="e">
        <f t="shared" si="81"/>
        <v>#REF!</v>
      </c>
      <c r="AU77" t="e">
        <f t="shared" si="82"/>
        <v>#REF!</v>
      </c>
      <c r="AX77" t="e">
        <f>Reflection!A77</f>
        <v>#REF!</v>
      </c>
      <c r="AY77" t="s">
        <v>13</v>
      </c>
      <c r="AZ77" t="e">
        <f t="shared" si="83"/>
        <v>#REF!</v>
      </c>
      <c r="BA77" t="e">
        <f t="shared" si="84"/>
        <v>#REF!</v>
      </c>
      <c r="BB77" t="e">
        <f t="shared" si="85"/>
        <v>#REF!</v>
      </c>
      <c r="BC77" t="e">
        <f t="shared" si="86"/>
        <v>#REF!</v>
      </c>
      <c r="BD77" t="e">
        <f t="shared" si="87"/>
        <v>#REF!</v>
      </c>
      <c r="BE77" t="e">
        <f t="shared" si="88"/>
        <v>#REF!</v>
      </c>
      <c r="BH77" t="e">
        <f>Reflection!A77</f>
        <v>#REF!</v>
      </c>
      <c r="BI77" t="e">
        <f t="shared" si="89"/>
        <v>#REF!</v>
      </c>
      <c r="BJ77" t="e">
        <f t="shared" si="90"/>
        <v>#REF!</v>
      </c>
      <c r="BK77" t="e">
        <f t="shared" si="91"/>
        <v>#REF!</v>
      </c>
      <c r="BL77" t="e">
        <f t="shared" si="92"/>
        <v>#REF!</v>
      </c>
      <c r="BM77" t="e">
        <f t="shared" si="93"/>
        <v>#REF!</v>
      </c>
      <c r="BN77" t="e">
        <f t="shared" si="94"/>
        <v>#REF!</v>
      </c>
      <c r="BR77" t="e">
        <f>Reflection!A77</f>
        <v>#REF!</v>
      </c>
      <c r="BS77" t="s">
        <v>13</v>
      </c>
      <c r="BT77" t="e">
        <f t="shared" si="95"/>
        <v>#REF!</v>
      </c>
      <c r="BU77" t="e">
        <f t="shared" si="55"/>
        <v>#REF!</v>
      </c>
      <c r="BV77" t="e">
        <f t="shared" si="96"/>
        <v>#REF!</v>
      </c>
      <c r="BW77" t="e">
        <f t="shared" si="97"/>
        <v>#REF!</v>
      </c>
      <c r="BX77" t="e">
        <f t="shared" si="98"/>
        <v>#REF!</v>
      </c>
      <c r="BY77" t="e">
        <f t="shared" si="99"/>
        <v>#REF!</v>
      </c>
    </row>
    <row r="78" spans="1:77" x14ac:dyDescent="0.15">
      <c r="A78" t="e">
        <f>Reflection!A78</f>
        <v>#REF!</v>
      </c>
      <c r="B78" t="e">
        <f t="shared" si="52"/>
        <v>#REF!</v>
      </c>
      <c r="C78" t="e">
        <f t="shared" si="53"/>
        <v>#REF!</v>
      </c>
      <c r="D78" t="e">
        <f t="shared" si="56"/>
        <v>#REF!</v>
      </c>
      <c r="E78" t="e">
        <f t="shared" si="57"/>
        <v>#REF!</v>
      </c>
      <c r="F78" t="e">
        <f t="shared" si="58"/>
        <v>#REF!</v>
      </c>
      <c r="G78" t="e">
        <f t="shared" si="54"/>
        <v>#REF!</v>
      </c>
      <c r="J78" t="e">
        <f>Reflection!A78</f>
        <v>#REF!</v>
      </c>
      <c r="K78" t="s">
        <v>13</v>
      </c>
      <c r="L78" t="e">
        <f t="shared" si="59"/>
        <v>#REF!</v>
      </c>
      <c r="M78" t="e">
        <f t="shared" si="60"/>
        <v>#REF!</v>
      </c>
      <c r="N78" t="e">
        <f t="shared" si="61"/>
        <v>#REF!</v>
      </c>
      <c r="O78" t="e">
        <f t="shared" si="62"/>
        <v>#REF!</v>
      </c>
      <c r="P78" t="e">
        <f t="shared" si="63"/>
        <v>#REF!</v>
      </c>
      <c r="Q78" t="e">
        <f t="shared" si="64"/>
        <v>#REF!</v>
      </c>
      <c r="T78" t="e">
        <f>Reflection!A78</f>
        <v>#REF!</v>
      </c>
      <c r="U78" t="s">
        <v>13</v>
      </c>
      <c r="V78" t="e">
        <f t="shared" si="65"/>
        <v>#REF!</v>
      </c>
      <c r="W78" t="e">
        <f t="shared" si="66"/>
        <v>#REF!</v>
      </c>
      <c r="X78" t="e">
        <f t="shared" si="67"/>
        <v>#REF!</v>
      </c>
      <c r="Y78" t="e">
        <f t="shared" si="68"/>
        <v>#REF!</v>
      </c>
      <c r="Z78" t="e">
        <f t="shared" si="69"/>
        <v>#REF!</v>
      </c>
      <c r="AA78" t="e">
        <f t="shared" si="70"/>
        <v>#REF!</v>
      </c>
      <c r="AD78" t="e">
        <f>Reflection!A78</f>
        <v>#REF!</v>
      </c>
      <c r="AE78" t="s">
        <v>13</v>
      </c>
      <c r="AF78" t="e">
        <f t="shared" si="71"/>
        <v>#REF!</v>
      </c>
      <c r="AG78" t="e">
        <f t="shared" si="72"/>
        <v>#REF!</v>
      </c>
      <c r="AH78" t="e">
        <f t="shared" si="73"/>
        <v>#REF!</v>
      </c>
      <c r="AI78" t="e">
        <f t="shared" si="74"/>
        <v>#REF!</v>
      </c>
      <c r="AJ78" t="e">
        <f t="shared" si="75"/>
        <v>#REF!</v>
      </c>
      <c r="AK78" t="e">
        <f t="shared" si="76"/>
        <v>#REF!</v>
      </c>
      <c r="AN78" t="e">
        <f>Reflection!A78</f>
        <v>#REF!</v>
      </c>
      <c r="AO78" t="s">
        <v>13</v>
      </c>
      <c r="AP78" t="e">
        <f t="shared" si="77"/>
        <v>#REF!</v>
      </c>
      <c r="AQ78" t="e">
        <f t="shared" si="78"/>
        <v>#REF!</v>
      </c>
      <c r="AR78" t="e">
        <f t="shared" si="79"/>
        <v>#REF!</v>
      </c>
      <c r="AS78" t="e">
        <f t="shared" si="80"/>
        <v>#REF!</v>
      </c>
      <c r="AT78" t="e">
        <f t="shared" si="81"/>
        <v>#REF!</v>
      </c>
      <c r="AU78" t="e">
        <f t="shared" si="82"/>
        <v>#REF!</v>
      </c>
      <c r="AX78" t="e">
        <f>Reflection!A78</f>
        <v>#REF!</v>
      </c>
      <c r="AY78" t="s">
        <v>13</v>
      </c>
      <c r="AZ78" t="e">
        <f t="shared" si="83"/>
        <v>#REF!</v>
      </c>
      <c r="BA78" t="e">
        <f t="shared" si="84"/>
        <v>#REF!</v>
      </c>
      <c r="BB78" t="e">
        <f t="shared" si="85"/>
        <v>#REF!</v>
      </c>
      <c r="BC78" t="e">
        <f t="shared" si="86"/>
        <v>#REF!</v>
      </c>
      <c r="BD78" t="e">
        <f t="shared" si="87"/>
        <v>#REF!</v>
      </c>
      <c r="BE78" t="e">
        <f t="shared" si="88"/>
        <v>#REF!</v>
      </c>
      <c r="BH78" t="e">
        <f>Reflection!A78</f>
        <v>#REF!</v>
      </c>
      <c r="BI78" t="e">
        <f t="shared" si="89"/>
        <v>#REF!</v>
      </c>
      <c r="BJ78" t="e">
        <f t="shared" si="90"/>
        <v>#REF!</v>
      </c>
      <c r="BK78" t="e">
        <f t="shared" si="91"/>
        <v>#REF!</v>
      </c>
      <c r="BL78" t="e">
        <f t="shared" si="92"/>
        <v>#REF!</v>
      </c>
      <c r="BM78" t="e">
        <f t="shared" si="93"/>
        <v>#REF!</v>
      </c>
      <c r="BN78" t="e">
        <f t="shared" si="94"/>
        <v>#REF!</v>
      </c>
      <c r="BR78" t="e">
        <f>Reflection!A78</f>
        <v>#REF!</v>
      </c>
      <c r="BS78" t="s">
        <v>13</v>
      </c>
      <c r="BT78" t="e">
        <f t="shared" si="95"/>
        <v>#REF!</v>
      </c>
      <c r="BU78" t="e">
        <f t="shared" si="55"/>
        <v>#REF!</v>
      </c>
      <c r="BV78" t="e">
        <f t="shared" si="96"/>
        <v>#REF!</v>
      </c>
      <c r="BW78" t="e">
        <f t="shared" si="97"/>
        <v>#REF!</v>
      </c>
      <c r="BX78" t="e">
        <f t="shared" si="98"/>
        <v>#REF!</v>
      </c>
      <c r="BY78" t="e">
        <f t="shared" si="99"/>
        <v>#REF!</v>
      </c>
    </row>
    <row r="79" spans="1:77" x14ac:dyDescent="0.15">
      <c r="A79" t="e">
        <f>Reflection!A79</f>
        <v>#REF!</v>
      </c>
      <c r="B79" t="e">
        <f t="shared" si="52"/>
        <v>#REF!</v>
      </c>
      <c r="C79" t="e">
        <f t="shared" si="53"/>
        <v>#REF!</v>
      </c>
      <c r="D79" t="e">
        <f t="shared" si="56"/>
        <v>#REF!</v>
      </c>
      <c r="E79" t="e">
        <f t="shared" si="57"/>
        <v>#REF!</v>
      </c>
      <c r="F79" t="e">
        <f t="shared" si="58"/>
        <v>#REF!</v>
      </c>
      <c r="G79" t="e">
        <f t="shared" si="54"/>
        <v>#REF!</v>
      </c>
      <c r="J79" t="e">
        <f>Reflection!A79</f>
        <v>#REF!</v>
      </c>
      <c r="K79" t="s">
        <v>13</v>
      </c>
      <c r="L79" t="e">
        <f t="shared" si="59"/>
        <v>#REF!</v>
      </c>
      <c r="M79" t="e">
        <f t="shared" si="60"/>
        <v>#REF!</v>
      </c>
      <c r="N79" t="e">
        <f t="shared" si="61"/>
        <v>#REF!</v>
      </c>
      <c r="O79" t="e">
        <f t="shared" si="62"/>
        <v>#REF!</v>
      </c>
      <c r="P79" t="e">
        <f t="shared" si="63"/>
        <v>#REF!</v>
      </c>
      <c r="Q79" t="e">
        <f t="shared" si="64"/>
        <v>#REF!</v>
      </c>
      <c r="T79" t="e">
        <f>Reflection!A79</f>
        <v>#REF!</v>
      </c>
      <c r="U79" t="s">
        <v>13</v>
      </c>
      <c r="V79" t="e">
        <f t="shared" si="65"/>
        <v>#REF!</v>
      </c>
      <c r="W79" t="e">
        <f t="shared" si="66"/>
        <v>#REF!</v>
      </c>
      <c r="X79" t="e">
        <f t="shared" si="67"/>
        <v>#REF!</v>
      </c>
      <c r="Y79" t="e">
        <f t="shared" si="68"/>
        <v>#REF!</v>
      </c>
      <c r="Z79" t="e">
        <f t="shared" si="69"/>
        <v>#REF!</v>
      </c>
      <c r="AA79" t="e">
        <f t="shared" si="70"/>
        <v>#REF!</v>
      </c>
      <c r="AD79" t="e">
        <f>Reflection!A79</f>
        <v>#REF!</v>
      </c>
      <c r="AE79" t="s">
        <v>13</v>
      </c>
      <c r="AF79" t="e">
        <f t="shared" si="71"/>
        <v>#REF!</v>
      </c>
      <c r="AG79" t="e">
        <f t="shared" si="72"/>
        <v>#REF!</v>
      </c>
      <c r="AH79" t="e">
        <f t="shared" si="73"/>
        <v>#REF!</v>
      </c>
      <c r="AI79" t="e">
        <f t="shared" si="74"/>
        <v>#REF!</v>
      </c>
      <c r="AJ79" t="e">
        <f t="shared" si="75"/>
        <v>#REF!</v>
      </c>
      <c r="AK79" t="e">
        <f t="shared" si="76"/>
        <v>#REF!</v>
      </c>
      <c r="AN79" t="e">
        <f>Reflection!A79</f>
        <v>#REF!</v>
      </c>
      <c r="AO79" t="s">
        <v>13</v>
      </c>
      <c r="AP79" t="e">
        <f t="shared" si="77"/>
        <v>#REF!</v>
      </c>
      <c r="AQ79" t="e">
        <f t="shared" si="78"/>
        <v>#REF!</v>
      </c>
      <c r="AR79" t="e">
        <f t="shared" si="79"/>
        <v>#REF!</v>
      </c>
      <c r="AS79" t="e">
        <f t="shared" si="80"/>
        <v>#REF!</v>
      </c>
      <c r="AT79" t="e">
        <f t="shared" si="81"/>
        <v>#REF!</v>
      </c>
      <c r="AU79" t="e">
        <f t="shared" si="82"/>
        <v>#REF!</v>
      </c>
      <c r="AX79" t="e">
        <f>Reflection!A79</f>
        <v>#REF!</v>
      </c>
      <c r="AY79" t="s">
        <v>13</v>
      </c>
      <c r="AZ79" t="e">
        <f t="shared" si="83"/>
        <v>#REF!</v>
      </c>
      <c r="BA79" t="e">
        <f t="shared" si="84"/>
        <v>#REF!</v>
      </c>
      <c r="BB79" t="e">
        <f t="shared" si="85"/>
        <v>#REF!</v>
      </c>
      <c r="BC79" t="e">
        <f t="shared" si="86"/>
        <v>#REF!</v>
      </c>
      <c r="BD79" t="e">
        <f t="shared" si="87"/>
        <v>#REF!</v>
      </c>
      <c r="BE79" t="e">
        <f t="shared" si="88"/>
        <v>#REF!</v>
      </c>
      <c r="BH79" t="e">
        <f>Reflection!A79</f>
        <v>#REF!</v>
      </c>
      <c r="BI79" t="e">
        <f t="shared" si="89"/>
        <v>#REF!</v>
      </c>
      <c r="BJ79" t="e">
        <f t="shared" si="90"/>
        <v>#REF!</v>
      </c>
      <c r="BK79" t="e">
        <f t="shared" si="91"/>
        <v>#REF!</v>
      </c>
      <c r="BL79" t="e">
        <f t="shared" si="92"/>
        <v>#REF!</v>
      </c>
      <c r="BM79" t="e">
        <f t="shared" si="93"/>
        <v>#REF!</v>
      </c>
      <c r="BN79" t="e">
        <f t="shared" si="94"/>
        <v>#REF!</v>
      </c>
      <c r="BR79" t="e">
        <f>Reflection!A79</f>
        <v>#REF!</v>
      </c>
      <c r="BS79" t="s">
        <v>13</v>
      </c>
      <c r="BT79" t="e">
        <f t="shared" si="95"/>
        <v>#REF!</v>
      </c>
      <c r="BU79" t="e">
        <f t="shared" si="55"/>
        <v>#REF!</v>
      </c>
      <c r="BV79" t="e">
        <f t="shared" si="96"/>
        <v>#REF!</v>
      </c>
      <c r="BW79" t="e">
        <f t="shared" si="97"/>
        <v>#REF!</v>
      </c>
      <c r="BX79" t="e">
        <f t="shared" si="98"/>
        <v>#REF!</v>
      </c>
      <c r="BY79" t="e">
        <f t="shared" si="99"/>
        <v>#REF!</v>
      </c>
    </row>
    <row r="80" spans="1:77" x14ac:dyDescent="0.15">
      <c r="A80" t="e">
        <f>Reflection!A80</f>
        <v>#REF!</v>
      </c>
      <c r="B80" t="e">
        <f t="shared" si="52"/>
        <v>#REF!</v>
      </c>
      <c r="C80" t="e">
        <f t="shared" si="53"/>
        <v>#REF!</v>
      </c>
      <c r="D80" t="e">
        <f t="shared" si="56"/>
        <v>#REF!</v>
      </c>
      <c r="E80" t="e">
        <f t="shared" si="57"/>
        <v>#REF!</v>
      </c>
      <c r="F80" t="e">
        <f t="shared" si="58"/>
        <v>#REF!</v>
      </c>
      <c r="G80" t="e">
        <f t="shared" si="54"/>
        <v>#REF!</v>
      </c>
      <c r="J80" t="e">
        <f>Reflection!A80</f>
        <v>#REF!</v>
      </c>
      <c r="K80" t="s">
        <v>13</v>
      </c>
      <c r="L80" t="e">
        <f t="shared" si="59"/>
        <v>#REF!</v>
      </c>
      <c r="M80" t="e">
        <f t="shared" si="60"/>
        <v>#REF!</v>
      </c>
      <c r="N80" t="e">
        <f t="shared" si="61"/>
        <v>#REF!</v>
      </c>
      <c r="O80" t="e">
        <f t="shared" si="62"/>
        <v>#REF!</v>
      </c>
      <c r="P80" t="e">
        <f t="shared" si="63"/>
        <v>#REF!</v>
      </c>
      <c r="Q80" t="e">
        <f t="shared" si="64"/>
        <v>#REF!</v>
      </c>
      <c r="T80" t="e">
        <f>Reflection!A80</f>
        <v>#REF!</v>
      </c>
      <c r="U80" t="s">
        <v>13</v>
      </c>
      <c r="V80" t="e">
        <f t="shared" si="65"/>
        <v>#REF!</v>
      </c>
      <c r="W80" t="e">
        <f t="shared" si="66"/>
        <v>#REF!</v>
      </c>
      <c r="X80" t="e">
        <f t="shared" si="67"/>
        <v>#REF!</v>
      </c>
      <c r="Y80" t="e">
        <f t="shared" si="68"/>
        <v>#REF!</v>
      </c>
      <c r="Z80" t="e">
        <f t="shared" si="69"/>
        <v>#REF!</v>
      </c>
      <c r="AA80" t="e">
        <f t="shared" si="70"/>
        <v>#REF!</v>
      </c>
      <c r="AD80" t="e">
        <f>Reflection!A80</f>
        <v>#REF!</v>
      </c>
      <c r="AE80" t="s">
        <v>13</v>
      </c>
      <c r="AF80" t="e">
        <f t="shared" si="71"/>
        <v>#REF!</v>
      </c>
      <c r="AG80" t="e">
        <f t="shared" si="72"/>
        <v>#REF!</v>
      </c>
      <c r="AH80" t="e">
        <f t="shared" si="73"/>
        <v>#REF!</v>
      </c>
      <c r="AI80" t="e">
        <f t="shared" si="74"/>
        <v>#REF!</v>
      </c>
      <c r="AJ80" t="e">
        <f t="shared" si="75"/>
        <v>#REF!</v>
      </c>
      <c r="AK80" t="e">
        <f t="shared" si="76"/>
        <v>#REF!</v>
      </c>
      <c r="AN80" t="e">
        <f>Reflection!A80</f>
        <v>#REF!</v>
      </c>
      <c r="AO80" t="s">
        <v>13</v>
      </c>
      <c r="AP80" t="e">
        <f t="shared" si="77"/>
        <v>#REF!</v>
      </c>
      <c r="AQ80" t="e">
        <f t="shared" si="78"/>
        <v>#REF!</v>
      </c>
      <c r="AR80" t="e">
        <f t="shared" si="79"/>
        <v>#REF!</v>
      </c>
      <c r="AS80" t="e">
        <f t="shared" si="80"/>
        <v>#REF!</v>
      </c>
      <c r="AT80" t="e">
        <f t="shared" si="81"/>
        <v>#REF!</v>
      </c>
      <c r="AU80" t="e">
        <f t="shared" si="82"/>
        <v>#REF!</v>
      </c>
      <c r="AX80" t="e">
        <f>Reflection!A80</f>
        <v>#REF!</v>
      </c>
      <c r="AY80" t="s">
        <v>13</v>
      </c>
      <c r="AZ80" t="e">
        <f t="shared" si="83"/>
        <v>#REF!</v>
      </c>
      <c r="BA80" t="e">
        <f t="shared" si="84"/>
        <v>#REF!</v>
      </c>
      <c r="BB80" t="e">
        <f t="shared" si="85"/>
        <v>#REF!</v>
      </c>
      <c r="BC80" t="e">
        <f t="shared" si="86"/>
        <v>#REF!</v>
      </c>
      <c r="BD80" t="e">
        <f t="shared" si="87"/>
        <v>#REF!</v>
      </c>
      <c r="BE80" t="e">
        <f t="shared" si="88"/>
        <v>#REF!</v>
      </c>
      <c r="BH80" t="e">
        <f>Reflection!A80</f>
        <v>#REF!</v>
      </c>
      <c r="BI80" t="e">
        <f t="shared" si="89"/>
        <v>#REF!</v>
      </c>
      <c r="BJ80" t="e">
        <f t="shared" si="90"/>
        <v>#REF!</v>
      </c>
      <c r="BK80" t="e">
        <f t="shared" si="91"/>
        <v>#REF!</v>
      </c>
      <c r="BL80" t="e">
        <f t="shared" si="92"/>
        <v>#REF!</v>
      </c>
      <c r="BM80" t="e">
        <f t="shared" si="93"/>
        <v>#REF!</v>
      </c>
      <c r="BN80" t="e">
        <f t="shared" si="94"/>
        <v>#REF!</v>
      </c>
      <c r="BR80" t="e">
        <f>Reflection!A80</f>
        <v>#REF!</v>
      </c>
      <c r="BS80" t="s">
        <v>13</v>
      </c>
      <c r="BT80" t="e">
        <f t="shared" si="95"/>
        <v>#REF!</v>
      </c>
      <c r="BU80" t="e">
        <f t="shared" si="55"/>
        <v>#REF!</v>
      </c>
      <c r="BV80" t="e">
        <f t="shared" si="96"/>
        <v>#REF!</v>
      </c>
      <c r="BW80" t="e">
        <f t="shared" si="97"/>
        <v>#REF!</v>
      </c>
      <c r="BX80" t="e">
        <f t="shared" si="98"/>
        <v>#REF!</v>
      </c>
      <c r="BY80" t="e">
        <f t="shared" si="99"/>
        <v>#REF!</v>
      </c>
    </row>
    <row r="81" spans="1:77" x14ac:dyDescent="0.15">
      <c r="A81" t="e">
        <f>Reflection!A81</f>
        <v>#REF!</v>
      </c>
      <c r="B81" t="e">
        <f t="shared" si="52"/>
        <v>#REF!</v>
      </c>
      <c r="C81" t="e">
        <f t="shared" si="53"/>
        <v>#REF!</v>
      </c>
      <c r="D81" t="e">
        <f t="shared" si="56"/>
        <v>#REF!</v>
      </c>
      <c r="E81" t="e">
        <f t="shared" si="57"/>
        <v>#REF!</v>
      </c>
      <c r="F81" t="e">
        <f t="shared" si="58"/>
        <v>#REF!</v>
      </c>
      <c r="G81" t="e">
        <f t="shared" si="54"/>
        <v>#REF!</v>
      </c>
      <c r="J81" t="e">
        <f>Reflection!A81</f>
        <v>#REF!</v>
      </c>
      <c r="K81" t="s">
        <v>13</v>
      </c>
      <c r="L81" t="e">
        <f t="shared" si="59"/>
        <v>#REF!</v>
      </c>
      <c r="M81" t="e">
        <f t="shared" si="60"/>
        <v>#REF!</v>
      </c>
      <c r="N81" t="e">
        <f t="shared" si="61"/>
        <v>#REF!</v>
      </c>
      <c r="O81" t="e">
        <f t="shared" si="62"/>
        <v>#REF!</v>
      </c>
      <c r="P81" t="e">
        <f t="shared" si="63"/>
        <v>#REF!</v>
      </c>
      <c r="Q81" t="e">
        <f t="shared" si="64"/>
        <v>#REF!</v>
      </c>
      <c r="T81" t="e">
        <f>Reflection!A81</f>
        <v>#REF!</v>
      </c>
      <c r="U81" t="s">
        <v>13</v>
      </c>
      <c r="V81" t="e">
        <f t="shared" si="65"/>
        <v>#REF!</v>
      </c>
      <c r="W81" t="e">
        <f t="shared" si="66"/>
        <v>#REF!</v>
      </c>
      <c r="X81" t="e">
        <f t="shared" si="67"/>
        <v>#REF!</v>
      </c>
      <c r="Y81" t="e">
        <f t="shared" si="68"/>
        <v>#REF!</v>
      </c>
      <c r="Z81" t="e">
        <f t="shared" si="69"/>
        <v>#REF!</v>
      </c>
      <c r="AA81" t="e">
        <f t="shared" si="70"/>
        <v>#REF!</v>
      </c>
      <c r="AD81" t="e">
        <f>Reflection!A81</f>
        <v>#REF!</v>
      </c>
      <c r="AE81" t="s">
        <v>13</v>
      </c>
      <c r="AF81" t="e">
        <f t="shared" si="71"/>
        <v>#REF!</v>
      </c>
      <c r="AG81" t="e">
        <f t="shared" si="72"/>
        <v>#REF!</v>
      </c>
      <c r="AH81" t="e">
        <f t="shared" si="73"/>
        <v>#REF!</v>
      </c>
      <c r="AI81" t="e">
        <f t="shared" si="74"/>
        <v>#REF!</v>
      </c>
      <c r="AJ81" t="e">
        <f t="shared" si="75"/>
        <v>#REF!</v>
      </c>
      <c r="AK81" t="e">
        <f t="shared" si="76"/>
        <v>#REF!</v>
      </c>
      <c r="AN81" t="e">
        <f>Reflection!A81</f>
        <v>#REF!</v>
      </c>
      <c r="AO81" t="s">
        <v>13</v>
      </c>
      <c r="AP81" t="e">
        <f t="shared" si="77"/>
        <v>#REF!</v>
      </c>
      <c r="AQ81" t="e">
        <f t="shared" si="78"/>
        <v>#REF!</v>
      </c>
      <c r="AR81" t="e">
        <f t="shared" si="79"/>
        <v>#REF!</v>
      </c>
      <c r="AS81" t="e">
        <f t="shared" si="80"/>
        <v>#REF!</v>
      </c>
      <c r="AT81" t="e">
        <f t="shared" si="81"/>
        <v>#REF!</v>
      </c>
      <c r="AU81" t="e">
        <f t="shared" si="82"/>
        <v>#REF!</v>
      </c>
      <c r="AX81" t="e">
        <f>Reflection!A81</f>
        <v>#REF!</v>
      </c>
      <c r="AY81" t="s">
        <v>13</v>
      </c>
      <c r="AZ81" t="e">
        <f t="shared" si="83"/>
        <v>#REF!</v>
      </c>
      <c r="BA81" t="e">
        <f t="shared" si="84"/>
        <v>#REF!</v>
      </c>
      <c r="BB81" t="e">
        <f t="shared" si="85"/>
        <v>#REF!</v>
      </c>
      <c r="BC81" t="e">
        <f t="shared" si="86"/>
        <v>#REF!</v>
      </c>
      <c r="BD81" t="e">
        <f t="shared" si="87"/>
        <v>#REF!</v>
      </c>
      <c r="BE81" t="e">
        <f t="shared" si="88"/>
        <v>#REF!</v>
      </c>
      <c r="BH81" t="e">
        <f>Reflection!A81</f>
        <v>#REF!</v>
      </c>
      <c r="BI81" t="e">
        <f t="shared" si="89"/>
        <v>#REF!</v>
      </c>
      <c r="BJ81" t="e">
        <f t="shared" si="90"/>
        <v>#REF!</v>
      </c>
      <c r="BK81" t="e">
        <f t="shared" si="91"/>
        <v>#REF!</v>
      </c>
      <c r="BL81" t="e">
        <f t="shared" si="92"/>
        <v>#REF!</v>
      </c>
      <c r="BM81" t="e">
        <f t="shared" si="93"/>
        <v>#REF!</v>
      </c>
      <c r="BN81" t="e">
        <f t="shared" si="94"/>
        <v>#REF!</v>
      </c>
      <c r="BR81" t="e">
        <f>Reflection!A81</f>
        <v>#REF!</v>
      </c>
      <c r="BS81" t="s">
        <v>13</v>
      </c>
      <c r="BT81" t="e">
        <f t="shared" si="95"/>
        <v>#REF!</v>
      </c>
      <c r="BU81" t="e">
        <f t="shared" si="55"/>
        <v>#REF!</v>
      </c>
      <c r="BV81" t="e">
        <f t="shared" si="96"/>
        <v>#REF!</v>
      </c>
      <c r="BW81" t="e">
        <f t="shared" si="97"/>
        <v>#REF!</v>
      </c>
      <c r="BX81" t="e">
        <f t="shared" si="98"/>
        <v>#REF!</v>
      </c>
      <c r="BY81" t="e">
        <f t="shared" si="99"/>
        <v>#REF!</v>
      </c>
    </row>
    <row r="82" spans="1:77" x14ac:dyDescent="0.15">
      <c r="A82" t="e">
        <f>Reflection!A82</f>
        <v>#REF!</v>
      </c>
      <c r="B82" t="e">
        <f t="shared" si="52"/>
        <v>#REF!</v>
      </c>
      <c r="C82" t="e">
        <f t="shared" si="53"/>
        <v>#REF!</v>
      </c>
      <c r="D82" t="e">
        <f t="shared" si="56"/>
        <v>#REF!</v>
      </c>
      <c r="E82" t="e">
        <f t="shared" si="57"/>
        <v>#REF!</v>
      </c>
      <c r="F82" t="e">
        <f t="shared" si="58"/>
        <v>#REF!</v>
      </c>
      <c r="G82" t="e">
        <f t="shared" si="54"/>
        <v>#REF!</v>
      </c>
      <c r="J82" t="e">
        <f>Reflection!A82</f>
        <v>#REF!</v>
      </c>
      <c r="K82" t="s">
        <v>13</v>
      </c>
      <c r="L82" t="e">
        <f t="shared" si="59"/>
        <v>#REF!</v>
      </c>
      <c r="M82" t="e">
        <f t="shared" si="60"/>
        <v>#REF!</v>
      </c>
      <c r="N82" t="e">
        <f t="shared" si="61"/>
        <v>#REF!</v>
      </c>
      <c r="O82" t="e">
        <f t="shared" si="62"/>
        <v>#REF!</v>
      </c>
      <c r="P82" t="e">
        <f t="shared" si="63"/>
        <v>#REF!</v>
      </c>
      <c r="Q82" t="e">
        <f t="shared" si="64"/>
        <v>#REF!</v>
      </c>
      <c r="T82" t="e">
        <f>Reflection!A82</f>
        <v>#REF!</v>
      </c>
      <c r="U82" t="s">
        <v>13</v>
      </c>
      <c r="V82" t="e">
        <f t="shared" si="65"/>
        <v>#REF!</v>
      </c>
      <c r="W82" t="e">
        <f t="shared" si="66"/>
        <v>#REF!</v>
      </c>
      <c r="X82" t="e">
        <f t="shared" si="67"/>
        <v>#REF!</v>
      </c>
      <c r="Y82" t="e">
        <f t="shared" si="68"/>
        <v>#REF!</v>
      </c>
      <c r="Z82" t="e">
        <f t="shared" si="69"/>
        <v>#REF!</v>
      </c>
      <c r="AA82" t="e">
        <f t="shared" si="70"/>
        <v>#REF!</v>
      </c>
      <c r="AD82" t="e">
        <f>Reflection!A82</f>
        <v>#REF!</v>
      </c>
      <c r="AE82" t="s">
        <v>13</v>
      </c>
      <c r="AF82" t="e">
        <f t="shared" si="71"/>
        <v>#REF!</v>
      </c>
      <c r="AG82" t="e">
        <f t="shared" si="72"/>
        <v>#REF!</v>
      </c>
      <c r="AH82" t="e">
        <f t="shared" si="73"/>
        <v>#REF!</v>
      </c>
      <c r="AI82" t="e">
        <f t="shared" si="74"/>
        <v>#REF!</v>
      </c>
      <c r="AJ82" t="e">
        <f t="shared" si="75"/>
        <v>#REF!</v>
      </c>
      <c r="AK82" t="e">
        <f t="shared" si="76"/>
        <v>#REF!</v>
      </c>
      <c r="AN82" t="e">
        <f>Reflection!A82</f>
        <v>#REF!</v>
      </c>
      <c r="AO82" t="s">
        <v>13</v>
      </c>
      <c r="AP82" t="e">
        <f t="shared" si="77"/>
        <v>#REF!</v>
      </c>
      <c r="AQ82" t="e">
        <f t="shared" si="78"/>
        <v>#REF!</v>
      </c>
      <c r="AR82" t="e">
        <f t="shared" si="79"/>
        <v>#REF!</v>
      </c>
      <c r="AS82" t="e">
        <f t="shared" si="80"/>
        <v>#REF!</v>
      </c>
      <c r="AT82" t="e">
        <f t="shared" si="81"/>
        <v>#REF!</v>
      </c>
      <c r="AU82" t="e">
        <f t="shared" si="82"/>
        <v>#REF!</v>
      </c>
      <c r="AX82" t="e">
        <f>Reflection!A82</f>
        <v>#REF!</v>
      </c>
      <c r="AY82" t="s">
        <v>13</v>
      </c>
      <c r="AZ82" t="e">
        <f t="shared" si="83"/>
        <v>#REF!</v>
      </c>
      <c r="BA82" t="e">
        <f t="shared" si="84"/>
        <v>#REF!</v>
      </c>
      <c r="BB82" t="e">
        <f t="shared" si="85"/>
        <v>#REF!</v>
      </c>
      <c r="BC82" t="e">
        <f t="shared" si="86"/>
        <v>#REF!</v>
      </c>
      <c r="BD82" t="e">
        <f t="shared" si="87"/>
        <v>#REF!</v>
      </c>
      <c r="BE82" t="e">
        <f t="shared" si="88"/>
        <v>#REF!</v>
      </c>
      <c r="BH82" t="e">
        <f>Reflection!A82</f>
        <v>#REF!</v>
      </c>
      <c r="BI82" t="e">
        <f t="shared" si="89"/>
        <v>#REF!</v>
      </c>
      <c r="BJ82" t="e">
        <f t="shared" si="90"/>
        <v>#REF!</v>
      </c>
      <c r="BK82" t="e">
        <f t="shared" si="91"/>
        <v>#REF!</v>
      </c>
      <c r="BL82" t="e">
        <f t="shared" si="92"/>
        <v>#REF!</v>
      </c>
      <c r="BM82" t="e">
        <f t="shared" si="93"/>
        <v>#REF!</v>
      </c>
      <c r="BN82" t="e">
        <f t="shared" si="94"/>
        <v>#REF!</v>
      </c>
      <c r="BR82" t="e">
        <f>Reflection!A82</f>
        <v>#REF!</v>
      </c>
      <c r="BS82" t="s">
        <v>13</v>
      </c>
      <c r="BT82" t="e">
        <f t="shared" si="95"/>
        <v>#REF!</v>
      </c>
      <c r="BU82" t="e">
        <f t="shared" si="55"/>
        <v>#REF!</v>
      </c>
      <c r="BV82" t="e">
        <f t="shared" si="96"/>
        <v>#REF!</v>
      </c>
      <c r="BW82" t="e">
        <f t="shared" si="97"/>
        <v>#REF!</v>
      </c>
      <c r="BX82" t="e">
        <f t="shared" si="98"/>
        <v>#REF!</v>
      </c>
      <c r="BY82" t="e">
        <f t="shared" si="99"/>
        <v>#REF!</v>
      </c>
    </row>
    <row r="83" spans="1:77" x14ac:dyDescent="0.15">
      <c r="A83" t="e">
        <f>Reflection!A83</f>
        <v>#REF!</v>
      </c>
      <c r="B83" t="e">
        <f t="shared" si="52"/>
        <v>#REF!</v>
      </c>
      <c r="C83" t="e">
        <f t="shared" si="53"/>
        <v>#REF!</v>
      </c>
      <c r="D83" t="e">
        <f t="shared" si="56"/>
        <v>#REF!</v>
      </c>
      <c r="E83" t="e">
        <f t="shared" si="57"/>
        <v>#REF!</v>
      </c>
      <c r="F83" t="e">
        <f t="shared" si="58"/>
        <v>#REF!</v>
      </c>
      <c r="G83" t="e">
        <f t="shared" si="54"/>
        <v>#REF!</v>
      </c>
      <c r="J83" t="e">
        <f>Reflection!A83</f>
        <v>#REF!</v>
      </c>
      <c r="K83" t="s">
        <v>13</v>
      </c>
      <c r="L83" t="e">
        <f t="shared" si="59"/>
        <v>#REF!</v>
      </c>
      <c r="M83" t="e">
        <f t="shared" si="60"/>
        <v>#REF!</v>
      </c>
      <c r="N83" t="e">
        <f t="shared" si="61"/>
        <v>#REF!</v>
      </c>
      <c r="O83" t="e">
        <f t="shared" si="62"/>
        <v>#REF!</v>
      </c>
      <c r="P83" t="e">
        <f t="shared" si="63"/>
        <v>#REF!</v>
      </c>
      <c r="Q83" t="e">
        <f t="shared" si="64"/>
        <v>#REF!</v>
      </c>
      <c r="T83" t="e">
        <f>Reflection!A83</f>
        <v>#REF!</v>
      </c>
      <c r="U83" t="s">
        <v>13</v>
      </c>
      <c r="V83" t="e">
        <f t="shared" si="65"/>
        <v>#REF!</v>
      </c>
      <c r="W83" t="e">
        <f t="shared" si="66"/>
        <v>#REF!</v>
      </c>
      <c r="X83" t="e">
        <f t="shared" si="67"/>
        <v>#REF!</v>
      </c>
      <c r="Y83" t="e">
        <f t="shared" si="68"/>
        <v>#REF!</v>
      </c>
      <c r="Z83" t="e">
        <f t="shared" si="69"/>
        <v>#REF!</v>
      </c>
      <c r="AA83" t="e">
        <f t="shared" si="70"/>
        <v>#REF!</v>
      </c>
      <c r="AD83" t="e">
        <f>Reflection!A83</f>
        <v>#REF!</v>
      </c>
      <c r="AE83" t="s">
        <v>13</v>
      </c>
      <c r="AF83" t="e">
        <f t="shared" si="71"/>
        <v>#REF!</v>
      </c>
      <c r="AG83" t="e">
        <f t="shared" si="72"/>
        <v>#REF!</v>
      </c>
      <c r="AH83" t="e">
        <f t="shared" si="73"/>
        <v>#REF!</v>
      </c>
      <c r="AI83" t="e">
        <f t="shared" si="74"/>
        <v>#REF!</v>
      </c>
      <c r="AJ83" t="e">
        <f t="shared" si="75"/>
        <v>#REF!</v>
      </c>
      <c r="AK83" t="e">
        <f t="shared" si="76"/>
        <v>#REF!</v>
      </c>
      <c r="AN83" t="e">
        <f>Reflection!A83</f>
        <v>#REF!</v>
      </c>
      <c r="AO83" t="s">
        <v>13</v>
      </c>
      <c r="AP83" t="e">
        <f t="shared" si="77"/>
        <v>#REF!</v>
      </c>
      <c r="AQ83" t="e">
        <f t="shared" si="78"/>
        <v>#REF!</v>
      </c>
      <c r="AR83" t="e">
        <f t="shared" si="79"/>
        <v>#REF!</v>
      </c>
      <c r="AS83" t="e">
        <f t="shared" si="80"/>
        <v>#REF!</v>
      </c>
      <c r="AT83" t="e">
        <f t="shared" si="81"/>
        <v>#REF!</v>
      </c>
      <c r="AU83" t="e">
        <f t="shared" si="82"/>
        <v>#REF!</v>
      </c>
      <c r="AX83" t="e">
        <f>Reflection!A83</f>
        <v>#REF!</v>
      </c>
      <c r="AY83" t="s">
        <v>13</v>
      </c>
      <c r="AZ83" t="e">
        <f t="shared" si="83"/>
        <v>#REF!</v>
      </c>
      <c r="BA83" t="e">
        <f t="shared" si="84"/>
        <v>#REF!</v>
      </c>
      <c r="BB83" t="e">
        <f t="shared" si="85"/>
        <v>#REF!</v>
      </c>
      <c r="BC83" t="e">
        <f t="shared" si="86"/>
        <v>#REF!</v>
      </c>
      <c r="BD83" t="e">
        <f t="shared" si="87"/>
        <v>#REF!</v>
      </c>
      <c r="BE83" t="e">
        <f t="shared" si="88"/>
        <v>#REF!</v>
      </c>
      <c r="BH83" t="e">
        <f>Reflection!A83</f>
        <v>#REF!</v>
      </c>
      <c r="BI83" t="e">
        <f t="shared" si="89"/>
        <v>#REF!</v>
      </c>
      <c r="BJ83" t="e">
        <f t="shared" si="90"/>
        <v>#REF!</v>
      </c>
      <c r="BK83" t="e">
        <f t="shared" si="91"/>
        <v>#REF!</v>
      </c>
      <c r="BL83" t="e">
        <f t="shared" si="92"/>
        <v>#REF!</v>
      </c>
      <c r="BM83" t="e">
        <f t="shared" si="93"/>
        <v>#REF!</v>
      </c>
      <c r="BN83" t="e">
        <f t="shared" si="94"/>
        <v>#REF!</v>
      </c>
      <c r="BR83" t="e">
        <f>Reflection!A83</f>
        <v>#REF!</v>
      </c>
      <c r="BS83" t="s">
        <v>13</v>
      </c>
      <c r="BT83" t="e">
        <f t="shared" si="95"/>
        <v>#REF!</v>
      </c>
      <c r="BU83" t="e">
        <f t="shared" si="55"/>
        <v>#REF!</v>
      </c>
      <c r="BV83" t="e">
        <f t="shared" si="96"/>
        <v>#REF!</v>
      </c>
      <c r="BW83" t="e">
        <f t="shared" si="97"/>
        <v>#REF!</v>
      </c>
      <c r="BX83" t="e">
        <f t="shared" si="98"/>
        <v>#REF!</v>
      </c>
      <c r="BY83" t="e">
        <f t="shared" si="99"/>
        <v>#REF!</v>
      </c>
    </row>
    <row r="84" spans="1:77" x14ac:dyDescent="0.15">
      <c r="A84" t="e">
        <f>Reflection!A84</f>
        <v>#REF!</v>
      </c>
      <c r="B84" t="e">
        <f t="shared" si="52"/>
        <v>#REF!</v>
      </c>
      <c r="C84" t="e">
        <f t="shared" si="53"/>
        <v>#REF!</v>
      </c>
      <c r="D84" t="e">
        <f t="shared" si="56"/>
        <v>#REF!</v>
      </c>
      <c r="E84" t="e">
        <f t="shared" si="57"/>
        <v>#REF!</v>
      </c>
      <c r="F84" t="e">
        <f t="shared" si="58"/>
        <v>#REF!</v>
      </c>
      <c r="G84" t="e">
        <f t="shared" si="54"/>
        <v>#REF!</v>
      </c>
      <c r="J84" t="e">
        <f>Reflection!A84</f>
        <v>#REF!</v>
      </c>
      <c r="K84" t="s">
        <v>13</v>
      </c>
      <c r="L84" t="e">
        <f t="shared" si="59"/>
        <v>#REF!</v>
      </c>
      <c r="M84" t="e">
        <f t="shared" si="60"/>
        <v>#REF!</v>
      </c>
      <c r="N84" t="e">
        <f t="shared" si="61"/>
        <v>#REF!</v>
      </c>
      <c r="O84" t="e">
        <f t="shared" si="62"/>
        <v>#REF!</v>
      </c>
      <c r="P84" t="e">
        <f t="shared" si="63"/>
        <v>#REF!</v>
      </c>
      <c r="Q84" t="e">
        <f t="shared" si="64"/>
        <v>#REF!</v>
      </c>
      <c r="T84" t="e">
        <f>Reflection!A84</f>
        <v>#REF!</v>
      </c>
      <c r="U84" t="s">
        <v>13</v>
      </c>
      <c r="V84" t="e">
        <f t="shared" si="65"/>
        <v>#REF!</v>
      </c>
      <c r="W84" t="e">
        <f t="shared" si="66"/>
        <v>#REF!</v>
      </c>
      <c r="X84" t="e">
        <f t="shared" si="67"/>
        <v>#REF!</v>
      </c>
      <c r="Y84" t="e">
        <f t="shared" si="68"/>
        <v>#REF!</v>
      </c>
      <c r="Z84" t="e">
        <f t="shared" si="69"/>
        <v>#REF!</v>
      </c>
      <c r="AA84" t="e">
        <f t="shared" si="70"/>
        <v>#REF!</v>
      </c>
      <c r="AD84" t="e">
        <f>Reflection!A84</f>
        <v>#REF!</v>
      </c>
      <c r="AE84" t="s">
        <v>13</v>
      </c>
      <c r="AF84" t="e">
        <f t="shared" si="71"/>
        <v>#REF!</v>
      </c>
      <c r="AG84" t="e">
        <f t="shared" si="72"/>
        <v>#REF!</v>
      </c>
      <c r="AH84" t="e">
        <f t="shared" si="73"/>
        <v>#REF!</v>
      </c>
      <c r="AI84" t="e">
        <f t="shared" si="74"/>
        <v>#REF!</v>
      </c>
      <c r="AJ84" t="e">
        <f t="shared" si="75"/>
        <v>#REF!</v>
      </c>
      <c r="AK84" t="e">
        <f t="shared" si="76"/>
        <v>#REF!</v>
      </c>
      <c r="AN84" t="e">
        <f>Reflection!A84</f>
        <v>#REF!</v>
      </c>
      <c r="AO84" t="s">
        <v>13</v>
      </c>
      <c r="AP84" t="e">
        <f t="shared" si="77"/>
        <v>#REF!</v>
      </c>
      <c r="AQ84" t="e">
        <f t="shared" si="78"/>
        <v>#REF!</v>
      </c>
      <c r="AR84" t="e">
        <f t="shared" si="79"/>
        <v>#REF!</v>
      </c>
      <c r="AS84" t="e">
        <f t="shared" si="80"/>
        <v>#REF!</v>
      </c>
      <c r="AT84" t="e">
        <f t="shared" si="81"/>
        <v>#REF!</v>
      </c>
      <c r="AU84" t="e">
        <f t="shared" si="82"/>
        <v>#REF!</v>
      </c>
      <c r="AX84" t="e">
        <f>Reflection!A84</f>
        <v>#REF!</v>
      </c>
      <c r="AY84" t="s">
        <v>13</v>
      </c>
      <c r="AZ84" t="e">
        <f t="shared" si="83"/>
        <v>#REF!</v>
      </c>
      <c r="BA84" t="e">
        <f t="shared" si="84"/>
        <v>#REF!</v>
      </c>
      <c r="BB84" t="e">
        <f t="shared" si="85"/>
        <v>#REF!</v>
      </c>
      <c r="BC84" t="e">
        <f t="shared" si="86"/>
        <v>#REF!</v>
      </c>
      <c r="BD84" t="e">
        <f t="shared" si="87"/>
        <v>#REF!</v>
      </c>
      <c r="BE84" t="e">
        <f t="shared" si="88"/>
        <v>#REF!</v>
      </c>
      <c r="BH84" t="e">
        <f>Reflection!A84</f>
        <v>#REF!</v>
      </c>
      <c r="BI84" t="e">
        <f t="shared" si="89"/>
        <v>#REF!</v>
      </c>
      <c r="BJ84" t="e">
        <f t="shared" si="90"/>
        <v>#REF!</v>
      </c>
      <c r="BK84" t="e">
        <f t="shared" si="91"/>
        <v>#REF!</v>
      </c>
      <c r="BL84" t="e">
        <f t="shared" si="92"/>
        <v>#REF!</v>
      </c>
      <c r="BM84" t="e">
        <f t="shared" si="93"/>
        <v>#REF!</v>
      </c>
      <c r="BN84" t="e">
        <f t="shared" si="94"/>
        <v>#REF!</v>
      </c>
      <c r="BR84" t="e">
        <f>Reflection!A84</f>
        <v>#REF!</v>
      </c>
      <c r="BS84" t="s">
        <v>13</v>
      </c>
      <c r="BT84" t="e">
        <f t="shared" si="95"/>
        <v>#REF!</v>
      </c>
      <c r="BU84" t="e">
        <f t="shared" si="55"/>
        <v>#REF!</v>
      </c>
      <c r="BV84" t="e">
        <f t="shared" si="96"/>
        <v>#REF!</v>
      </c>
      <c r="BW84" t="e">
        <f t="shared" si="97"/>
        <v>#REF!</v>
      </c>
      <c r="BX84" t="e">
        <f t="shared" si="98"/>
        <v>#REF!</v>
      </c>
      <c r="BY84" t="e">
        <f t="shared" si="99"/>
        <v>#REF!</v>
      </c>
    </row>
    <row r="85" spans="1:77" x14ac:dyDescent="0.15">
      <c r="A85" t="e">
        <f>Reflection!A85</f>
        <v>#REF!</v>
      </c>
      <c r="B85" t="e">
        <f t="shared" si="52"/>
        <v>#REF!</v>
      </c>
      <c r="C85" t="e">
        <f t="shared" si="53"/>
        <v>#REF!</v>
      </c>
      <c r="D85" t="e">
        <f t="shared" si="56"/>
        <v>#REF!</v>
      </c>
      <c r="E85" t="e">
        <f t="shared" si="57"/>
        <v>#REF!</v>
      </c>
      <c r="F85" t="e">
        <f t="shared" si="58"/>
        <v>#REF!</v>
      </c>
      <c r="G85" t="e">
        <f t="shared" si="54"/>
        <v>#REF!</v>
      </c>
      <c r="J85" t="e">
        <f>Reflection!A85</f>
        <v>#REF!</v>
      </c>
      <c r="K85" t="s">
        <v>13</v>
      </c>
      <c r="L85" t="e">
        <f t="shared" si="59"/>
        <v>#REF!</v>
      </c>
      <c r="M85" t="e">
        <f t="shared" si="60"/>
        <v>#REF!</v>
      </c>
      <c r="N85" t="e">
        <f t="shared" si="61"/>
        <v>#REF!</v>
      </c>
      <c r="O85" t="e">
        <f t="shared" si="62"/>
        <v>#REF!</v>
      </c>
      <c r="P85" t="e">
        <f t="shared" si="63"/>
        <v>#REF!</v>
      </c>
      <c r="Q85" t="e">
        <f t="shared" si="64"/>
        <v>#REF!</v>
      </c>
      <c r="T85" t="e">
        <f>Reflection!A85</f>
        <v>#REF!</v>
      </c>
      <c r="U85" t="s">
        <v>13</v>
      </c>
      <c r="V85" t="e">
        <f t="shared" si="65"/>
        <v>#REF!</v>
      </c>
      <c r="W85" t="e">
        <f t="shared" si="66"/>
        <v>#REF!</v>
      </c>
      <c r="X85" t="e">
        <f t="shared" si="67"/>
        <v>#REF!</v>
      </c>
      <c r="Y85" t="e">
        <f t="shared" si="68"/>
        <v>#REF!</v>
      </c>
      <c r="Z85" t="e">
        <f t="shared" si="69"/>
        <v>#REF!</v>
      </c>
      <c r="AA85" t="e">
        <f t="shared" si="70"/>
        <v>#REF!</v>
      </c>
      <c r="AD85" t="e">
        <f>Reflection!A85</f>
        <v>#REF!</v>
      </c>
      <c r="AE85" t="s">
        <v>13</v>
      </c>
      <c r="AF85" t="e">
        <f t="shared" si="71"/>
        <v>#REF!</v>
      </c>
      <c r="AG85" t="e">
        <f t="shared" si="72"/>
        <v>#REF!</v>
      </c>
      <c r="AH85" t="e">
        <f t="shared" si="73"/>
        <v>#REF!</v>
      </c>
      <c r="AI85" t="e">
        <f t="shared" si="74"/>
        <v>#REF!</v>
      </c>
      <c r="AJ85" t="e">
        <f t="shared" si="75"/>
        <v>#REF!</v>
      </c>
      <c r="AK85" t="e">
        <f t="shared" si="76"/>
        <v>#REF!</v>
      </c>
      <c r="AN85" t="e">
        <f>Reflection!A85</f>
        <v>#REF!</v>
      </c>
      <c r="AO85" t="s">
        <v>13</v>
      </c>
      <c r="AP85" t="e">
        <f t="shared" si="77"/>
        <v>#REF!</v>
      </c>
      <c r="AQ85" t="e">
        <f t="shared" si="78"/>
        <v>#REF!</v>
      </c>
      <c r="AR85" t="e">
        <f t="shared" si="79"/>
        <v>#REF!</v>
      </c>
      <c r="AS85" t="e">
        <f t="shared" si="80"/>
        <v>#REF!</v>
      </c>
      <c r="AT85" t="e">
        <f t="shared" si="81"/>
        <v>#REF!</v>
      </c>
      <c r="AU85" t="e">
        <f t="shared" si="82"/>
        <v>#REF!</v>
      </c>
      <c r="AX85" t="e">
        <f>Reflection!A85</f>
        <v>#REF!</v>
      </c>
      <c r="AY85" t="s">
        <v>13</v>
      </c>
      <c r="AZ85" t="e">
        <f t="shared" si="83"/>
        <v>#REF!</v>
      </c>
      <c r="BA85" t="e">
        <f t="shared" si="84"/>
        <v>#REF!</v>
      </c>
      <c r="BB85" t="e">
        <f t="shared" si="85"/>
        <v>#REF!</v>
      </c>
      <c r="BC85" t="e">
        <f t="shared" si="86"/>
        <v>#REF!</v>
      </c>
      <c r="BD85" t="e">
        <f t="shared" si="87"/>
        <v>#REF!</v>
      </c>
      <c r="BE85" t="e">
        <f t="shared" si="88"/>
        <v>#REF!</v>
      </c>
      <c r="BH85" t="e">
        <f>Reflection!A85</f>
        <v>#REF!</v>
      </c>
      <c r="BI85" t="e">
        <f t="shared" si="89"/>
        <v>#REF!</v>
      </c>
      <c r="BJ85" t="e">
        <f t="shared" si="90"/>
        <v>#REF!</v>
      </c>
      <c r="BK85" t="e">
        <f t="shared" si="91"/>
        <v>#REF!</v>
      </c>
      <c r="BL85" t="e">
        <f t="shared" si="92"/>
        <v>#REF!</v>
      </c>
      <c r="BM85" t="e">
        <f t="shared" si="93"/>
        <v>#REF!</v>
      </c>
      <c r="BN85" t="e">
        <f t="shared" si="94"/>
        <v>#REF!</v>
      </c>
      <c r="BR85" t="e">
        <f>Reflection!A85</f>
        <v>#REF!</v>
      </c>
      <c r="BS85" t="s">
        <v>13</v>
      </c>
      <c r="BT85" t="e">
        <f t="shared" si="95"/>
        <v>#REF!</v>
      </c>
      <c r="BU85" t="e">
        <f t="shared" si="55"/>
        <v>#REF!</v>
      </c>
      <c r="BV85" t="e">
        <f t="shared" si="96"/>
        <v>#REF!</v>
      </c>
      <c r="BW85" t="e">
        <f t="shared" si="97"/>
        <v>#REF!</v>
      </c>
      <c r="BX85" t="e">
        <f t="shared" si="98"/>
        <v>#REF!</v>
      </c>
      <c r="BY85" t="e">
        <f t="shared" si="99"/>
        <v>#REF!</v>
      </c>
    </row>
    <row r="86" spans="1:77" x14ac:dyDescent="0.15">
      <c r="A86" t="e">
        <f>Reflection!A86</f>
        <v>#REF!</v>
      </c>
      <c r="B86" t="e">
        <f t="shared" si="52"/>
        <v>#REF!</v>
      </c>
      <c r="C86" t="e">
        <f t="shared" si="53"/>
        <v>#REF!</v>
      </c>
      <c r="D86" t="e">
        <f t="shared" si="56"/>
        <v>#REF!</v>
      </c>
      <c r="E86" t="e">
        <f t="shared" si="57"/>
        <v>#REF!</v>
      </c>
      <c r="F86" t="e">
        <f t="shared" si="58"/>
        <v>#REF!</v>
      </c>
      <c r="G86" t="e">
        <f t="shared" si="54"/>
        <v>#REF!</v>
      </c>
      <c r="J86" t="e">
        <f>Reflection!A86</f>
        <v>#REF!</v>
      </c>
      <c r="K86" t="s">
        <v>13</v>
      </c>
      <c r="L86" t="e">
        <f t="shared" si="59"/>
        <v>#REF!</v>
      </c>
      <c r="M86" t="e">
        <f t="shared" si="60"/>
        <v>#REF!</v>
      </c>
      <c r="N86" t="e">
        <f t="shared" si="61"/>
        <v>#REF!</v>
      </c>
      <c r="O86" t="e">
        <f t="shared" si="62"/>
        <v>#REF!</v>
      </c>
      <c r="P86" t="e">
        <f t="shared" si="63"/>
        <v>#REF!</v>
      </c>
      <c r="Q86" t="e">
        <f t="shared" si="64"/>
        <v>#REF!</v>
      </c>
      <c r="T86" t="e">
        <f>Reflection!A86</f>
        <v>#REF!</v>
      </c>
      <c r="U86" t="s">
        <v>13</v>
      </c>
      <c r="V86" t="e">
        <f t="shared" si="65"/>
        <v>#REF!</v>
      </c>
      <c r="W86" t="e">
        <f t="shared" si="66"/>
        <v>#REF!</v>
      </c>
      <c r="X86" t="e">
        <f t="shared" si="67"/>
        <v>#REF!</v>
      </c>
      <c r="Y86" t="e">
        <f t="shared" si="68"/>
        <v>#REF!</v>
      </c>
      <c r="Z86" t="e">
        <f t="shared" si="69"/>
        <v>#REF!</v>
      </c>
      <c r="AA86" t="e">
        <f t="shared" si="70"/>
        <v>#REF!</v>
      </c>
      <c r="AD86" t="e">
        <f>Reflection!A86</f>
        <v>#REF!</v>
      </c>
      <c r="AE86" t="s">
        <v>13</v>
      </c>
      <c r="AF86" t="e">
        <f t="shared" si="71"/>
        <v>#REF!</v>
      </c>
      <c r="AG86" t="e">
        <f t="shared" si="72"/>
        <v>#REF!</v>
      </c>
      <c r="AH86" t="e">
        <f t="shared" si="73"/>
        <v>#REF!</v>
      </c>
      <c r="AI86" t="e">
        <f t="shared" si="74"/>
        <v>#REF!</v>
      </c>
      <c r="AJ86" t="e">
        <f t="shared" si="75"/>
        <v>#REF!</v>
      </c>
      <c r="AK86" t="e">
        <f t="shared" si="76"/>
        <v>#REF!</v>
      </c>
      <c r="AN86" t="e">
        <f>Reflection!A86</f>
        <v>#REF!</v>
      </c>
      <c r="AO86" t="s">
        <v>13</v>
      </c>
      <c r="AP86" t="e">
        <f t="shared" si="77"/>
        <v>#REF!</v>
      </c>
      <c r="AQ86" t="e">
        <f t="shared" si="78"/>
        <v>#REF!</v>
      </c>
      <c r="AR86" t="e">
        <f t="shared" si="79"/>
        <v>#REF!</v>
      </c>
      <c r="AS86" t="e">
        <f t="shared" si="80"/>
        <v>#REF!</v>
      </c>
      <c r="AT86" t="e">
        <f t="shared" si="81"/>
        <v>#REF!</v>
      </c>
      <c r="AU86" t="e">
        <f t="shared" si="82"/>
        <v>#REF!</v>
      </c>
      <c r="AX86" t="e">
        <f>Reflection!A86</f>
        <v>#REF!</v>
      </c>
      <c r="AY86" t="s">
        <v>13</v>
      </c>
      <c r="AZ86" t="e">
        <f t="shared" si="83"/>
        <v>#REF!</v>
      </c>
      <c r="BA86" t="e">
        <f t="shared" si="84"/>
        <v>#REF!</v>
      </c>
      <c r="BB86" t="e">
        <f t="shared" si="85"/>
        <v>#REF!</v>
      </c>
      <c r="BC86" t="e">
        <f t="shared" si="86"/>
        <v>#REF!</v>
      </c>
      <c r="BD86" t="e">
        <f t="shared" si="87"/>
        <v>#REF!</v>
      </c>
      <c r="BE86" t="e">
        <f t="shared" si="88"/>
        <v>#REF!</v>
      </c>
      <c r="BH86" t="e">
        <f>Reflection!A86</f>
        <v>#REF!</v>
      </c>
      <c r="BI86" t="e">
        <f t="shared" si="89"/>
        <v>#REF!</v>
      </c>
      <c r="BJ86" t="e">
        <f t="shared" si="90"/>
        <v>#REF!</v>
      </c>
      <c r="BK86" t="e">
        <f t="shared" si="91"/>
        <v>#REF!</v>
      </c>
      <c r="BL86" t="e">
        <f t="shared" si="92"/>
        <v>#REF!</v>
      </c>
      <c r="BM86" t="e">
        <f t="shared" si="93"/>
        <v>#REF!</v>
      </c>
      <c r="BN86" t="e">
        <f t="shared" si="94"/>
        <v>#REF!</v>
      </c>
      <c r="BR86" t="e">
        <f>Reflection!A86</f>
        <v>#REF!</v>
      </c>
      <c r="BS86" t="s">
        <v>13</v>
      </c>
      <c r="BT86" t="e">
        <f t="shared" si="95"/>
        <v>#REF!</v>
      </c>
      <c r="BU86" t="e">
        <f t="shared" si="55"/>
        <v>#REF!</v>
      </c>
      <c r="BV86" t="e">
        <f t="shared" si="96"/>
        <v>#REF!</v>
      </c>
      <c r="BW86" t="e">
        <f t="shared" si="97"/>
        <v>#REF!</v>
      </c>
      <c r="BX86" t="e">
        <f t="shared" si="98"/>
        <v>#REF!</v>
      </c>
      <c r="BY86" t="e">
        <f t="shared" si="99"/>
        <v>#REF!</v>
      </c>
    </row>
    <row r="87" spans="1:77" x14ac:dyDescent="0.15">
      <c r="A87" t="e">
        <f>Reflection!A87</f>
        <v>#REF!</v>
      </c>
      <c r="B87" t="e">
        <f t="shared" si="52"/>
        <v>#REF!</v>
      </c>
      <c r="C87" t="e">
        <f t="shared" si="53"/>
        <v>#REF!</v>
      </c>
      <c r="D87" t="e">
        <f t="shared" si="56"/>
        <v>#REF!</v>
      </c>
      <c r="E87" t="e">
        <f t="shared" si="57"/>
        <v>#REF!</v>
      </c>
      <c r="F87" t="e">
        <f t="shared" si="58"/>
        <v>#REF!</v>
      </c>
      <c r="G87" t="e">
        <f t="shared" si="54"/>
        <v>#REF!</v>
      </c>
      <c r="J87" t="e">
        <f>Reflection!A87</f>
        <v>#REF!</v>
      </c>
      <c r="K87" t="s">
        <v>13</v>
      </c>
      <c r="L87" t="e">
        <f t="shared" si="59"/>
        <v>#REF!</v>
      </c>
      <c r="M87" t="e">
        <f t="shared" si="60"/>
        <v>#REF!</v>
      </c>
      <c r="N87" t="e">
        <f t="shared" si="61"/>
        <v>#REF!</v>
      </c>
      <c r="O87" t="e">
        <f t="shared" si="62"/>
        <v>#REF!</v>
      </c>
      <c r="P87" t="e">
        <f t="shared" si="63"/>
        <v>#REF!</v>
      </c>
      <c r="Q87" t="e">
        <f t="shared" si="64"/>
        <v>#REF!</v>
      </c>
      <c r="T87" t="e">
        <f>Reflection!A87</f>
        <v>#REF!</v>
      </c>
      <c r="U87" t="s">
        <v>13</v>
      </c>
      <c r="V87" t="e">
        <f t="shared" si="65"/>
        <v>#REF!</v>
      </c>
      <c r="W87" t="e">
        <f t="shared" si="66"/>
        <v>#REF!</v>
      </c>
      <c r="X87" t="e">
        <f t="shared" si="67"/>
        <v>#REF!</v>
      </c>
      <c r="Y87" t="e">
        <f t="shared" si="68"/>
        <v>#REF!</v>
      </c>
      <c r="Z87" t="e">
        <f t="shared" si="69"/>
        <v>#REF!</v>
      </c>
      <c r="AA87" t="e">
        <f t="shared" si="70"/>
        <v>#REF!</v>
      </c>
      <c r="AD87" t="e">
        <f>Reflection!A87</f>
        <v>#REF!</v>
      </c>
      <c r="AE87" t="s">
        <v>13</v>
      </c>
      <c r="AF87" t="e">
        <f t="shared" si="71"/>
        <v>#REF!</v>
      </c>
      <c r="AG87" t="e">
        <f t="shared" si="72"/>
        <v>#REF!</v>
      </c>
      <c r="AH87" t="e">
        <f t="shared" si="73"/>
        <v>#REF!</v>
      </c>
      <c r="AI87" t="e">
        <f t="shared" si="74"/>
        <v>#REF!</v>
      </c>
      <c r="AJ87" t="e">
        <f t="shared" si="75"/>
        <v>#REF!</v>
      </c>
      <c r="AK87" t="e">
        <f t="shared" si="76"/>
        <v>#REF!</v>
      </c>
      <c r="AN87" t="e">
        <f>Reflection!A87</f>
        <v>#REF!</v>
      </c>
      <c r="AO87" t="s">
        <v>13</v>
      </c>
      <c r="AP87" t="e">
        <f t="shared" si="77"/>
        <v>#REF!</v>
      </c>
      <c r="AQ87" t="e">
        <f t="shared" si="78"/>
        <v>#REF!</v>
      </c>
      <c r="AR87" t="e">
        <f t="shared" si="79"/>
        <v>#REF!</v>
      </c>
      <c r="AS87" t="e">
        <f t="shared" si="80"/>
        <v>#REF!</v>
      </c>
      <c r="AT87" t="e">
        <f t="shared" si="81"/>
        <v>#REF!</v>
      </c>
      <c r="AU87" t="e">
        <f t="shared" si="82"/>
        <v>#REF!</v>
      </c>
      <c r="AX87" t="e">
        <f>Reflection!A87</f>
        <v>#REF!</v>
      </c>
      <c r="AY87" t="s">
        <v>13</v>
      </c>
      <c r="AZ87" t="e">
        <f t="shared" si="83"/>
        <v>#REF!</v>
      </c>
      <c r="BA87" t="e">
        <f t="shared" si="84"/>
        <v>#REF!</v>
      </c>
      <c r="BB87" t="e">
        <f t="shared" si="85"/>
        <v>#REF!</v>
      </c>
      <c r="BC87" t="e">
        <f t="shared" si="86"/>
        <v>#REF!</v>
      </c>
      <c r="BD87" t="e">
        <f t="shared" si="87"/>
        <v>#REF!</v>
      </c>
      <c r="BE87" t="e">
        <f t="shared" si="88"/>
        <v>#REF!</v>
      </c>
      <c r="BH87" t="e">
        <f>Reflection!A87</f>
        <v>#REF!</v>
      </c>
      <c r="BI87" t="e">
        <f t="shared" si="89"/>
        <v>#REF!</v>
      </c>
      <c r="BJ87" t="e">
        <f t="shared" si="90"/>
        <v>#REF!</v>
      </c>
      <c r="BK87" t="e">
        <f t="shared" si="91"/>
        <v>#REF!</v>
      </c>
      <c r="BL87" t="e">
        <f t="shared" si="92"/>
        <v>#REF!</v>
      </c>
      <c r="BM87" t="e">
        <f t="shared" si="93"/>
        <v>#REF!</v>
      </c>
      <c r="BN87" t="e">
        <f t="shared" si="94"/>
        <v>#REF!</v>
      </c>
      <c r="BR87" t="e">
        <f>Reflection!A87</f>
        <v>#REF!</v>
      </c>
      <c r="BS87" t="s">
        <v>13</v>
      </c>
      <c r="BT87" t="e">
        <f t="shared" si="95"/>
        <v>#REF!</v>
      </c>
      <c r="BU87" t="e">
        <f t="shared" si="55"/>
        <v>#REF!</v>
      </c>
      <c r="BV87" t="e">
        <f t="shared" si="96"/>
        <v>#REF!</v>
      </c>
      <c r="BW87" t="e">
        <f t="shared" si="97"/>
        <v>#REF!</v>
      </c>
      <c r="BX87" t="e">
        <f t="shared" si="98"/>
        <v>#REF!</v>
      </c>
      <c r="BY87" t="e">
        <f t="shared" si="99"/>
        <v>#REF!</v>
      </c>
    </row>
    <row r="88" spans="1:77" x14ac:dyDescent="0.15">
      <c r="A88" t="e">
        <f>Reflection!A88</f>
        <v>#REF!</v>
      </c>
      <c r="B88" t="e">
        <f t="shared" si="52"/>
        <v>#REF!</v>
      </c>
      <c r="C88" t="e">
        <f t="shared" si="53"/>
        <v>#REF!</v>
      </c>
      <c r="D88" t="e">
        <f t="shared" si="56"/>
        <v>#REF!</v>
      </c>
      <c r="E88" t="e">
        <f t="shared" si="57"/>
        <v>#REF!</v>
      </c>
      <c r="F88" t="e">
        <f t="shared" si="58"/>
        <v>#REF!</v>
      </c>
      <c r="G88" t="e">
        <f t="shared" si="54"/>
        <v>#REF!</v>
      </c>
      <c r="J88" t="e">
        <f>Reflection!A88</f>
        <v>#REF!</v>
      </c>
      <c r="K88" t="s">
        <v>13</v>
      </c>
      <c r="L88" t="e">
        <f t="shared" si="59"/>
        <v>#REF!</v>
      </c>
      <c r="M88" t="e">
        <f t="shared" si="60"/>
        <v>#REF!</v>
      </c>
      <c r="N88" t="e">
        <f t="shared" si="61"/>
        <v>#REF!</v>
      </c>
      <c r="O88" t="e">
        <f t="shared" si="62"/>
        <v>#REF!</v>
      </c>
      <c r="P88" t="e">
        <f t="shared" si="63"/>
        <v>#REF!</v>
      </c>
      <c r="Q88" t="e">
        <f t="shared" si="64"/>
        <v>#REF!</v>
      </c>
      <c r="T88" t="e">
        <f>Reflection!A88</f>
        <v>#REF!</v>
      </c>
      <c r="U88" t="s">
        <v>13</v>
      </c>
      <c r="V88" t="e">
        <f t="shared" si="65"/>
        <v>#REF!</v>
      </c>
      <c r="W88" t="e">
        <f t="shared" si="66"/>
        <v>#REF!</v>
      </c>
      <c r="X88" t="e">
        <f t="shared" si="67"/>
        <v>#REF!</v>
      </c>
      <c r="Y88" t="e">
        <f t="shared" si="68"/>
        <v>#REF!</v>
      </c>
      <c r="Z88" t="e">
        <f t="shared" si="69"/>
        <v>#REF!</v>
      </c>
      <c r="AA88" t="e">
        <f t="shared" si="70"/>
        <v>#REF!</v>
      </c>
      <c r="AD88" t="e">
        <f>Reflection!A88</f>
        <v>#REF!</v>
      </c>
      <c r="AE88" t="s">
        <v>13</v>
      </c>
      <c r="AF88" t="e">
        <f t="shared" si="71"/>
        <v>#REF!</v>
      </c>
      <c r="AG88" t="e">
        <f t="shared" si="72"/>
        <v>#REF!</v>
      </c>
      <c r="AH88" t="e">
        <f t="shared" si="73"/>
        <v>#REF!</v>
      </c>
      <c r="AI88" t="e">
        <f t="shared" si="74"/>
        <v>#REF!</v>
      </c>
      <c r="AJ88" t="e">
        <f t="shared" si="75"/>
        <v>#REF!</v>
      </c>
      <c r="AK88" t="e">
        <f t="shared" si="76"/>
        <v>#REF!</v>
      </c>
      <c r="AN88" t="e">
        <f>Reflection!A88</f>
        <v>#REF!</v>
      </c>
      <c r="AO88" t="s">
        <v>13</v>
      </c>
      <c r="AP88" t="e">
        <f t="shared" si="77"/>
        <v>#REF!</v>
      </c>
      <c r="AQ88" t="e">
        <f t="shared" si="78"/>
        <v>#REF!</v>
      </c>
      <c r="AR88" t="e">
        <f t="shared" si="79"/>
        <v>#REF!</v>
      </c>
      <c r="AS88" t="e">
        <f t="shared" si="80"/>
        <v>#REF!</v>
      </c>
      <c r="AT88" t="e">
        <f t="shared" si="81"/>
        <v>#REF!</v>
      </c>
      <c r="AU88" t="e">
        <f t="shared" si="82"/>
        <v>#REF!</v>
      </c>
      <c r="AX88" t="e">
        <f>Reflection!A88</f>
        <v>#REF!</v>
      </c>
      <c r="AY88" t="s">
        <v>13</v>
      </c>
      <c r="AZ88" t="e">
        <f t="shared" si="83"/>
        <v>#REF!</v>
      </c>
      <c r="BA88" t="e">
        <f t="shared" si="84"/>
        <v>#REF!</v>
      </c>
      <c r="BB88" t="e">
        <f t="shared" si="85"/>
        <v>#REF!</v>
      </c>
      <c r="BC88" t="e">
        <f t="shared" si="86"/>
        <v>#REF!</v>
      </c>
      <c r="BD88" t="e">
        <f t="shared" si="87"/>
        <v>#REF!</v>
      </c>
      <c r="BE88" t="e">
        <f t="shared" si="88"/>
        <v>#REF!</v>
      </c>
      <c r="BH88" t="e">
        <f>Reflection!A88</f>
        <v>#REF!</v>
      </c>
      <c r="BI88" t="e">
        <f t="shared" si="89"/>
        <v>#REF!</v>
      </c>
      <c r="BJ88" t="e">
        <f t="shared" si="90"/>
        <v>#REF!</v>
      </c>
      <c r="BK88" t="e">
        <f t="shared" si="91"/>
        <v>#REF!</v>
      </c>
      <c r="BL88" t="e">
        <f t="shared" si="92"/>
        <v>#REF!</v>
      </c>
      <c r="BM88" t="e">
        <f t="shared" si="93"/>
        <v>#REF!</v>
      </c>
      <c r="BN88" t="e">
        <f t="shared" si="94"/>
        <v>#REF!</v>
      </c>
      <c r="BR88" t="e">
        <f>Reflection!A88</f>
        <v>#REF!</v>
      </c>
      <c r="BS88" t="s">
        <v>13</v>
      </c>
      <c r="BT88" t="e">
        <f t="shared" si="95"/>
        <v>#REF!</v>
      </c>
      <c r="BU88" t="e">
        <f t="shared" si="55"/>
        <v>#REF!</v>
      </c>
      <c r="BV88" t="e">
        <f t="shared" si="96"/>
        <v>#REF!</v>
      </c>
      <c r="BW88" t="e">
        <f t="shared" si="97"/>
        <v>#REF!</v>
      </c>
      <c r="BX88" t="e">
        <f t="shared" si="98"/>
        <v>#REF!</v>
      </c>
      <c r="BY88" t="e">
        <f t="shared" si="99"/>
        <v>#REF!</v>
      </c>
    </row>
    <row r="89" spans="1:77" x14ac:dyDescent="0.15">
      <c r="A89" t="e">
        <f>Reflection!A89</f>
        <v>#REF!</v>
      </c>
      <c r="B89" t="e">
        <f t="shared" si="52"/>
        <v>#REF!</v>
      </c>
      <c r="C89" t="e">
        <f t="shared" si="53"/>
        <v>#REF!</v>
      </c>
      <c r="D89" t="e">
        <f t="shared" si="56"/>
        <v>#REF!</v>
      </c>
      <c r="E89" t="e">
        <f t="shared" si="57"/>
        <v>#REF!</v>
      </c>
      <c r="F89" t="e">
        <f t="shared" si="58"/>
        <v>#REF!</v>
      </c>
      <c r="G89" t="e">
        <f t="shared" si="54"/>
        <v>#REF!</v>
      </c>
      <c r="J89" t="e">
        <f>Reflection!A89</f>
        <v>#REF!</v>
      </c>
      <c r="K89" t="s">
        <v>13</v>
      </c>
      <c r="L89" t="e">
        <f t="shared" si="59"/>
        <v>#REF!</v>
      </c>
      <c r="M89" t="e">
        <f t="shared" si="60"/>
        <v>#REF!</v>
      </c>
      <c r="N89" t="e">
        <f t="shared" si="61"/>
        <v>#REF!</v>
      </c>
      <c r="O89" t="e">
        <f t="shared" si="62"/>
        <v>#REF!</v>
      </c>
      <c r="P89" t="e">
        <f t="shared" si="63"/>
        <v>#REF!</v>
      </c>
      <c r="Q89" t="e">
        <f t="shared" si="64"/>
        <v>#REF!</v>
      </c>
      <c r="T89" t="e">
        <f>Reflection!A89</f>
        <v>#REF!</v>
      </c>
      <c r="U89" t="s">
        <v>13</v>
      </c>
      <c r="V89" t="e">
        <f t="shared" si="65"/>
        <v>#REF!</v>
      </c>
      <c r="W89" t="e">
        <f t="shared" si="66"/>
        <v>#REF!</v>
      </c>
      <c r="X89" t="e">
        <f t="shared" si="67"/>
        <v>#REF!</v>
      </c>
      <c r="Y89" t="e">
        <f t="shared" si="68"/>
        <v>#REF!</v>
      </c>
      <c r="Z89" t="e">
        <f t="shared" si="69"/>
        <v>#REF!</v>
      </c>
      <c r="AA89" t="e">
        <f t="shared" si="70"/>
        <v>#REF!</v>
      </c>
      <c r="AD89" t="e">
        <f>Reflection!A89</f>
        <v>#REF!</v>
      </c>
      <c r="AE89" t="s">
        <v>13</v>
      </c>
      <c r="AF89" t="e">
        <f t="shared" si="71"/>
        <v>#REF!</v>
      </c>
      <c r="AG89" t="e">
        <f t="shared" si="72"/>
        <v>#REF!</v>
      </c>
      <c r="AH89" t="e">
        <f t="shared" si="73"/>
        <v>#REF!</v>
      </c>
      <c r="AI89" t="e">
        <f t="shared" si="74"/>
        <v>#REF!</v>
      </c>
      <c r="AJ89" t="e">
        <f t="shared" si="75"/>
        <v>#REF!</v>
      </c>
      <c r="AK89" t="e">
        <f t="shared" si="76"/>
        <v>#REF!</v>
      </c>
      <c r="AN89" t="e">
        <f>Reflection!A89</f>
        <v>#REF!</v>
      </c>
      <c r="AO89" t="s">
        <v>13</v>
      </c>
      <c r="AP89" t="e">
        <f t="shared" si="77"/>
        <v>#REF!</v>
      </c>
      <c r="AQ89" t="e">
        <f t="shared" si="78"/>
        <v>#REF!</v>
      </c>
      <c r="AR89" t="e">
        <f t="shared" si="79"/>
        <v>#REF!</v>
      </c>
      <c r="AS89" t="e">
        <f t="shared" si="80"/>
        <v>#REF!</v>
      </c>
      <c r="AT89" t="e">
        <f t="shared" si="81"/>
        <v>#REF!</v>
      </c>
      <c r="AU89" t="e">
        <f t="shared" si="82"/>
        <v>#REF!</v>
      </c>
      <c r="AX89" t="e">
        <f>Reflection!A89</f>
        <v>#REF!</v>
      </c>
      <c r="AY89" t="s">
        <v>13</v>
      </c>
      <c r="AZ89" t="e">
        <f t="shared" si="83"/>
        <v>#REF!</v>
      </c>
      <c r="BA89" t="e">
        <f t="shared" si="84"/>
        <v>#REF!</v>
      </c>
      <c r="BB89" t="e">
        <f t="shared" si="85"/>
        <v>#REF!</v>
      </c>
      <c r="BC89" t="e">
        <f t="shared" si="86"/>
        <v>#REF!</v>
      </c>
      <c r="BD89" t="e">
        <f t="shared" si="87"/>
        <v>#REF!</v>
      </c>
      <c r="BE89" t="e">
        <f t="shared" si="88"/>
        <v>#REF!</v>
      </c>
      <c r="BH89" t="e">
        <f>Reflection!A89</f>
        <v>#REF!</v>
      </c>
      <c r="BI89" t="e">
        <f t="shared" si="89"/>
        <v>#REF!</v>
      </c>
      <c r="BJ89" t="e">
        <f t="shared" si="90"/>
        <v>#REF!</v>
      </c>
      <c r="BK89" t="e">
        <f t="shared" si="91"/>
        <v>#REF!</v>
      </c>
      <c r="BL89" t="e">
        <f t="shared" si="92"/>
        <v>#REF!</v>
      </c>
      <c r="BM89" t="e">
        <f t="shared" si="93"/>
        <v>#REF!</v>
      </c>
      <c r="BN89" t="e">
        <f t="shared" si="94"/>
        <v>#REF!</v>
      </c>
      <c r="BR89" t="e">
        <f>Reflection!A89</f>
        <v>#REF!</v>
      </c>
      <c r="BS89" t="s">
        <v>13</v>
      </c>
      <c r="BT89" t="e">
        <f t="shared" si="95"/>
        <v>#REF!</v>
      </c>
      <c r="BU89" t="e">
        <f t="shared" si="55"/>
        <v>#REF!</v>
      </c>
      <c r="BV89" t="e">
        <f t="shared" si="96"/>
        <v>#REF!</v>
      </c>
      <c r="BW89" t="e">
        <f t="shared" si="97"/>
        <v>#REF!</v>
      </c>
      <c r="BX89" t="e">
        <f t="shared" si="98"/>
        <v>#REF!</v>
      </c>
      <c r="BY89" t="e">
        <f t="shared" si="99"/>
        <v>#REF!</v>
      </c>
    </row>
    <row r="90" spans="1:77" x14ac:dyDescent="0.15">
      <c r="A90" t="e">
        <f>Reflection!A90</f>
        <v>#REF!</v>
      </c>
      <c r="B90" t="e">
        <f t="shared" si="52"/>
        <v>#REF!</v>
      </c>
      <c r="C90" t="e">
        <f t="shared" si="53"/>
        <v>#REF!</v>
      </c>
      <c r="D90" t="e">
        <f t="shared" si="56"/>
        <v>#REF!</v>
      </c>
      <c r="E90" t="e">
        <f t="shared" si="57"/>
        <v>#REF!</v>
      </c>
      <c r="F90" t="e">
        <f t="shared" si="58"/>
        <v>#REF!</v>
      </c>
      <c r="G90" t="e">
        <f t="shared" si="54"/>
        <v>#REF!</v>
      </c>
      <c r="J90" t="e">
        <f>Reflection!A90</f>
        <v>#REF!</v>
      </c>
      <c r="K90" t="s">
        <v>13</v>
      </c>
      <c r="L90" t="e">
        <f t="shared" si="59"/>
        <v>#REF!</v>
      </c>
      <c r="M90" t="e">
        <f t="shared" si="60"/>
        <v>#REF!</v>
      </c>
      <c r="N90" t="e">
        <f t="shared" si="61"/>
        <v>#REF!</v>
      </c>
      <c r="O90" t="e">
        <f t="shared" si="62"/>
        <v>#REF!</v>
      </c>
      <c r="P90" t="e">
        <f t="shared" si="63"/>
        <v>#REF!</v>
      </c>
      <c r="Q90" t="e">
        <f t="shared" si="64"/>
        <v>#REF!</v>
      </c>
      <c r="T90" t="e">
        <f>Reflection!A90</f>
        <v>#REF!</v>
      </c>
      <c r="U90" t="s">
        <v>13</v>
      </c>
      <c r="V90" t="e">
        <f t="shared" si="65"/>
        <v>#REF!</v>
      </c>
      <c r="W90" t="e">
        <f t="shared" si="66"/>
        <v>#REF!</v>
      </c>
      <c r="X90" t="e">
        <f t="shared" si="67"/>
        <v>#REF!</v>
      </c>
      <c r="Y90" t="e">
        <f t="shared" si="68"/>
        <v>#REF!</v>
      </c>
      <c r="Z90" t="e">
        <f t="shared" si="69"/>
        <v>#REF!</v>
      </c>
      <c r="AA90" t="e">
        <f t="shared" si="70"/>
        <v>#REF!</v>
      </c>
      <c r="AD90" t="e">
        <f>Reflection!A90</f>
        <v>#REF!</v>
      </c>
      <c r="AE90" t="s">
        <v>13</v>
      </c>
      <c r="AF90" t="e">
        <f t="shared" si="71"/>
        <v>#REF!</v>
      </c>
      <c r="AG90" t="e">
        <f t="shared" si="72"/>
        <v>#REF!</v>
      </c>
      <c r="AH90" t="e">
        <f t="shared" si="73"/>
        <v>#REF!</v>
      </c>
      <c r="AI90" t="e">
        <f t="shared" si="74"/>
        <v>#REF!</v>
      </c>
      <c r="AJ90" t="e">
        <f t="shared" si="75"/>
        <v>#REF!</v>
      </c>
      <c r="AK90" t="e">
        <f t="shared" si="76"/>
        <v>#REF!</v>
      </c>
      <c r="AN90" t="e">
        <f>Reflection!A90</f>
        <v>#REF!</v>
      </c>
      <c r="AO90" t="s">
        <v>13</v>
      </c>
      <c r="AP90" t="e">
        <f t="shared" si="77"/>
        <v>#REF!</v>
      </c>
      <c r="AQ90" t="e">
        <f t="shared" si="78"/>
        <v>#REF!</v>
      </c>
      <c r="AR90" t="e">
        <f t="shared" si="79"/>
        <v>#REF!</v>
      </c>
      <c r="AS90" t="e">
        <f t="shared" si="80"/>
        <v>#REF!</v>
      </c>
      <c r="AT90" t="e">
        <f t="shared" si="81"/>
        <v>#REF!</v>
      </c>
      <c r="AU90" t="e">
        <f t="shared" si="82"/>
        <v>#REF!</v>
      </c>
      <c r="AX90" t="e">
        <f>Reflection!A90</f>
        <v>#REF!</v>
      </c>
      <c r="AY90" t="s">
        <v>13</v>
      </c>
      <c r="AZ90" t="e">
        <f t="shared" si="83"/>
        <v>#REF!</v>
      </c>
      <c r="BA90" t="e">
        <f t="shared" si="84"/>
        <v>#REF!</v>
      </c>
      <c r="BB90" t="e">
        <f t="shared" si="85"/>
        <v>#REF!</v>
      </c>
      <c r="BC90" t="e">
        <f t="shared" si="86"/>
        <v>#REF!</v>
      </c>
      <c r="BD90" t="e">
        <f t="shared" si="87"/>
        <v>#REF!</v>
      </c>
      <c r="BE90" t="e">
        <f t="shared" si="88"/>
        <v>#REF!</v>
      </c>
      <c r="BH90" t="e">
        <f>Reflection!A90</f>
        <v>#REF!</v>
      </c>
      <c r="BI90" t="e">
        <f t="shared" si="89"/>
        <v>#REF!</v>
      </c>
      <c r="BJ90" t="e">
        <f t="shared" si="90"/>
        <v>#REF!</v>
      </c>
      <c r="BK90" t="e">
        <f t="shared" si="91"/>
        <v>#REF!</v>
      </c>
      <c r="BL90" t="e">
        <f t="shared" si="92"/>
        <v>#REF!</v>
      </c>
      <c r="BM90" t="e">
        <f t="shared" si="93"/>
        <v>#REF!</v>
      </c>
      <c r="BN90" t="e">
        <f t="shared" si="94"/>
        <v>#REF!</v>
      </c>
      <c r="BR90" t="e">
        <f>Reflection!A90</f>
        <v>#REF!</v>
      </c>
      <c r="BS90" t="s">
        <v>13</v>
      </c>
      <c r="BT90" t="e">
        <f t="shared" si="95"/>
        <v>#REF!</v>
      </c>
      <c r="BU90" t="e">
        <f t="shared" si="55"/>
        <v>#REF!</v>
      </c>
      <c r="BV90" t="e">
        <f t="shared" si="96"/>
        <v>#REF!</v>
      </c>
      <c r="BW90" t="e">
        <f t="shared" si="97"/>
        <v>#REF!</v>
      </c>
      <c r="BX90" t="e">
        <f t="shared" si="98"/>
        <v>#REF!</v>
      </c>
      <c r="BY90" t="e">
        <f t="shared" si="99"/>
        <v>#REF!</v>
      </c>
    </row>
    <row r="91" spans="1:77" x14ac:dyDescent="0.15">
      <c r="A91" t="e">
        <f>Reflection!A91</f>
        <v>#REF!</v>
      </c>
      <c r="B91" t="e">
        <f t="shared" si="52"/>
        <v>#REF!</v>
      </c>
      <c r="C91" t="e">
        <f t="shared" si="53"/>
        <v>#REF!</v>
      </c>
      <c r="D91" t="e">
        <f t="shared" si="56"/>
        <v>#REF!</v>
      </c>
      <c r="E91" t="e">
        <f t="shared" si="57"/>
        <v>#REF!</v>
      </c>
      <c r="F91" t="e">
        <f t="shared" si="58"/>
        <v>#REF!</v>
      </c>
      <c r="G91" t="e">
        <f t="shared" si="54"/>
        <v>#REF!</v>
      </c>
      <c r="J91" t="e">
        <f>Reflection!A91</f>
        <v>#REF!</v>
      </c>
      <c r="K91" t="s">
        <v>13</v>
      </c>
      <c r="L91" t="e">
        <f t="shared" si="59"/>
        <v>#REF!</v>
      </c>
      <c r="M91" t="e">
        <f t="shared" si="60"/>
        <v>#REF!</v>
      </c>
      <c r="N91" t="e">
        <f t="shared" si="61"/>
        <v>#REF!</v>
      </c>
      <c r="O91" t="e">
        <f t="shared" si="62"/>
        <v>#REF!</v>
      </c>
      <c r="P91" t="e">
        <f t="shared" si="63"/>
        <v>#REF!</v>
      </c>
      <c r="Q91" t="e">
        <f t="shared" si="64"/>
        <v>#REF!</v>
      </c>
      <c r="T91" t="e">
        <f>Reflection!A91</f>
        <v>#REF!</v>
      </c>
      <c r="U91" t="s">
        <v>13</v>
      </c>
      <c r="V91" t="e">
        <f t="shared" si="65"/>
        <v>#REF!</v>
      </c>
      <c r="W91" t="e">
        <f t="shared" si="66"/>
        <v>#REF!</v>
      </c>
      <c r="X91" t="e">
        <f t="shared" si="67"/>
        <v>#REF!</v>
      </c>
      <c r="Y91" t="e">
        <f t="shared" si="68"/>
        <v>#REF!</v>
      </c>
      <c r="Z91" t="e">
        <f t="shared" si="69"/>
        <v>#REF!</v>
      </c>
      <c r="AA91" t="e">
        <f t="shared" si="70"/>
        <v>#REF!</v>
      </c>
      <c r="AD91" t="e">
        <f>Reflection!A91</f>
        <v>#REF!</v>
      </c>
      <c r="AE91" t="s">
        <v>13</v>
      </c>
      <c r="AF91" t="e">
        <f t="shared" si="71"/>
        <v>#REF!</v>
      </c>
      <c r="AG91" t="e">
        <f t="shared" si="72"/>
        <v>#REF!</v>
      </c>
      <c r="AH91" t="e">
        <f t="shared" si="73"/>
        <v>#REF!</v>
      </c>
      <c r="AI91" t="e">
        <f t="shared" si="74"/>
        <v>#REF!</v>
      </c>
      <c r="AJ91" t="e">
        <f t="shared" si="75"/>
        <v>#REF!</v>
      </c>
      <c r="AK91" t="e">
        <f t="shared" si="76"/>
        <v>#REF!</v>
      </c>
      <c r="AN91" t="e">
        <f>Reflection!A91</f>
        <v>#REF!</v>
      </c>
      <c r="AO91" t="s">
        <v>13</v>
      </c>
      <c r="AP91" t="e">
        <f t="shared" si="77"/>
        <v>#REF!</v>
      </c>
      <c r="AQ91" t="e">
        <f t="shared" si="78"/>
        <v>#REF!</v>
      </c>
      <c r="AR91" t="e">
        <f t="shared" si="79"/>
        <v>#REF!</v>
      </c>
      <c r="AS91" t="e">
        <f t="shared" si="80"/>
        <v>#REF!</v>
      </c>
      <c r="AT91" t="e">
        <f t="shared" si="81"/>
        <v>#REF!</v>
      </c>
      <c r="AU91" t="e">
        <f t="shared" si="82"/>
        <v>#REF!</v>
      </c>
      <c r="AX91" t="e">
        <f>Reflection!A91</f>
        <v>#REF!</v>
      </c>
      <c r="AY91" t="s">
        <v>13</v>
      </c>
      <c r="AZ91" t="e">
        <f t="shared" si="83"/>
        <v>#REF!</v>
      </c>
      <c r="BA91" t="e">
        <f t="shared" si="84"/>
        <v>#REF!</v>
      </c>
      <c r="BB91" t="e">
        <f t="shared" si="85"/>
        <v>#REF!</v>
      </c>
      <c r="BC91" t="e">
        <f t="shared" si="86"/>
        <v>#REF!</v>
      </c>
      <c r="BD91" t="e">
        <f t="shared" si="87"/>
        <v>#REF!</v>
      </c>
      <c r="BE91" t="e">
        <f t="shared" si="88"/>
        <v>#REF!</v>
      </c>
      <c r="BH91" t="e">
        <f>Reflection!A91</f>
        <v>#REF!</v>
      </c>
      <c r="BI91" t="e">
        <f t="shared" si="89"/>
        <v>#REF!</v>
      </c>
      <c r="BJ91" t="e">
        <f t="shared" si="90"/>
        <v>#REF!</v>
      </c>
      <c r="BK91" t="e">
        <f t="shared" si="91"/>
        <v>#REF!</v>
      </c>
      <c r="BL91" t="e">
        <f t="shared" si="92"/>
        <v>#REF!</v>
      </c>
      <c r="BM91" t="e">
        <f t="shared" si="93"/>
        <v>#REF!</v>
      </c>
      <c r="BN91" t="e">
        <f t="shared" si="94"/>
        <v>#REF!</v>
      </c>
      <c r="BR91" t="e">
        <f>Reflection!A91</f>
        <v>#REF!</v>
      </c>
      <c r="BS91" t="s">
        <v>13</v>
      </c>
      <c r="BT91" t="e">
        <f t="shared" si="95"/>
        <v>#REF!</v>
      </c>
      <c r="BU91" t="e">
        <f t="shared" si="55"/>
        <v>#REF!</v>
      </c>
      <c r="BV91" t="e">
        <f t="shared" si="96"/>
        <v>#REF!</v>
      </c>
      <c r="BW91" t="e">
        <f t="shared" si="97"/>
        <v>#REF!</v>
      </c>
      <c r="BX91" t="e">
        <f t="shared" si="98"/>
        <v>#REF!</v>
      </c>
      <c r="BY91" t="e">
        <f t="shared" si="99"/>
        <v>#REF!</v>
      </c>
    </row>
    <row r="92" spans="1:77" x14ac:dyDescent="0.15">
      <c r="A92" t="e">
        <f>Reflection!A92</f>
        <v>#REF!</v>
      </c>
      <c r="B92" t="e">
        <f t="shared" si="52"/>
        <v>#REF!</v>
      </c>
      <c r="C92" t="e">
        <f t="shared" si="53"/>
        <v>#REF!</v>
      </c>
      <c r="D92" t="e">
        <f t="shared" si="56"/>
        <v>#REF!</v>
      </c>
      <c r="E92" t="e">
        <f t="shared" si="57"/>
        <v>#REF!</v>
      </c>
      <c r="F92" t="e">
        <f t="shared" si="58"/>
        <v>#REF!</v>
      </c>
      <c r="G92" t="e">
        <f t="shared" si="54"/>
        <v>#REF!</v>
      </c>
      <c r="J92" t="e">
        <f>Reflection!A92</f>
        <v>#REF!</v>
      </c>
      <c r="K92" t="s">
        <v>13</v>
      </c>
      <c r="L92" t="e">
        <f t="shared" si="59"/>
        <v>#REF!</v>
      </c>
      <c r="M92" t="e">
        <f t="shared" si="60"/>
        <v>#REF!</v>
      </c>
      <c r="N92" t="e">
        <f t="shared" si="61"/>
        <v>#REF!</v>
      </c>
      <c r="O92" t="e">
        <f t="shared" si="62"/>
        <v>#REF!</v>
      </c>
      <c r="P92" t="e">
        <f t="shared" si="63"/>
        <v>#REF!</v>
      </c>
      <c r="Q92" t="e">
        <f t="shared" si="64"/>
        <v>#REF!</v>
      </c>
      <c r="T92" t="e">
        <f>Reflection!A92</f>
        <v>#REF!</v>
      </c>
      <c r="U92" t="s">
        <v>13</v>
      </c>
      <c r="V92" t="e">
        <f t="shared" si="65"/>
        <v>#REF!</v>
      </c>
      <c r="W92" t="e">
        <f t="shared" si="66"/>
        <v>#REF!</v>
      </c>
      <c r="X92" t="e">
        <f t="shared" si="67"/>
        <v>#REF!</v>
      </c>
      <c r="Y92" t="e">
        <f t="shared" si="68"/>
        <v>#REF!</v>
      </c>
      <c r="Z92" t="e">
        <f t="shared" si="69"/>
        <v>#REF!</v>
      </c>
      <c r="AA92" t="e">
        <f t="shared" si="70"/>
        <v>#REF!</v>
      </c>
      <c r="AD92" t="e">
        <f>Reflection!A92</f>
        <v>#REF!</v>
      </c>
      <c r="AE92" t="s">
        <v>13</v>
      </c>
      <c r="AF92" t="e">
        <f t="shared" si="71"/>
        <v>#REF!</v>
      </c>
      <c r="AG92" t="e">
        <f t="shared" si="72"/>
        <v>#REF!</v>
      </c>
      <c r="AH92" t="e">
        <f t="shared" si="73"/>
        <v>#REF!</v>
      </c>
      <c r="AI92" t="e">
        <f t="shared" si="74"/>
        <v>#REF!</v>
      </c>
      <c r="AJ92" t="e">
        <f t="shared" si="75"/>
        <v>#REF!</v>
      </c>
      <c r="AK92" t="e">
        <f t="shared" si="76"/>
        <v>#REF!</v>
      </c>
      <c r="AN92" t="e">
        <f>Reflection!A92</f>
        <v>#REF!</v>
      </c>
      <c r="AO92" t="s">
        <v>13</v>
      </c>
      <c r="AP92" t="e">
        <f t="shared" si="77"/>
        <v>#REF!</v>
      </c>
      <c r="AQ92" t="e">
        <f t="shared" si="78"/>
        <v>#REF!</v>
      </c>
      <c r="AR92" t="e">
        <f t="shared" si="79"/>
        <v>#REF!</v>
      </c>
      <c r="AS92" t="e">
        <f t="shared" si="80"/>
        <v>#REF!</v>
      </c>
      <c r="AT92" t="e">
        <f t="shared" si="81"/>
        <v>#REF!</v>
      </c>
      <c r="AU92" t="e">
        <f t="shared" si="82"/>
        <v>#REF!</v>
      </c>
      <c r="AX92" t="e">
        <f>Reflection!A92</f>
        <v>#REF!</v>
      </c>
      <c r="AY92" t="s">
        <v>13</v>
      </c>
      <c r="AZ92" t="e">
        <f t="shared" si="83"/>
        <v>#REF!</v>
      </c>
      <c r="BA92" t="e">
        <f t="shared" si="84"/>
        <v>#REF!</v>
      </c>
      <c r="BB92" t="e">
        <f t="shared" si="85"/>
        <v>#REF!</v>
      </c>
      <c r="BC92" t="e">
        <f t="shared" si="86"/>
        <v>#REF!</v>
      </c>
      <c r="BD92" t="e">
        <f t="shared" si="87"/>
        <v>#REF!</v>
      </c>
      <c r="BE92" t="e">
        <f t="shared" si="88"/>
        <v>#REF!</v>
      </c>
      <c r="BH92" t="e">
        <f>Reflection!A92</f>
        <v>#REF!</v>
      </c>
      <c r="BI92" t="e">
        <f t="shared" si="89"/>
        <v>#REF!</v>
      </c>
      <c r="BJ92" t="e">
        <f t="shared" si="90"/>
        <v>#REF!</v>
      </c>
      <c r="BK92" t="e">
        <f t="shared" si="91"/>
        <v>#REF!</v>
      </c>
      <c r="BL92" t="e">
        <f t="shared" si="92"/>
        <v>#REF!</v>
      </c>
      <c r="BM92" t="e">
        <f t="shared" si="93"/>
        <v>#REF!</v>
      </c>
      <c r="BN92" t="e">
        <f t="shared" si="94"/>
        <v>#REF!</v>
      </c>
      <c r="BR92" t="e">
        <f>Reflection!A92</f>
        <v>#REF!</v>
      </c>
      <c r="BS92" t="s">
        <v>13</v>
      </c>
      <c r="BT92" t="e">
        <f t="shared" si="95"/>
        <v>#REF!</v>
      </c>
      <c r="BU92" t="e">
        <f t="shared" si="55"/>
        <v>#REF!</v>
      </c>
      <c r="BV92" t="e">
        <f t="shared" si="96"/>
        <v>#REF!</v>
      </c>
      <c r="BW92" t="e">
        <f t="shared" si="97"/>
        <v>#REF!</v>
      </c>
      <c r="BX92" t="e">
        <f t="shared" si="98"/>
        <v>#REF!</v>
      </c>
      <c r="BY92" t="e">
        <f t="shared" si="99"/>
        <v>#REF!</v>
      </c>
    </row>
    <row r="93" spans="1:77" x14ac:dyDescent="0.15">
      <c r="A93" t="e">
        <f>Reflection!A93</f>
        <v>#REF!</v>
      </c>
      <c r="B93" t="e">
        <f t="shared" si="52"/>
        <v>#REF!</v>
      </c>
      <c r="C93" t="e">
        <f t="shared" si="53"/>
        <v>#REF!</v>
      </c>
      <c r="D93" t="e">
        <f t="shared" si="56"/>
        <v>#REF!</v>
      </c>
      <c r="E93" t="e">
        <f t="shared" si="57"/>
        <v>#REF!</v>
      </c>
      <c r="F93" t="e">
        <f t="shared" si="58"/>
        <v>#REF!</v>
      </c>
      <c r="G93" t="e">
        <f t="shared" si="54"/>
        <v>#REF!</v>
      </c>
      <c r="J93" t="e">
        <f>Reflection!A93</f>
        <v>#REF!</v>
      </c>
      <c r="K93" t="s">
        <v>13</v>
      </c>
      <c r="L93" t="e">
        <f t="shared" si="59"/>
        <v>#REF!</v>
      </c>
      <c r="M93" t="e">
        <f t="shared" si="60"/>
        <v>#REF!</v>
      </c>
      <c r="N93" t="e">
        <f t="shared" si="61"/>
        <v>#REF!</v>
      </c>
      <c r="O93" t="e">
        <f t="shared" si="62"/>
        <v>#REF!</v>
      </c>
      <c r="P93" t="e">
        <f t="shared" si="63"/>
        <v>#REF!</v>
      </c>
      <c r="Q93" t="e">
        <f t="shared" si="64"/>
        <v>#REF!</v>
      </c>
      <c r="T93" t="e">
        <f>Reflection!A93</f>
        <v>#REF!</v>
      </c>
      <c r="U93" t="s">
        <v>13</v>
      </c>
      <c r="V93" t="e">
        <f t="shared" si="65"/>
        <v>#REF!</v>
      </c>
      <c r="W93" t="e">
        <f t="shared" si="66"/>
        <v>#REF!</v>
      </c>
      <c r="X93" t="e">
        <f t="shared" si="67"/>
        <v>#REF!</v>
      </c>
      <c r="Y93" t="e">
        <f t="shared" si="68"/>
        <v>#REF!</v>
      </c>
      <c r="Z93" t="e">
        <f t="shared" si="69"/>
        <v>#REF!</v>
      </c>
      <c r="AA93" t="e">
        <f t="shared" si="70"/>
        <v>#REF!</v>
      </c>
      <c r="AD93" t="e">
        <f>Reflection!A93</f>
        <v>#REF!</v>
      </c>
      <c r="AE93" t="s">
        <v>13</v>
      </c>
      <c r="AF93" t="e">
        <f t="shared" si="71"/>
        <v>#REF!</v>
      </c>
      <c r="AG93" t="e">
        <f t="shared" si="72"/>
        <v>#REF!</v>
      </c>
      <c r="AH93" t="e">
        <f t="shared" si="73"/>
        <v>#REF!</v>
      </c>
      <c r="AI93" t="e">
        <f t="shared" si="74"/>
        <v>#REF!</v>
      </c>
      <c r="AJ93" t="e">
        <f t="shared" si="75"/>
        <v>#REF!</v>
      </c>
      <c r="AK93" t="e">
        <f t="shared" si="76"/>
        <v>#REF!</v>
      </c>
      <c r="AN93" t="e">
        <f>Reflection!A93</f>
        <v>#REF!</v>
      </c>
      <c r="AO93" t="s">
        <v>13</v>
      </c>
      <c r="AP93" t="e">
        <f t="shared" si="77"/>
        <v>#REF!</v>
      </c>
      <c r="AQ93" t="e">
        <f t="shared" si="78"/>
        <v>#REF!</v>
      </c>
      <c r="AR93" t="e">
        <f t="shared" si="79"/>
        <v>#REF!</v>
      </c>
      <c r="AS93" t="e">
        <f t="shared" si="80"/>
        <v>#REF!</v>
      </c>
      <c r="AT93" t="e">
        <f t="shared" si="81"/>
        <v>#REF!</v>
      </c>
      <c r="AU93" t="e">
        <f t="shared" si="82"/>
        <v>#REF!</v>
      </c>
      <c r="AX93" t="e">
        <f>Reflection!A93</f>
        <v>#REF!</v>
      </c>
      <c r="AY93" t="s">
        <v>13</v>
      </c>
      <c r="AZ93" t="e">
        <f t="shared" si="83"/>
        <v>#REF!</v>
      </c>
      <c r="BA93" t="e">
        <f t="shared" si="84"/>
        <v>#REF!</v>
      </c>
      <c r="BB93" t="e">
        <f t="shared" si="85"/>
        <v>#REF!</v>
      </c>
      <c r="BC93" t="e">
        <f t="shared" si="86"/>
        <v>#REF!</v>
      </c>
      <c r="BD93" t="e">
        <f t="shared" si="87"/>
        <v>#REF!</v>
      </c>
      <c r="BE93" t="e">
        <f t="shared" si="88"/>
        <v>#REF!</v>
      </c>
      <c r="BH93" t="e">
        <f>Reflection!A93</f>
        <v>#REF!</v>
      </c>
      <c r="BI93" t="e">
        <f t="shared" si="89"/>
        <v>#REF!</v>
      </c>
      <c r="BJ93" t="e">
        <f t="shared" si="90"/>
        <v>#REF!</v>
      </c>
      <c r="BK93" t="e">
        <f t="shared" si="91"/>
        <v>#REF!</v>
      </c>
      <c r="BL93" t="e">
        <f t="shared" si="92"/>
        <v>#REF!</v>
      </c>
      <c r="BM93" t="e">
        <f t="shared" si="93"/>
        <v>#REF!</v>
      </c>
      <c r="BN93" t="e">
        <f t="shared" si="94"/>
        <v>#REF!</v>
      </c>
      <c r="BR93" t="e">
        <f>Reflection!A93</f>
        <v>#REF!</v>
      </c>
      <c r="BS93" t="s">
        <v>13</v>
      </c>
      <c r="BT93" t="e">
        <f t="shared" si="95"/>
        <v>#REF!</v>
      </c>
      <c r="BU93" t="e">
        <f t="shared" si="55"/>
        <v>#REF!</v>
      </c>
      <c r="BV93" t="e">
        <f t="shared" si="96"/>
        <v>#REF!</v>
      </c>
      <c r="BW93" t="e">
        <f t="shared" si="97"/>
        <v>#REF!</v>
      </c>
      <c r="BX93" t="e">
        <f t="shared" si="98"/>
        <v>#REF!</v>
      </c>
      <c r="BY93" t="e">
        <f t="shared" si="99"/>
        <v>#REF!</v>
      </c>
    </row>
    <row r="94" spans="1:77" x14ac:dyDescent="0.15">
      <c r="A94" t="e">
        <f>Reflection!A94</f>
        <v>#REF!</v>
      </c>
      <c r="B94" t="e">
        <f t="shared" si="52"/>
        <v>#REF!</v>
      </c>
      <c r="C94" t="e">
        <f t="shared" si="53"/>
        <v>#REF!</v>
      </c>
      <c r="D94" t="e">
        <f t="shared" si="56"/>
        <v>#REF!</v>
      </c>
      <c r="E94" t="e">
        <f t="shared" si="57"/>
        <v>#REF!</v>
      </c>
      <c r="F94" t="e">
        <f t="shared" si="58"/>
        <v>#REF!</v>
      </c>
      <c r="G94" t="e">
        <f t="shared" si="54"/>
        <v>#REF!</v>
      </c>
      <c r="J94" t="e">
        <f>Reflection!A94</f>
        <v>#REF!</v>
      </c>
      <c r="K94" t="s">
        <v>13</v>
      </c>
      <c r="L94" t="e">
        <f t="shared" si="59"/>
        <v>#REF!</v>
      </c>
      <c r="M94" t="e">
        <f t="shared" si="60"/>
        <v>#REF!</v>
      </c>
      <c r="N94" t="e">
        <f t="shared" si="61"/>
        <v>#REF!</v>
      </c>
      <c r="O94" t="e">
        <f t="shared" si="62"/>
        <v>#REF!</v>
      </c>
      <c r="P94" t="e">
        <f t="shared" si="63"/>
        <v>#REF!</v>
      </c>
      <c r="Q94" t="e">
        <f t="shared" si="64"/>
        <v>#REF!</v>
      </c>
      <c r="T94" t="e">
        <f>Reflection!A94</f>
        <v>#REF!</v>
      </c>
      <c r="U94" t="s">
        <v>13</v>
      </c>
      <c r="V94" t="e">
        <f t="shared" si="65"/>
        <v>#REF!</v>
      </c>
      <c r="W94" t="e">
        <f t="shared" si="66"/>
        <v>#REF!</v>
      </c>
      <c r="X94" t="e">
        <f t="shared" si="67"/>
        <v>#REF!</v>
      </c>
      <c r="Y94" t="e">
        <f t="shared" si="68"/>
        <v>#REF!</v>
      </c>
      <c r="Z94" t="e">
        <f t="shared" si="69"/>
        <v>#REF!</v>
      </c>
      <c r="AA94" t="e">
        <f t="shared" si="70"/>
        <v>#REF!</v>
      </c>
      <c r="AD94" t="e">
        <f>Reflection!A94</f>
        <v>#REF!</v>
      </c>
      <c r="AE94" t="s">
        <v>13</v>
      </c>
      <c r="AF94" t="e">
        <f t="shared" si="71"/>
        <v>#REF!</v>
      </c>
      <c r="AG94" t="e">
        <f t="shared" si="72"/>
        <v>#REF!</v>
      </c>
      <c r="AH94" t="e">
        <f t="shared" si="73"/>
        <v>#REF!</v>
      </c>
      <c r="AI94" t="e">
        <f t="shared" si="74"/>
        <v>#REF!</v>
      </c>
      <c r="AJ94" t="e">
        <f t="shared" si="75"/>
        <v>#REF!</v>
      </c>
      <c r="AK94" t="e">
        <f t="shared" si="76"/>
        <v>#REF!</v>
      </c>
      <c r="AN94" t="e">
        <f>Reflection!A94</f>
        <v>#REF!</v>
      </c>
      <c r="AO94" t="s">
        <v>13</v>
      </c>
      <c r="AP94" t="e">
        <f t="shared" si="77"/>
        <v>#REF!</v>
      </c>
      <c r="AQ94" t="e">
        <f t="shared" si="78"/>
        <v>#REF!</v>
      </c>
      <c r="AR94" t="e">
        <f t="shared" si="79"/>
        <v>#REF!</v>
      </c>
      <c r="AS94" t="e">
        <f t="shared" si="80"/>
        <v>#REF!</v>
      </c>
      <c r="AT94" t="e">
        <f t="shared" si="81"/>
        <v>#REF!</v>
      </c>
      <c r="AU94" t="e">
        <f t="shared" si="82"/>
        <v>#REF!</v>
      </c>
      <c r="AX94" t="e">
        <f>Reflection!A94</f>
        <v>#REF!</v>
      </c>
      <c r="AY94" t="s">
        <v>13</v>
      </c>
      <c r="AZ94" t="e">
        <f t="shared" si="83"/>
        <v>#REF!</v>
      </c>
      <c r="BA94" t="e">
        <f t="shared" si="84"/>
        <v>#REF!</v>
      </c>
      <c r="BB94" t="e">
        <f t="shared" si="85"/>
        <v>#REF!</v>
      </c>
      <c r="BC94" t="e">
        <f t="shared" si="86"/>
        <v>#REF!</v>
      </c>
      <c r="BD94" t="e">
        <f t="shared" si="87"/>
        <v>#REF!</v>
      </c>
      <c r="BE94" t="e">
        <f t="shared" si="88"/>
        <v>#REF!</v>
      </c>
      <c r="BH94" t="e">
        <f>Reflection!A94</f>
        <v>#REF!</v>
      </c>
      <c r="BI94" t="e">
        <f t="shared" si="89"/>
        <v>#REF!</v>
      </c>
      <c r="BJ94" t="e">
        <f t="shared" si="90"/>
        <v>#REF!</v>
      </c>
      <c r="BK94" t="e">
        <f t="shared" si="91"/>
        <v>#REF!</v>
      </c>
      <c r="BL94" t="e">
        <f t="shared" si="92"/>
        <v>#REF!</v>
      </c>
      <c r="BM94" t="e">
        <f t="shared" si="93"/>
        <v>#REF!</v>
      </c>
      <c r="BN94" t="e">
        <f t="shared" si="94"/>
        <v>#REF!</v>
      </c>
      <c r="BR94" t="e">
        <f>Reflection!A94</f>
        <v>#REF!</v>
      </c>
      <c r="BS94" t="s">
        <v>13</v>
      </c>
      <c r="BT94" t="e">
        <f t="shared" si="95"/>
        <v>#REF!</v>
      </c>
      <c r="BU94" t="e">
        <f t="shared" si="55"/>
        <v>#REF!</v>
      </c>
      <c r="BV94" t="e">
        <f t="shared" si="96"/>
        <v>#REF!</v>
      </c>
      <c r="BW94" t="e">
        <f t="shared" si="97"/>
        <v>#REF!</v>
      </c>
      <c r="BX94" t="e">
        <f t="shared" si="98"/>
        <v>#REF!</v>
      </c>
      <c r="BY94" t="e">
        <f t="shared" si="99"/>
        <v>#REF!</v>
      </c>
    </row>
    <row r="95" spans="1:77" x14ac:dyDescent="0.15">
      <c r="A95" t="e">
        <f>Reflection!A95</f>
        <v>#REF!</v>
      </c>
      <c r="B95" t="e">
        <f t="shared" si="52"/>
        <v>#REF!</v>
      </c>
      <c r="C95" t="e">
        <f t="shared" si="53"/>
        <v>#REF!</v>
      </c>
      <c r="D95" t="e">
        <f t="shared" si="56"/>
        <v>#REF!</v>
      </c>
      <c r="E95" t="e">
        <f t="shared" si="57"/>
        <v>#REF!</v>
      </c>
      <c r="F95" t="e">
        <f t="shared" si="58"/>
        <v>#REF!</v>
      </c>
      <c r="G95" t="e">
        <f t="shared" si="54"/>
        <v>#REF!</v>
      </c>
      <c r="J95" t="e">
        <f>Reflection!A95</f>
        <v>#REF!</v>
      </c>
      <c r="K95" t="s">
        <v>13</v>
      </c>
      <c r="L95" t="e">
        <f t="shared" si="59"/>
        <v>#REF!</v>
      </c>
      <c r="M95" t="e">
        <f t="shared" si="60"/>
        <v>#REF!</v>
      </c>
      <c r="N95" t="e">
        <f t="shared" si="61"/>
        <v>#REF!</v>
      </c>
      <c r="O95" t="e">
        <f t="shared" si="62"/>
        <v>#REF!</v>
      </c>
      <c r="P95" t="e">
        <f t="shared" si="63"/>
        <v>#REF!</v>
      </c>
      <c r="Q95" t="e">
        <f t="shared" si="64"/>
        <v>#REF!</v>
      </c>
      <c r="T95" t="e">
        <f>Reflection!A95</f>
        <v>#REF!</v>
      </c>
      <c r="U95" t="s">
        <v>13</v>
      </c>
      <c r="V95" t="e">
        <f t="shared" si="65"/>
        <v>#REF!</v>
      </c>
      <c r="W95" t="e">
        <f t="shared" si="66"/>
        <v>#REF!</v>
      </c>
      <c r="X95" t="e">
        <f t="shared" si="67"/>
        <v>#REF!</v>
      </c>
      <c r="Y95" t="e">
        <f t="shared" si="68"/>
        <v>#REF!</v>
      </c>
      <c r="Z95" t="e">
        <f t="shared" si="69"/>
        <v>#REF!</v>
      </c>
      <c r="AA95" t="e">
        <f t="shared" si="70"/>
        <v>#REF!</v>
      </c>
      <c r="AD95" t="e">
        <f>Reflection!A95</f>
        <v>#REF!</v>
      </c>
      <c r="AE95" t="s">
        <v>13</v>
      </c>
      <c r="AF95" t="e">
        <f t="shared" si="71"/>
        <v>#REF!</v>
      </c>
      <c r="AG95" t="e">
        <f t="shared" si="72"/>
        <v>#REF!</v>
      </c>
      <c r="AH95" t="e">
        <f t="shared" si="73"/>
        <v>#REF!</v>
      </c>
      <c r="AI95" t="e">
        <f t="shared" si="74"/>
        <v>#REF!</v>
      </c>
      <c r="AJ95" t="e">
        <f t="shared" si="75"/>
        <v>#REF!</v>
      </c>
      <c r="AK95" t="e">
        <f t="shared" si="76"/>
        <v>#REF!</v>
      </c>
      <c r="AN95" t="e">
        <f>Reflection!A95</f>
        <v>#REF!</v>
      </c>
      <c r="AO95" t="s">
        <v>13</v>
      </c>
      <c r="AP95" t="e">
        <f t="shared" si="77"/>
        <v>#REF!</v>
      </c>
      <c r="AQ95" t="e">
        <f t="shared" si="78"/>
        <v>#REF!</v>
      </c>
      <c r="AR95" t="e">
        <f t="shared" si="79"/>
        <v>#REF!</v>
      </c>
      <c r="AS95" t="e">
        <f t="shared" si="80"/>
        <v>#REF!</v>
      </c>
      <c r="AT95" t="e">
        <f t="shared" si="81"/>
        <v>#REF!</v>
      </c>
      <c r="AU95" t="e">
        <f t="shared" si="82"/>
        <v>#REF!</v>
      </c>
      <c r="AX95" t="e">
        <f>Reflection!A95</f>
        <v>#REF!</v>
      </c>
      <c r="AY95" t="s">
        <v>13</v>
      </c>
      <c r="AZ95" t="e">
        <f t="shared" si="83"/>
        <v>#REF!</v>
      </c>
      <c r="BA95" t="e">
        <f t="shared" si="84"/>
        <v>#REF!</v>
      </c>
      <c r="BB95" t="e">
        <f t="shared" si="85"/>
        <v>#REF!</v>
      </c>
      <c r="BC95" t="e">
        <f t="shared" si="86"/>
        <v>#REF!</v>
      </c>
      <c r="BD95" t="e">
        <f t="shared" si="87"/>
        <v>#REF!</v>
      </c>
      <c r="BE95" t="e">
        <f t="shared" si="88"/>
        <v>#REF!</v>
      </c>
      <c r="BH95" t="e">
        <f>Reflection!A95</f>
        <v>#REF!</v>
      </c>
      <c r="BI95" t="e">
        <f t="shared" si="89"/>
        <v>#REF!</v>
      </c>
      <c r="BJ95" t="e">
        <f t="shared" si="90"/>
        <v>#REF!</v>
      </c>
      <c r="BK95" t="e">
        <f t="shared" si="91"/>
        <v>#REF!</v>
      </c>
      <c r="BL95" t="e">
        <f t="shared" si="92"/>
        <v>#REF!</v>
      </c>
      <c r="BM95" t="e">
        <f t="shared" si="93"/>
        <v>#REF!</v>
      </c>
      <c r="BN95" t="e">
        <f t="shared" si="94"/>
        <v>#REF!</v>
      </c>
      <c r="BR95" t="e">
        <f>Reflection!A95</f>
        <v>#REF!</v>
      </c>
      <c r="BS95" t="s">
        <v>13</v>
      </c>
      <c r="BT95" t="e">
        <f t="shared" si="95"/>
        <v>#REF!</v>
      </c>
      <c r="BU95" t="e">
        <f t="shared" si="55"/>
        <v>#REF!</v>
      </c>
      <c r="BV95" t="e">
        <f t="shared" si="96"/>
        <v>#REF!</v>
      </c>
      <c r="BW95" t="e">
        <f t="shared" si="97"/>
        <v>#REF!</v>
      </c>
      <c r="BX95" t="e">
        <f t="shared" si="98"/>
        <v>#REF!</v>
      </c>
      <c r="BY95" t="e">
        <f t="shared" si="99"/>
        <v>#REF!</v>
      </c>
    </row>
    <row r="96" spans="1:77" x14ac:dyDescent="0.15">
      <c r="A96" t="e">
        <f>Reflection!A96</f>
        <v>#REF!</v>
      </c>
      <c r="B96" t="e">
        <f t="shared" si="52"/>
        <v>#REF!</v>
      </c>
      <c r="C96" t="e">
        <f t="shared" si="53"/>
        <v>#REF!</v>
      </c>
      <c r="D96" t="e">
        <f t="shared" si="56"/>
        <v>#REF!</v>
      </c>
      <c r="E96" t="e">
        <f t="shared" si="57"/>
        <v>#REF!</v>
      </c>
      <c r="F96" t="e">
        <f t="shared" si="58"/>
        <v>#REF!</v>
      </c>
      <c r="G96" t="e">
        <f t="shared" si="54"/>
        <v>#REF!</v>
      </c>
      <c r="J96" t="e">
        <f>Reflection!A96</f>
        <v>#REF!</v>
      </c>
      <c r="K96" t="s">
        <v>13</v>
      </c>
      <c r="L96" t="e">
        <f t="shared" si="59"/>
        <v>#REF!</v>
      </c>
      <c r="M96" t="e">
        <f t="shared" si="60"/>
        <v>#REF!</v>
      </c>
      <c r="N96" t="e">
        <f t="shared" si="61"/>
        <v>#REF!</v>
      </c>
      <c r="O96" t="e">
        <f t="shared" si="62"/>
        <v>#REF!</v>
      </c>
      <c r="P96" t="e">
        <f t="shared" si="63"/>
        <v>#REF!</v>
      </c>
      <c r="Q96" t="e">
        <f t="shared" si="64"/>
        <v>#REF!</v>
      </c>
      <c r="T96" t="e">
        <f>Reflection!A96</f>
        <v>#REF!</v>
      </c>
      <c r="U96" t="s">
        <v>13</v>
      </c>
      <c r="V96" t="e">
        <f t="shared" si="65"/>
        <v>#REF!</v>
      </c>
      <c r="W96" t="e">
        <f t="shared" si="66"/>
        <v>#REF!</v>
      </c>
      <c r="X96" t="e">
        <f t="shared" si="67"/>
        <v>#REF!</v>
      </c>
      <c r="Y96" t="e">
        <f t="shared" si="68"/>
        <v>#REF!</v>
      </c>
      <c r="Z96" t="e">
        <f t="shared" si="69"/>
        <v>#REF!</v>
      </c>
      <c r="AA96" t="e">
        <f t="shared" si="70"/>
        <v>#REF!</v>
      </c>
      <c r="AD96" t="e">
        <f>Reflection!A96</f>
        <v>#REF!</v>
      </c>
      <c r="AE96" t="s">
        <v>13</v>
      </c>
      <c r="AF96" t="e">
        <f t="shared" si="71"/>
        <v>#REF!</v>
      </c>
      <c r="AG96" t="e">
        <f t="shared" si="72"/>
        <v>#REF!</v>
      </c>
      <c r="AH96" t="e">
        <f t="shared" si="73"/>
        <v>#REF!</v>
      </c>
      <c r="AI96" t="e">
        <f t="shared" si="74"/>
        <v>#REF!</v>
      </c>
      <c r="AJ96" t="e">
        <f t="shared" si="75"/>
        <v>#REF!</v>
      </c>
      <c r="AK96" t="e">
        <f t="shared" si="76"/>
        <v>#REF!</v>
      </c>
      <c r="AN96" t="e">
        <f>Reflection!A96</f>
        <v>#REF!</v>
      </c>
      <c r="AO96" t="s">
        <v>13</v>
      </c>
      <c r="AP96" t="e">
        <f t="shared" si="77"/>
        <v>#REF!</v>
      </c>
      <c r="AQ96" t="e">
        <f t="shared" si="78"/>
        <v>#REF!</v>
      </c>
      <c r="AR96" t="e">
        <f t="shared" si="79"/>
        <v>#REF!</v>
      </c>
      <c r="AS96" t="e">
        <f t="shared" si="80"/>
        <v>#REF!</v>
      </c>
      <c r="AT96" t="e">
        <f t="shared" si="81"/>
        <v>#REF!</v>
      </c>
      <c r="AU96" t="e">
        <f t="shared" si="82"/>
        <v>#REF!</v>
      </c>
      <c r="AX96" t="e">
        <f>Reflection!A96</f>
        <v>#REF!</v>
      </c>
      <c r="AY96" t="s">
        <v>13</v>
      </c>
      <c r="AZ96" t="e">
        <f t="shared" si="83"/>
        <v>#REF!</v>
      </c>
      <c r="BA96" t="e">
        <f t="shared" si="84"/>
        <v>#REF!</v>
      </c>
      <c r="BB96" t="e">
        <f t="shared" si="85"/>
        <v>#REF!</v>
      </c>
      <c r="BC96" t="e">
        <f t="shared" si="86"/>
        <v>#REF!</v>
      </c>
      <c r="BD96" t="e">
        <f t="shared" si="87"/>
        <v>#REF!</v>
      </c>
      <c r="BE96" t="e">
        <f t="shared" si="88"/>
        <v>#REF!</v>
      </c>
      <c r="BH96" t="e">
        <f>Reflection!A96</f>
        <v>#REF!</v>
      </c>
      <c r="BI96" t="e">
        <f t="shared" si="89"/>
        <v>#REF!</v>
      </c>
      <c r="BJ96" t="e">
        <f t="shared" si="90"/>
        <v>#REF!</v>
      </c>
      <c r="BK96" t="e">
        <f t="shared" si="91"/>
        <v>#REF!</v>
      </c>
      <c r="BL96" t="e">
        <f t="shared" si="92"/>
        <v>#REF!</v>
      </c>
      <c r="BM96" t="e">
        <f t="shared" si="93"/>
        <v>#REF!</v>
      </c>
      <c r="BN96" t="e">
        <f t="shared" si="94"/>
        <v>#REF!</v>
      </c>
      <c r="BR96" t="e">
        <f>Reflection!A96</f>
        <v>#REF!</v>
      </c>
      <c r="BS96" t="s">
        <v>13</v>
      </c>
      <c r="BT96" t="e">
        <f t="shared" si="95"/>
        <v>#REF!</v>
      </c>
      <c r="BU96" t="e">
        <f t="shared" si="55"/>
        <v>#REF!</v>
      </c>
      <c r="BV96" t="e">
        <f t="shared" si="96"/>
        <v>#REF!</v>
      </c>
      <c r="BW96" t="e">
        <f t="shared" si="97"/>
        <v>#REF!</v>
      </c>
      <c r="BX96" t="e">
        <f t="shared" si="98"/>
        <v>#REF!</v>
      </c>
      <c r="BY96" t="e">
        <f t="shared" si="99"/>
        <v>#REF!</v>
      </c>
    </row>
    <row r="97" spans="1:77" x14ac:dyDescent="0.15">
      <c r="A97" t="e">
        <f>Reflection!A97</f>
        <v>#REF!</v>
      </c>
      <c r="B97" t="e">
        <f t="shared" si="52"/>
        <v>#REF!</v>
      </c>
      <c r="C97" t="e">
        <f t="shared" si="53"/>
        <v>#REF!</v>
      </c>
      <c r="D97" t="e">
        <f t="shared" si="56"/>
        <v>#REF!</v>
      </c>
      <c r="E97" t="e">
        <f t="shared" si="57"/>
        <v>#REF!</v>
      </c>
      <c r="F97" t="e">
        <f t="shared" si="58"/>
        <v>#REF!</v>
      </c>
      <c r="G97" t="e">
        <f t="shared" si="54"/>
        <v>#REF!</v>
      </c>
      <c r="J97" t="e">
        <f>Reflection!A97</f>
        <v>#REF!</v>
      </c>
      <c r="K97" t="s">
        <v>13</v>
      </c>
      <c r="L97" t="e">
        <f t="shared" si="59"/>
        <v>#REF!</v>
      </c>
      <c r="M97" t="e">
        <f t="shared" si="60"/>
        <v>#REF!</v>
      </c>
      <c r="N97" t="e">
        <f t="shared" si="61"/>
        <v>#REF!</v>
      </c>
      <c r="O97" t="e">
        <f t="shared" si="62"/>
        <v>#REF!</v>
      </c>
      <c r="P97" t="e">
        <f t="shared" si="63"/>
        <v>#REF!</v>
      </c>
      <c r="Q97" t="e">
        <f t="shared" si="64"/>
        <v>#REF!</v>
      </c>
      <c r="T97" t="e">
        <f>Reflection!A97</f>
        <v>#REF!</v>
      </c>
      <c r="U97" t="s">
        <v>13</v>
      </c>
      <c r="V97" t="e">
        <f t="shared" si="65"/>
        <v>#REF!</v>
      </c>
      <c r="W97" t="e">
        <f t="shared" si="66"/>
        <v>#REF!</v>
      </c>
      <c r="X97" t="e">
        <f t="shared" si="67"/>
        <v>#REF!</v>
      </c>
      <c r="Y97" t="e">
        <f t="shared" si="68"/>
        <v>#REF!</v>
      </c>
      <c r="Z97" t="e">
        <f t="shared" si="69"/>
        <v>#REF!</v>
      </c>
      <c r="AA97" t="e">
        <f t="shared" si="70"/>
        <v>#REF!</v>
      </c>
      <c r="AD97" t="e">
        <f>Reflection!A97</f>
        <v>#REF!</v>
      </c>
      <c r="AE97" t="s">
        <v>13</v>
      </c>
      <c r="AF97" t="e">
        <f t="shared" si="71"/>
        <v>#REF!</v>
      </c>
      <c r="AG97" t="e">
        <f t="shared" si="72"/>
        <v>#REF!</v>
      </c>
      <c r="AH97" t="e">
        <f t="shared" si="73"/>
        <v>#REF!</v>
      </c>
      <c r="AI97" t="e">
        <f t="shared" si="74"/>
        <v>#REF!</v>
      </c>
      <c r="AJ97" t="e">
        <f t="shared" si="75"/>
        <v>#REF!</v>
      </c>
      <c r="AK97" t="e">
        <f t="shared" si="76"/>
        <v>#REF!</v>
      </c>
      <c r="AN97" t="e">
        <f>Reflection!A97</f>
        <v>#REF!</v>
      </c>
      <c r="AO97" t="s">
        <v>13</v>
      </c>
      <c r="AP97" t="e">
        <f t="shared" si="77"/>
        <v>#REF!</v>
      </c>
      <c r="AQ97" t="e">
        <f t="shared" si="78"/>
        <v>#REF!</v>
      </c>
      <c r="AR97" t="e">
        <f t="shared" si="79"/>
        <v>#REF!</v>
      </c>
      <c r="AS97" t="e">
        <f t="shared" si="80"/>
        <v>#REF!</v>
      </c>
      <c r="AT97" t="e">
        <f t="shared" si="81"/>
        <v>#REF!</v>
      </c>
      <c r="AU97" t="e">
        <f t="shared" si="82"/>
        <v>#REF!</v>
      </c>
      <c r="AX97" t="e">
        <f>Reflection!A97</f>
        <v>#REF!</v>
      </c>
      <c r="AY97" t="s">
        <v>13</v>
      </c>
      <c r="AZ97" t="e">
        <f t="shared" si="83"/>
        <v>#REF!</v>
      </c>
      <c r="BA97" t="e">
        <f t="shared" si="84"/>
        <v>#REF!</v>
      </c>
      <c r="BB97" t="e">
        <f t="shared" si="85"/>
        <v>#REF!</v>
      </c>
      <c r="BC97" t="e">
        <f t="shared" si="86"/>
        <v>#REF!</v>
      </c>
      <c r="BD97" t="e">
        <f t="shared" si="87"/>
        <v>#REF!</v>
      </c>
      <c r="BE97" t="e">
        <f t="shared" si="88"/>
        <v>#REF!</v>
      </c>
      <c r="BH97" t="e">
        <f>Reflection!A97</f>
        <v>#REF!</v>
      </c>
      <c r="BI97" t="e">
        <f t="shared" si="89"/>
        <v>#REF!</v>
      </c>
      <c r="BJ97" t="e">
        <f t="shared" si="90"/>
        <v>#REF!</v>
      </c>
      <c r="BK97" t="e">
        <f t="shared" si="91"/>
        <v>#REF!</v>
      </c>
      <c r="BL97" t="e">
        <f t="shared" si="92"/>
        <v>#REF!</v>
      </c>
      <c r="BM97" t="e">
        <f t="shared" si="93"/>
        <v>#REF!</v>
      </c>
      <c r="BN97" t="e">
        <f t="shared" si="94"/>
        <v>#REF!</v>
      </c>
      <c r="BR97" t="e">
        <f>Reflection!A97</f>
        <v>#REF!</v>
      </c>
      <c r="BS97" t="s">
        <v>13</v>
      </c>
      <c r="BT97" t="e">
        <f t="shared" si="95"/>
        <v>#REF!</v>
      </c>
      <c r="BU97" t="e">
        <f t="shared" si="55"/>
        <v>#REF!</v>
      </c>
      <c r="BV97" t="e">
        <f t="shared" si="96"/>
        <v>#REF!</v>
      </c>
      <c r="BW97" t="e">
        <f t="shared" si="97"/>
        <v>#REF!</v>
      </c>
      <c r="BX97" t="e">
        <f t="shared" si="98"/>
        <v>#REF!</v>
      </c>
      <c r="BY97" t="e">
        <f t="shared" si="99"/>
        <v>#REF!</v>
      </c>
    </row>
    <row r="98" spans="1:77" x14ac:dyDescent="0.15">
      <c r="A98" t="e">
        <f>Reflection!A98</f>
        <v>#REF!</v>
      </c>
      <c r="B98" t="e">
        <f t="shared" si="52"/>
        <v>#REF!</v>
      </c>
      <c r="C98" t="e">
        <f t="shared" si="53"/>
        <v>#REF!</v>
      </c>
      <c r="D98" t="e">
        <f t="shared" si="56"/>
        <v>#REF!</v>
      </c>
      <c r="E98" t="e">
        <f t="shared" si="57"/>
        <v>#REF!</v>
      </c>
      <c r="F98" t="e">
        <f t="shared" si="58"/>
        <v>#REF!</v>
      </c>
      <c r="G98" t="e">
        <f t="shared" si="54"/>
        <v>#REF!</v>
      </c>
      <c r="J98" t="e">
        <f>Reflection!A98</f>
        <v>#REF!</v>
      </c>
      <c r="K98" t="s">
        <v>13</v>
      </c>
      <c r="L98" t="e">
        <f t="shared" si="59"/>
        <v>#REF!</v>
      </c>
      <c r="M98" t="e">
        <f t="shared" si="60"/>
        <v>#REF!</v>
      </c>
      <c r="N98" t="e">
        <f t="shared" si="61"/>
        <v>#REF!</v>
      </c>
      <c r="O98" t="e">
        <f t="shared" si="62"/>
        <v>#REF!</v>
      </c>
      <c r="P98" t="e">
        <f t="shared" si="63"/>
        <v>#REF!</v>
      </c>
      <c r="Q98" t="e">
        <f t="shared" si="64"/>
        <v>#REF!</v>
      </c>
      <c r="T98" t="e">
        <f>Reflection!A98</f>
        <v>#REF!</v>
      </c>
      <c r="U98" t="s">
        <v>13</v>
      </c>
      <c r="V98" t="e">
        <f t="shared" si="65"/>
        <v>#REF!</v>
      </c>
      <c r="W98" t="e">
        <f t="shared" si="66"/>
        <v>#REF!</v>
      </c>
      <c r="X98" t="e">
        <f t="shared" si="67"/>
        <v>#REF!</v>
      </c>
      <c r="Y98" t="e">
        <f t="shared" si="68"/>
        <v>#REF!</v>
      </c>
      <c r="Z98" t="e">
        <f t="shared" si="69"/>
        <v>#REF!</v>
      </c>
      <c r="AA98" t="e">
        <f t="shared" si="70"/>
        <v>#REF!</v>
      </c>
      <c r="AD98" t="e">
        <f>Reflection!A98</f>
        <v>#REF!</v>
      </c>
      <c r="AE98" t="s">
        <v>13</v>
      </c>
      <c r="AF98" t="e">
        <f t="shared" si="71"/>
        <v>#REF!</v>
      </c>
      <c r="AG98" t="e">
        <f t="shared" si="72"/>
        <v>#REF!</v>
      </c>
      <c r="AH98" t="e">
        <f t="shared" si="73"/>
        <v>#REF!</v>
      </c>
      <c r="AI98" t="e">
        <f t="shared" si="74"/>
        <v>#REF!</v>
      </c>
      <c r="AJ98" t="e">
        <f t="shared" si="75"/>
        <v>#REF!</v>
      </c>
      <c r="AK98" t="e">
        <f t="shared" si="76"/>
        <v>#REF!</v>
      </c>
      <c r="AN98" t="e">
        <f>Reflection!A98</f>
        <v>#REF!</v>
      </c>
      <c r="AO98" t="s">
        <v>13</v>
      </c>
      <c r="AP98" t="e">
        <f t="shared" si="77"/>
        <v>#REF!</v>
      </c>
      <c r="AQ98" t="e">
        <f t="shared" si="78"/>
        <v>#REF!</v>
      </c>
      <c r="AR98" t="e">
        <f t="shared" si="79"/>
        <v>#REF!</v>
      </c>
      <c r="AS98" t="e">
        <f t="shared" si="80"/>
        <v>#REF!</v>
      </c>
      <c r="AT98" t="e">
        <f t="shared" si="81"/>
        <v>#REF!</v>
      </c>
      <c r="AU98" t="e">
        <f t="shared" si="82"/>
        <v>#REF!</v>
      </c>
      <c r="AX98" t="e">
        <f>Reflection!A98</f>
        <v>#REF!</v>
      </c>
      <c r="AY98" t="s">
        <v>13</v>
      </c>
      <c r="AZ98" t="e">
        <f t="shared" si="83"/>
        <v>#REF!</v>
      </c>
      <c r="BA98" t="e">
        <f t="shared" si="84"/>
        <v>#REF!</v>
      </c>
      <c r="BB98" t="e">
        <f t="shared" si="85"/>
        <v>#REF!</v>
      </c>
      <c r="BC98" t="e">
        <f t="shared" si="86"/>
        <v>#REF!</v>
      </c>
      <c r="BD98" t="e">
        <f t="shared" si="87"/>
        <v>#REF!</v>
      </c>
      <c r="BE98" t="e">
        <f t="shared" si="88"/>
        <v>#REF!</v>
      </c>
      <c r="BH98" t="e">
        <f>Reflection!A98</f>
        <v>#REF!</v>
      </c>
      <c r="BI98" t="e">
        <f t="shared" si="89"/>
        <v>#REF!</v>
      </c>
      <c r="BJ98" t="e">
        <f t="shared" si="90"/>
        <v>#REF!</v>
      </c>
      <c r="BK98" t="e">
        <f t="shared" si="91"/>
        <v>#REF!</v>
      </c>
      <c r="BL98" t="e">
        <f t="shared" si="92"/>
        <v>#REF!</v>
      </c>
      <c r="BM98" t="e">
        <f t="shared" si="93"/>
        <v>#REF!</v>
      </c>
      <c r="BN98" t="e">
        <f t="shared" si="94"/>
        <v>#REF!</v>
      </c>
      <c r="BR98" t="e">
        <f>Reflection!A98</f>
        <v>#REF!</v>
      </c>
      <c r="BS98" t="s">
        <v>13</v>
      </c>
      <c r="BT98" t="e">
        <f t="shared" si="95"/>
        <v>#REF!</v>
      </c>
      <c r="BU98" t="e">
        <f t="shared" si="55"/>
        <v>#REF!</v>
      </c>
      <c r="BV98" t="e">
        <f t="shared" si="96"/>
        <v>#REF!</v>
      </c>
      <c r="BW98" t="e">
        <f t="shared" si="97"/>
        <v>#REF!</v>
      </c>
      <c r="BX98" t="e">
        <f t="shared" si="98"/>
        <v>#REF!</v>
      </c>
      <c r="BY98" t="e">
        <f t="shared" si="99"/>
        <v>#REF!</v>
      </c>
    </row>
    <row r="99" spans="1:77" x14ac:dyDescent="0.15">
      <c r="A99" t="e">
        <f>Reflection!A99</f>
        <v>#REF!</v>
      </c>
      <c r="B99" t="e">
        <f t="shared" ref="B99:B130" si="100">IMSUM(4.1,IMDIV((78.4-4.1),IMSUM(IMPRODUCT($C$1,2*PI()*A99*0.0000000000083),1)))</f>
        <v>#REF!</v>
      </c>
      <c r="C99" t="e">
        <f t="shared" ref="C99:C130" si="101">IMPRODUCT(IMPRODUCT(B99,$C$1),2*PI()*A99*0.000000000008854)</f>
        <v>#REF!</v>
      </c>
      <c r="D99" t="e">
        <f t="shared" si="56"/>
        <v>#REF!</v>
      </c>
      <c r="E99" t="e">
        <f t="shared" si="57"/>
        <v>#REF!</v>
      </c>
      <c r="F99" t="e">
        <f t="shared" si="58"/>
        <v>#REF!</v>
      </c>
      <c r="G99" t="e">
        <f t="shared" ref="G99:G130" si="102">IMAGINARY(C99)</f>
        <v>#REF!</v>
      </c>
      <c r="J99" t="e">
        <f>Reflection!A99</f>
        <v>#REF!</v>
      </c>
      <c r="K99" t="s">
        <v>13</v>
      </c>
      <c r="L99" t="e">
        <f t="shared" si="59"/>
        <v>#REF!</v>
      </c>
      <c r="M99" t="e">
        <f t="shared" si="60"/>
        <v>#REF!</v>
      </c>
      <c r="N99" t="e">
        <f t="shared" si="61"/>
        <v>#REF!</v>
      </c>
      <c r="O99" t="e">
        <f t="shared" si="62"/>
        <v>#REF!</v>
      </c>
      <c r="P99" t="e">
        <f t="shared" si="63"/>
        <v>#REF!</v>
      </c>
      <c r="Q99" t="e">
        <f t="shared" si="64"/>
        <v>#REF!</v>
      </c>
      <c r="T99" t="e">
        <f>Reflection!A99</f>
        <v>#REF!</v>
      </c>
      <c r="U99" t="s">
        <v>13</v>
      </c>
      <c r="V99" t="e">
        <f t="shared" si="65"/>
        <v>#REF!</v>
      </c>
      <c r="W99" t="e">
        <f t="shared" si="66"/>
        <v>#REF!</v>
      </c>
      <c r="X99" t="e">
        <f t="shared" si="67"/>
        <v>#REF!</v>
      </c>
      <c r="Y99" t="e">
        <f t="shared" si="68"/>
        <v>#REF!</v>
      </c>
      <c r="Z99" t="e">
        <f t="shared" si="69"/>
        <v>#REF!</v>
      </c>
      <c r="AA99" t="e">
        <f t="shared" si="70"/>
        <v>#REF!</v>
      </c>
      <c r="AD99" t="e">
        <f>Reflection!A99</f>
        <v>#REF!</v>
      </c>
      <c r="AE99" t="s">
        <v>13</v>
      </c>
      <c r="AF99" t="e">
        <f t="shared" si="71"/>
        <v>#REF!</v>
      </c>
      <c r="AG99" t="e">
        <f t="shared" si="72"/>
        <v>#REF!</v>
      </c>
      <c r="AH99" t="e">
        <f t="shared" si="73"/>
        <v>#REF!</v>
      </c>
      <c r="AI99" t="e">
        <f t="shared" si="74"/>
        <v>#REF!</v>
      </c>
      <c r="AJ99" t="e">
        <f t="shared" si="75"/>
        <v>#REF!</v>
      </c>
      <c r="AK99" t="e">
        <f t="shared" si="76"/>
        <v>#REF!</v>
      </c>
      <c r="AN99" t="e">
        <f>Reflection!A99</f>
        <v>#REF!</v>
      </c>
      <c r="AO99" t="s">
        <v>13</v>
      </c>
      <c r="AP99" t="e">
        <f t="shared" si="77"/>
        <v>#REF!</v>
      </c>
      <c r="AQ99" t="e">
        <f t="shared" si="78"/>
        <v>#REF!</v>
      </c>
      <c r="AR99" t="e">
        <f t="shared" si="79"/>
        <v>#REF!</v>
      </c>
      <c r="AS99" t="e">
        <f t="shared" si="80"/>
        <v>#REF!</v>
      </c>
      <c r="AT99" t="e">
        <f t="shared" si="81"/>
        <v>#REF!</v>
      </c>
      <c r="AU99" t="e">
        <f t="shared" si="82"/>
        <v>#REF!</v>
      </c>
      <c r="AX99" t="e">
        <f>Reflection!A99</f>
        <v>#REF!</v>
      </c>
      <c r="AY99" t="s">
        <v>13</v>
      </c>
      <c r="AZ99" t="e">
        <f t="shared" si="83"/>
        <v>#REF!</v>
      </c>
      <c r="BA99" t="e">
        <f t="shared" si="84"/>
        <v>#REF!</v>
      </c>
      <c r="BB99" t="e">
        <f t="shared" si="85"/>
        <v>#REF!</v>
      </c>
      <c r="BC99" t="e">
        <f t="shared" si="86"/>
        <v>#REF!</v>
      </c>
      <c r="BD99" t="e">
        <f t="shared" si="87"/>
        <v>#REF!</v>
      </c>
      <c r="BE99" t="e">
        <f t="shared" si="88"/>
        <v>#REF!</v>
      </c>
      <c r="BH99" t="e">
        <f>Reflection!A99</f>
        <v>#REF!</v>
      </c>
      <c r="BI99" t="e">
        <f t="shared" si="89"/>
        <v>#REF!</v>
      </c>
      <c r="BJ99" t="e">
        <f t="shared" si="90"/>
        <v>#REF!</v>
      </c>
      <c r="BK99" t="e">
        <f t="shared" si="91"/>
        <v>#REF!</v>
      </c>
      <c r="BL99" t="e">
        <f t="shared" si="92"/>
        <v>#REF!</v>
      </c>
      <c r="BM99" t="e">
        <f t="shared" si="93"/>
        <v>#REF!</v>
      </c>
      <c r="BN99" t="e">
        <f t="shared" si="94"/>
        <v>#REF!</v>
      </c>
      <c r="BR99" t="e">
        <f>Reflection!A99</f>
        <v>#REF!</v>
      </c>
      <c r="BS99" t="s">
        <v>13</v>
      </c>
      <c r="BT99" t="e">
        <f t="shared" si="95"/>
        <v>#REF!</v>
      </c>
      <c r="BU99" t="e">
        <f t="shared" ref="BU99:BU130" si="103">IMPRODUCT(IMPRODUCT(BT99,BS99),2*PI()*BR99*0.000000000008854)</f>
        <v>#REF!</v>
      </c>
      <c r="BV99" t="e">
        <f t="shared" si="96"/>
        <v>#REF!</v>
      </c>
      <c r="BW99" t="e">
        <f t="shared" si="97"/>
        <v>#REF!</v>
      </c>
      <c r="BX99" t="e">
        <f t="shared" si="98"/>
        <v>#REF!</v>
      </c>
      <c r="BY99" t="e">
        <f t="shared" si="99"/>
        <v>#REF!</v>
      </c>
    </row>
    <row r="100" spans="1:77" x14ac:dyDescent="0.15">
      <c r="A100" t="e">
        <f>Reflection!A100</f>
        <v>#REF!</v>
      </c>
      <c r="B100" t="e">
        <f t="shared" si="100"/>
        <v>#REF!</v>
      </c>
      <c r="C100" t="e">
        <f t="shared" si="101"/>
        <v>#REF!</v>
      </c>
      <c r="D100" t="e">
        <f t="shared" si="56"/>
        <v>#REF!</v>
      </c>
      <c r="E100" t="e">
        <f t="shared" si="57"/>
        <v>#REF!</v>
      </c>
      <c r="F100" t="e">
        <f t="shared" si="58"/>
        <v>#REF!</v>
      </c>
      <c r="G100" t="e">
        <f t="shared" si="102"/>
        <v>#REF!</v>
      </c>
      <c r="J100" t="e">
        <f>Reflection!A100</f>
        <v>#REF!</v>
      </c>
      <c r="K100" t="s">
        <v>13</v>
      </c>
      <c r="L100" t="e">
        <f t="shared" si="59"/>
        <v>#REF!</v>
      </c>
      <c r="M100" t="e">
        <f t="shared" si="60"/>
        <v>#REF!</v>
      </c>
      <c r="N100" t="e">
        <f t="shared" si="61"/>
        <v>#REF!</v>
      </c>
      <c r="O100" t="e">
        <f t="shared" si="62"/>
        <v>#REF!</v>
      </c>
      <c r="P100" t="e">
        <f t="shared" si="63"/>
        <v>#REF!</v>
      </c>
      <c r="Q100" t="e">
        <f t="shared" si="64"/>
        <v>#REF!</v>
      </c>
      <c r="T100" t="e">
        <f>Reflection!A100</f>
        <v>#REF!</v>
      </c>
      <c r="U100" t="s">
        <v>13</v>
      </c>
      <c r="V100" t="e">
        <f t="shared" si="65"/>
        <v>#REF!</v>
      </c>
      <c r="W100" t="e">
        <f t="shared" si="66"/>
        <v>#REF!</v>
      </c>
      <c r="X100" t="e">
        <f t="shared" si="67"/>
        <v>#REF!</v>
      </c>
      <c r="Y100" t="e">
        <f t="shared" si="68"/>
        <v>#REF!</v>
      </c>
      <c r="Z100" t="e">
        <f t="shared" si="69"/>
        <v>#REF!</v>
      </c>
      <c r="AA100" t="e">
        <f t="shared" si="70"/>
        <v>#REF!</v>
      </c>
      <c r="AD100" t="e">
        <f>Reflection!A100</f>
        <v>#REF!</v>
      </c>
      <c r="AE100" t="s">
        <v>13</v>
      </c>
      <c r="AF100" t="e">
        <f t="shared" si="71"/>
        <v>#REF!</v>
      </c>
      <c r="AG100" t="e">
        <f t="shared" si="72"/>
        <v>#REF!</v>
      </c>
      <c r="AH100" t="e">
        <f t="shared" si="73"/>
        <v>#REF!</v>
      </c>
      <c r="AI100" t="e">
        <f t="shared" si="74"/>
        <v>#REF!</v>
      </c>
      <c r="AJ100" t="e">
        <f t="shared" si="75"/>
        <v>#REF!</v>
      </c>
      <c r="AK100" t="e">
        <f t="shared" si="76"/>
        <v>#REF!</v>
      </c>
      <c r="AN100" t="e">
        <f>Reflection!A100</f>
        <v>#REF!</v>
      </c>
      <c r="AO100" t="s">
        <v>13</v>
      </c>
      <c r="AP100" t="e">
        <f t="shared" si="77"/>
        <v>#REF!</v>
      </c>
      <c r="AQ100" t="e">
        <f t="shared" si="78"/>
        <v>#REF!</v>
      </c>
      <c r="AR100" t="e">
        <f t="shared" si="79"/>
        <v>#REF!</v>
      </c>
      <c r="AS100" t="e">
        <f t="shared" si="80"/>
        <v>#REF!</v>
      </c>
      <c r="AT100" t="e">
        <f t="shared" si="81"/>
        <v>#REF!</v>
      </c>
      <c r="AU100" t="e">
        <f t="shared" si="82"/>
        <v>#REF!</v>
      </c>
      <c r="AX100" t="e">
        <f>Reflection!A100</f>
        <v>#REF!</v>
      </c>
      <c r="AY100" t="s">
        <v>13</v>
      </c>
      <c r="AZ100" t="e">
        <f t="shared" si="83"/>
        <v>#REF!</v>
      </c>
      <c r="BA100" t="e">
        <f t="shared" si="84"/>
        <v>#REF!</v>
      </c>
      <c r="BB100" t="e">
        <f t="shared" si="85"/>
        <v>#REF!</v>
      </c>
      <c r="BC100" t="e">
        <f t="shared" si="86"/>
        <v>#REF!</v>
      </c>
      <c r="BD100" t="e">
        <f t="shared" si="87"/>
        <v>#REF!</v>
      </c>
      <c r="BE100" t="e">
        <f t="shared" si="88"/>
        <v>#REF!</v>
      </c>
      <c r="BH100" t="e">
        <f>Reflection!A100</f>
        <v>#REF!</v>
      </c>
      <c r="BI100" t="e">
        <f t="shared" si="89"/>
        <v>#REF!</v>
      </c>
      <c r="BJ100" t="e">
        <f t="shared" si="90"/>
        <v>#REF!</v>
      </c>
      <c r="BK100" t="e">
        <f t="shared" si="91"/>
        <v>#REF!</v>
      </c>
      <c r="BL100" t="e">
        <f t="shared" si="92"/>
        <v>#REF!</v>
      </c>
      <c r="BM100" t="e">
        <f t="shared" si="93"/>
        <v>#REF!</v>
      </c>
      <c r="BN100" t="e">
        <f t="shared" si="94"/>
        <v>#REF!</v>
      </c>
      <c r="BR100" t="e">
        <f>Reflection!A100</f>
        <v>#REF!</v>
      </c>
      <c r="BS100" t="s">
        <v>13</v>
      </c>
      <c r="BT100" t="e">
        <f t="shared" si="95"/>
        <v>#REF!</v>
      </c>
      <c r="BU100" t="e">
        <f t="shared" si="103"/>
        <v>#REF!</v>
      </c>
      <c r="BV100" t="e">
        <f t="shared" si="96"/>
        <v>#REF!</v>
      </c>
      <c r="BW100" t="e">
        <f t="shared" si="97"/>
        <v>#REF!</v>
      </c>
      <c r="BX100" t="e">
        <f t="shared" si="98"/>
        <v>#REF!</v>
      </c>
      <c r="BY100" t="e">
        <f t="shared" si="99"/>
        <v>#REF!</v>
      </c>
    </row>
    <row r="101" spans="1:77" x14ac:dyDescent="0.15">
      <c r="A101" t="e">
        <f>Reflection!A101</f>
        <v>#REF!</v>
      </c>
      <c r="B101" t="e">
        <f t="shared" si="100"/>
        <v>#REF!</v>
      </c>
      <c r="C101" t="e">
        <f t="shared" si="101"/>
        <v>#REF!</v>
      </c>
      <c r="D101" t="e">
        <f t="shared" si="56"/>
        <v>#REF!</v>
      </c>
      <c r="E101" t="e">
        <f t="shared" si="57"/>
        <v>#REF!</v>
      </c>
      <c r="F101" t="e">
        <f t="shared" si="58"/>
        <v>#REF!</v>
      </c>
      <c r="G101" t="e">
        <f t="shared" si="102"/>
        <v>#REF!</v>
      </c>
      <c r="J101" t="e">
        <f>Reflection!A101</f>
        <v>#REF!</v>
      </c>
      <c r="K101" t="s">
        <v>13</v>
      </c>
      <c r="L101" t="e">
        <f t="shared" si="59"/>
        <v>#REF!</v>
      </c>
      <c r="M101" t="e">
        <f t="shared" si="60"/>
        <v>#REF!</v>
      </c>
      <c r="N101" t="e">
        <f t="shared" si="61"/>
        <v>#REF!</v>
      </c>
      <c r="O101" t="e">
        <f t="shared" si="62"/>
        <v>#REF!</v>
      </c>
      <c r="P101" t="e">
        <f t="shared" si="63"/>
        <v>#REF!</v>
      </c>
      <c r="Q101" t="e">
        <f t="shared" si="64"/>
        <v>#REF!</v>
      </c>
      <c r="T101" t="e">
        <f>Reflection!A101</f>
        <v>#REF!</v>
      </c>
      <c r="U101" t="s">
        <v>13</v>
      </c>
      <c r="V101" t="e">
        <f t="shared" si="65"/>
        <v>#REF!</v>
      </c>
      <c r="W101" t="e">
        <f t="shared" si="66"/>
        <v>#REF!</v>
      </c>
      <c r="X101" t="e">
        <f t="shared" si="67"/>
        <v>#REF!</v>
      </c>
      <c r="Y101" t="e">
        <f t="shared" si="68"/>
        <v>#REF!</v>
      </c>
      <c r="Z101" t="e">
        <f t="shared" si="69"/>
        <v>#REF!</v>
      </c>
      <c r="AA101" t="e">
        <f t="shared" si="70"/>
        <v>#REF!</v>
      </c>
      <c r="AD101" t="e">
        <f>Reflection!A101</f>
        <v>#REF!</v>
      </c>
      <c r="AE101" t="s">
        <v>13</v>
      </c>
      <c r="AF101" t="e">
        <f t="shared" si="71"/>
        <v>#REF!</v>
      </c>
      <c r="AG101" t="e">
        <f t="shared" si="72"/>
        <v>#REF!</v>
      </c>
      <c r="AH101" t="e">
        <f t="shared" si="73"/>
        <v>#REF!</v>
      </c>
      <c r="AI101" t="e">
        <f t="shared" si="74"/>
        <v>#REF!</v>
      </c>
      <c r="AJ101" t="e">
        <f t="shared" si="75"/>
        <v>#REF!</v>
      </c>
      <c r="AK101" t="e">
        <f t="shared" si="76"/>
        <v>#REF!</v>
      </c>
      <c r="AN101" t="e">
        <f>Reflection!A101</f>
        <v>#REF!</v>
      </c>
      <c r="AO101" t="s">
        <v>13</v>
      </c>
      <c r="AP101" t="e">
        <f t="shared" si="77"/>
        <v>#REF!</v>
      </c>
      <c r="AQ101" t="e">
        <f t="shared" si="78"/>
        <v>#REF!</v>
      </c>
      <c r="AR101" t="e">
        <f t="shared" si="79"/>
        <v>#REF!</v>
      </c>
      <c r="AS101" t="e">
        <f t="shared" si="80"/>
        <v>#REF!</v>
      </c>
      <c r="AT101" t="e">
        <f t="shared" si="81"/>
        <v>#REF!</v>
      </c>
      <c r="AU101" t="e">
        <f t="shared" si="82"/>
        <v>#REF!</v>
      </c>
      <c r="AX101" t="e">
        <f>Reflection!A101</f>
        <v>#REF!</v>
      </c>
      <c r="AY101" t="s">
        <v>13</v>
      </c>
      <c r="AZ101" t="e">
        <f t="shared" si="83"/>
        <v>#REF!</v>
      </c>
      <c r="BA101" t="e">
        <f t="shared" si="84"/>
        <v>#REF!</v>
      </c>
      <c r="BB101" t="e">
        <f t="shared" si="85"/>
        <v>#REF!</v>
      </c>
      <c r="BC101" t="e">
        <f t="shared" si="86"/>
        <v>#REF!</v>
      </c>
      <c r="BD101" t="e">
        <f t="shared" si="87"/>
        <v>#REF!</v>
      </c>
      <c r="BE101" t="e">
        <f t="shared" si="88"/>
        <v>#REF!</v>
      </c>
      <c r="BH101" t="e">
        <f>Reflection!A101</f>
        <v>#REF!</v>
      </c>
      <c r="BI101" t="e">
        <f t="shared" si="89"/>
        <v>#REF!</v>
      </c>
      <c r="BJ101" t="e">
        <f t="shared" si="90"/>
        <v>#REF!</v>
      </c>
      <c r="BK101" t="e">
        <f t="shared" si="91"/>
        <v>#REF!</v>
      </c>
      <c r="BL101" t="e">
        <f t="shared" si="92"/>
        <v>#REF!</v>
      </c>
      <c r="BM101" t="e">
        <f t="shared" si="93"/>
        <v>#REF!</v>
      </c>
      <c r="BN101" t="e">
        <f t="shared" si="94"/>
        <v>#REF!</v>
      </c>
      <c r="BR101" t="e">
        <f>Reflection!A101</f>
        <v>#REF!</v>
      </c>
      <c r="BS101" t="s">
        <v>13</v>
      </c>
      <c r="BT101" t="e">
        <f t="shared" si="95"/>
        <v>#REF!</v>
      </c>
      <c r="BU101" t="e">
        <f t="shared" si="103"/>
        <v>#REF!</v>
      </c>
      <c r="BV101" t="e">
        <f t="shared" si="96"/>
        <v>#REF!</v>
      </c>
      <c r="BW101" t="e">
        <f t="shared" si="97"/>
        <v>#REF!</v>
      </c>
      <c r="BX101" t="e">
        <f t="shared" si="98"/>
        <v>#REF!</v>
      </c>
      <c r="BY101" t="e">
        <f t="shared" si="99"/>
        <v>#REF!</v>
      </c>
    </row>
    <row r="102" spans="1:77" x14ac:dyDescent="0.15">
      <c r="A102" t="e">
        <f>Reflection!A102</f>
        <v>#REF!</v>
      </c>
      <c r="B102" t="e">
        <f t="shared" si="100"/>
        <v>#REF!</v>
      </c>
      <c r="C102" t="e">
        <f t="shared" si="101"/>
        <v>#REF!</v>
      </c>
      <c r="D102" t="e">
        <f t="shared" si="56"/>
        <v>#REF!</v>
      </c>
      <c r="E102" t="e">
        <f t="shared" si="57"/>
        <v>#REF!</v>
      </c>
      <c r="F102" t="e">
        <f t="shared" si="58"/>
        <v>#REF!</v>
      </c>
      <c r="G102" t="e">
        <f t="shared" si="102"/>
        <v>#REF!</v>
      </c>
      <c r="J102" t="e">
        <f>Reflection!A102</f>
        <v>#REF!</v>
      </c>
      <c r="K102" t="s">
        <v>13</v>
      </c>
      <c r="L102" t="e">
        <f t="shared" si="59"/>
        <v>#REF!</v>
      </c>
      <c r="M102" t="e">
        <f t="shared" si="60"/>
        <v>#REF!</v>
      </c>
      <c r="N102" t="e">
        <f t="shared" si="61"/>
        <v>#REF!</v>
      </c>
      <c r="O102" t="e">
        <f t="shared" si="62"/>
        <v>#REF!</v>
      </c>
      <c r="P102" t="e">
        <f t="shared" si="63"/>
        <v>#REF!</v>
      </c>
      <c r="Q102" t="e">
        <f t="shared" si="64"/>
        <v>#REF!</v>
      </c>
      <c r="T102" t="e">
        <f>Reflection!A102</f>
        <v>#REF!</v>
      </c>
      <c r="U102" t="s">
        <v>13</v>
      </c>
      <c r="V102" t="e">
        <f t="shared" si="65"/>
        <v>#REF!</v>
      </c>
      <c r="W102" t="e">
        <f t="shared" si="66"/>
        <v>#REF!</v>
      </c>
      <c r="X102" t="e">
        <f t="shared" si="67"/>
        <v>#REF!</v>
      </c>
      <c r="Y102" t="e">
        <f t="shared" si="68"/>
        <v>#REF!</v>
      </c>
      <c r="Z102" t="e">
        <f t="shared" si="69"/>
        <v>#REF!</v>
      </c>
      <c r="AA102" t="e">
        <f t="shared" si="70"/>
        <v>#REF!</v>
      </c>
      <c r="AD102" t="e">
        <f>Reflection!A102</f>
        <v>#REF!</v>
      </c>
      <c r="AE102" t="s">
        <v>13</v>
      </c>
      <c r="AF102" t="e">
        <f t="shared" si="71"/>
        <v>#REF!</v>
      </c>
      <c r="AG102" t="e">
        <f t="shared" si="72"/>
        <v>#REF!</v>
      </c>
      <c r="AH102" t="e">
        <f t="shared" si="73"/>
        <v>#REF!</v>
      </c>
      <c r="AI102" t="e">
        <f t="shared" si="74"/>
        <v>#REF!</v>
      </c>
      <c r="AJ102" t="e">
        <f t="shared" si="75"/>
        <v>#REF!</v>
      </c>
      <c r="AK102" t="e">
        <f t="shared" si="76"/>
        <v>#REF!</v>
      </c>
      <c r="AN102" t="e">
        <f>Reflection!A102</f>
        <v>#REF!</v>
      </c>
      <c r="AO102" t="s">
        <v>13</v>
      </c>
      <c r="AP102" t="e">
        <f t="shared" si="77"/>
        <v>#REF!</v>
      </c>
      <c r="AQ102" t="e">
        <f t="shared" si="78"/>
        <v>#REF!</v>
      </c>
      <c r="AR102" t="e">
        <f t="shared" si="79"/>
        <v>#REF!</v>
      </c>
      <c r="AS102" t="e">
        <f t="shared" si="80"/>
        <v>#REF!</v>
      </c>
      <c r="AT102" t="e">
        <f t="shared" si="81"/>
        <v>#REF!</v>
      </c>
      <c r="AU102" t="e">
        <f t="shared" si="82"/>
        <v>#REF!</v>
      </c>
      <c r="AX102" t="e">
        <f>Reflection!A102</f>
        <v>#REF!</v>
      </c>
      <c r="AY102" t="s">
        <v>13</v>
      </c>
      <c r="AZ102" t="e">
        <f t="shared" si="83"/>
        <v>#REF!</v>
      </c>
      <c r="BA102" t="e">
        <f t="shared" si="84"/>
        <v>#REF!</v>
      </c>
      <c r="BB102" t="e">
        <f t="shared" si="85"/>
        <v>#REF!</v>
      </c>
      <c r="BC102" t="e">
        <f t="shared" si="86"/>
        <v>#REF!</v>
      </c>
      <c r="BD102" t="e">
        <f t="shared" si="87"/>
        <v>#REF!</v>
      </c>
      <c r="BE102" t="e">
        <f t="shared" si="88"/>
        <v>#REF!</v>
      </c>
      <c r="BH102" t="e">
        <f>Reflection!A102</f>
        <v>#REF!</v>
      </c>
      <c r="BI102" t="e">
        <f t="shared" si="89"/>
        <v>#REF!</v>
      </c>
      <c r="BJ102" t="e">
        <f t="shared" si="90"/>
        <v>#REF!</v>
      </c>
      <c r="BK102" t="e">
        <f t="shared" si="91"/>
        <v>#REF!</v>
      </c>
      <c r="BL102" t="e">
        <f t="shared" si="92"/>
        <v>#REF!</v>
      </c>
      <c r="BM102" t="e">
        <f t="shared" si="93"/>
        <v>#REF!</v>
      </c>
      <c r="BN102" t="e">
        <f t="shared" si="94"/>
        <v>#REF!</v>
      </c>
      <c r="BR102" t="e">
        <f>Reflection!A102</f>
        <v>#REF!</v>
      </c>
      <c r="BS102" t="s">
        <v>13</v>
      </c>
      <c r="BT102" t="e">
        <f t="shared" si="95"/>
        <v>#REF!</v>
      </c>
      <c r="BU102" t="e">
        <f t="shared" si="103"/>
        <v>#REF!</v>
      </c>
      <c r="BV102" t="e">
        <f t="shared" si="96"/>
        <v>#REF!</v>
      </c>
      <c r="BW102" t="e">
        <f t="shared" si="97"/>
        <v>#REF!</v>
      </c>
      <c r="BX102" t="e">
        <f t="shared" si="98"/>
        <v>#REF!</v>
      </c>
      <c r="BY102" t="e">
        <f t="shared" si="99"/>
        <v>#REF!</v>
      </c>
    </row>
    <row r="103" spans="1:77" x14ac:dyDescent="0.15">
      <c r="A103" t="e">
        <f>Reflection!A103</f>
        <v>#REF!</v>
      </c>
      <c r="B103" t="e">
        <f t="shared" si="100"/>
        <v>#REF!</v>
      </c>
      <c r="C103" t="e">
        <f t="shared" si="101"/>
        <v>#REF!</v>
      </c>
      <c r="D103" t="e">
        <f t="shared" si="56"/>
        <v>#REF!</v>
      </c>
      <c r="E103" t="e">
        <f t="shared" si="57"/>
        <v>#REF!</v>
      </c>
      <c r="F103" t="e">
        <f t="shared" si="58"/>
        <v>#REF!</v>
      </c>
      <c r="G103" t="e">
        <f t="shared" si="102"/>
        <v>#REF!</v>
      </c>
      <c r="J103" t="e">
        <f>Reflection!A103</f>
        <v>#REF!</v>
      </c>
      <c r="K103" t="s">
        <v>13</v>
      </c>
      <c r="L103" t="e">
        <f t="shared" si="59"/>
        <v>#REF!</v>
      </c>
      <c r="M103" t="e">
        <f t="shared" si="60"/>
        <v>#REF!</v>
      </c>
      <c r="N103" t="e">
        <f t="shared" si="61"/>
        <v>#REF!</v>
      </c>
      <c r="O103" t="e">
        <f t="shared" si="62"/>
        <v>#REF!</v>
      </c>
      <c r="P103" t="e">
        <f t="shared" si="63"/>
        <v>#REF!</v>
      </c>
      <c r="Q103" t="e">
        <f t="shared" si="64"/>
        <v>#REF!</v>
      </c>
      <c r="T103" t="e">
        <f>Reflection!A103</f>
        <v>#REF!</v>
      </c>
      <c r="U103" t="s">
        <v>13</v>
      </c>
      <c r="V103" t="e">
        <f t="shared" si="65"/>
        <v>#REF!</v>
      </c>
      <c r="W103" t="e">
        <f t="shared" si="66"/>
        <v>#REF!</v>
      </c>
      <c r="X103" t="e">
        <f t="shared" si="67"/>
        <v>#REF!</v>
      </c>
      <c r="Y103" t="e">
        <f t="shared" si="68"/>
        <v>#REF!</v>
      </c>
      <c r="Z103" t="e">
        <f t="shared" si="69"/>
        <v>#REF!</v>
      </c>
      <c r="AA103" t="e">
        <f t="shared" si="70"/>
        <v>#REF!</v>
      </c>
      <c r="AD103" t="e">
        <f>Reflection!A103</f>
        <v>#REF!</v>
      </c>
      <c r="AE103" t="s">
        <v>13</v>
      </c>
      <c r="AF103" t="e">
        <f t="shared" si="71"/>
        <v>#REF!</v>
      </c>
      <c r="AG103" t="e">
        <f t="shared" si="72"/>
        <v>#REF!</v>
      </c>
      <c r="AH103" t="e">
        <f t="shared" si="73"/>
        <v>#REF!</v>
      </c>
      <c r="AI103" t="e">
        <f t="shared" si="74"/>
        <v>#REF!</v>
      </c>
      <c r="AJ103" t="e">
        <f t="shared" si="75"/>
        <v>#REF!</v>
      </c>
      <c r="AK103" t="e">
        <f t="shared" si="76"/>
        <v>#REF!</v>
      </c>
      <c r="AN103" t="e">
        <f>Reflection!A103</f>
        <v>#REF!</v>
      </c>
      <c r="AO103" t="s">
        <v>13</v>
      </c>
      <c r="AP103" t="e">
        <f t="shared" si="77"/>
        <v>#REF!</v>
      </c>
      <c r="AQ103" t="e">
        <f t="shared" si="78"/>
        <v>#REF!</v>
      </c>
      <c r="AR103" t="e">
        <f t="shared" si="79"/>
        <v>#REF!</v>
      </c>
      <c r="AS103" t="e">
        <f t="shared" si="80"/>
        <v>#REF!</v>
      </c>
      <c r="AT103" t="e">
        <f t="shared" si="81"/>
        <v>#REF!</v>
      </c>
      <c r="AU103" t="e">
        <f t="shared" si="82"/>
        <v>#REF!</v>
      </c>
      <c r="AX103" t="e">
        <f>Reflection!A103</f>
        <v>#REF!</v>
      </c>
      <c r="AY103" t="s">
        <v>13</v>
      </c>
      <c r="AZ103" t="e">
        <f t="shared" si="83"/>
        <v>#REF!</v>
      </c>
      <c r="BA103" t="e">
        <f t="shared" si="84"/>
        <v>#REF!</v>
      </c>
      <c r="BB103" t="e">
        <f t="shared" si="85"/>
        <v>#REF!</v>
      </c>
      <c r="BC103" t="e">
        <f t="shared" si="86"/>
        <v>#REF!</v>
      </c>
      <c r="BD103" t="e">
        <f t="shared" si="87"/>
        <v>#REF!</v>
      </c>
      <c r="BE103" t="e">
        <f t="shared" si="88"/>
        <v>#REF!</v>
      </c>
      <c r="BH103" t="e">
        <f>Reflection!A103</f>
        <v>#REF!</v>
      </c>
      <c r="BI103" t="e">
        <f t="shared" si="89"/>
        <v>#REF!</v>
      </c>
      <c r="BJ103" t="e">
        <f t="shared" si="90"/>
        <v>#REF!</v>
      </c>
      <c r="BK103" t="e">
        <f t="shared" si="91"/>
        <v>#REF!</v>
      </c>
      <c r="BL103" t="e">
        <f t="shared" si="92"/>
        <v>#REF!</v>
      </c>
      <c r="BM103" t="e">
        <f t="shared" si="93"/>
        <v>#REF!</v>
      </c>
      <c r="BN103" t="e">
        <f t="shared" si="94"/>
        <v>#REF!</v>
      </c>
      <c r="BR103" t="e">
        <f>Reflection!A103</f>
        <v>#REF!</v>
      </c>
      <c r="BS103" t="s">
        <v>13</v>
      </c>
      <c r="BT103" t="e">
        <f t="shared" si="95"/>
        <v>#REF!</v>
      </c>
      <c r="BU103" t="e">
        <f t="shared" si="103"/>
        <v>#REF!</v>
      </c>
      <c r="BV103" t="e">
        <f t="shared" si="96"/>
        <v>#REF!</v>
      </c>
      <c r="BW103" t="e">
        <f t="shared" si="97"/>
        <v>#REF!</v>
      </c>
      <c r="BX103" t="e">
        <f t="shared" si="98"/>
        <v>#REF!</v>
      </c>
      <c r="BY103" t="e">
        <f t="shared" si="99"/>
        <v>#REF!</v>
      </c>
    </row>
    <row r="104" spans="1:77" x14ac:dyDescent="0.15">
      <c r="A104" t="e">
        <f>Reflection!A104</f>
        <v>#REF!</v>
      </c>
      <c r="B104" t="e">
        <f t="shared" si="100"/>
        <v>#REF!</v>
      </c>
      <c r="C104" t="e">
        <f t="shared" si="101"/>
        <v>#REF!</v>
      </c>
      <c r="D104" t="e">
        <f t="shared" si="56"/>
        <v>#REF!</v>
      </c>
      <c r="E104" t="e">
        <f t="shared" si="57"/>
        <v>#REF!</v>
      </c>
      <c r="F104" t="e">
        <f t="shared" si="58"/>
        <v>#REF!</v>
      </c>
      <c r="G104" t="e">
        <f t="shared" si="102"/>
        <v>#REF!</v>
      </c>
      <c r="J104" t="e">
        <f>Reflection!A104</f>
        <v>#REF!</v>
      </c>
      <c r="K104" t="s">
        <v>13</v>
      </c>
      <c r="L104" t="e">
        <f t="shared" si="59"/>
        <v>#REF!</v>
      </c>
      <c r="M104" t="e">
        <f t="shared" si="60"/>
        <v>#REF!</v>
      </c>
      <c r="N104" t="e">
        <f t="shared" si="61"/>
        <v>#REF!</v>
      </c>
      <c r="O104" t="e">
        <f t="shared" si="62"/>
        <v>#REF!</v>
      </c>
      <c r="P104" t="e">
        <f t="shared" si="63"/>
        <v>#REF!</v>
      </c>
      <c r="Q104" t="e">
        <f t="shared" si="64"/>
        <v>#REF!</v>
      </c>
      <c r="T104" t="e">
        <f>Reflection!A104</f>
        <v>#REF!</v>
      </c>
      <c r="U104" t="s">
        <v>13</v>
      </c>
      <c r="V104" t="e">
        <f t="shared" si="65"/>
        <v>#REF!</v>
      </c>
      <c r="W104" t="e">
        <f t="shared" si="66"/>
        <v>#REF!</v>
      </c>
      <c r="X104" t="e">
        <f t="shared" si="67"/>
        <v>#REF!</v>
      </c>
      <c r="Y104" t="e">
        <f t="shared" si="68"/>
        <v>#REF!</v>
      </c>
      <c r="Z104" t="e">
        <f t="shared" si="69"/>
        <v>#REF!</v>
      </c>
      <c r="AA104" t="e">
        <f t="shared" si="70"/>
        <v>#REF!</v>
      </c>
      <c r="AD104" t="e">
        <f>Reflection!A104</f>
        <v>#REF!</v>
      </c>
      <c r="AE104" t="s">
        <v>13</v>
      </c>
      <c r="AF104" t="e">
        <f t="shared" si="71"/>
        <v>#REF!</v>
      </c>
      <c r="AG104" t="e">
        <f t="shared" si="72"/>
        <v>#REF!</v>
      </c>
      <c r="AH104" t="e">
        <f t="shared" si="73"/>
        <v>#REF!</v>
      </c>
      <c r="AI104" t="e">
        <f t="shared" si="74"/>
        <v>#REF!</v>
      </c>
      <c r="AJ104" t="e">
        <f t="shared" si="75"/>
        <v>#REF!</v>
      </c>
      <c r="AK104" t="e">
        <f t="shared" si="76"/>
        <v>#REF!</v>
      </c>
      <c r="AN104" t="e">
        <f>Reflection!A104</f>
        <v>#REF!</v>
      </c>
      <c r="AO104" t="s">
        <v>13</v>
      </c>
      <c r="AP104" t="e">
        <f t="shared" si="77"/>
        <v>#REF!</v>
      </c>
      <c r="AQ104" t="e">
        <f t="shared" si="78"/>
        <v>#REF!</v>
      </c>
      <c r="AR104" t="e">
        <f t="shared" si="79"/>
        <v>#REF!</v>
      </c>
      <c r="AS104" t="e">
        <f t="shared" si="80"/>
        <v>#REF!</v>
      </c>
      <c r="AT104" t="e">
        <f t="shared" si="81"/>
        <v>#REF!</v>
      </c>
      <c r="AU104" t="e">
        <f t="shared" si="82"/>
        <v>#REF!</v>
      </c>
      <c r="AX104" t="e">
        <f>Reflection!A104</f>
        <v>#REF!</v>
      </c>
      <c r="AY104" t="s">
        <v>13</v>
      </c>
      <c r="AZ104" t="e">
        <f t="shared" si="83"/>
        <v>#REF!</v>
      </c>
      <c r="BA104" t="e">
        <f t="shared" si="84"/>
        <v>#REF!</v>
      </c>
      <c r="BB104" t="e">
        <f t="shared" si="85"/>
        <v>#REF!</v>
      </c>
      <c r="BC104" t="e">
        <f t="shared" si="86"/>
        <v>#REF!</v>
      </c>
      <c r="BD104" t="e">
        <f t="shared" si="87"/>
        <v>#REF!</v>
      </c>
      <c r="BE104" t="e">
        <f t="shared" si="88"/>
        <v>#REF!</v>
      </c>
      <c r="BH104" t="e">
        <f>Reflection!A104</f>
        <v>#REF!</v>
      </c>
      <c r="BI104" t="e">
        <f t="shared" si="89"/>
        <v>#REF!</v>
      </c>
      <c r="BJ104" t="e">
        <f t="shared" si="90"/>
        <v>#REF!</v>
      </c>
      <c r="BK104" t="e">
        <f t="shared" si="91"/>
        <v>#REF!</v>
      </c>
      <c r="BL104" t="e">
        <f t="shared" si="92"/>
        <v>#REF!</v>
      </c>
      <c r="BM104" t="e">
        <f t="shared" si="93"/>
        <v>#REF!</v>
      </c>
      <c r="BN104" t="e">
        <f t="shared" si="94"/>
        <v>#REF!</v>
      </c>
      <c r="BR104" t="e">
        <f>Reflection!A104</f>
        <v>#REF!</v>
      </c>
      <c r="BS104" t="s">
        <v>13</v>
      </c>
      <c r="BT104" t="e">
        <f t="shared" si="95"/>
        <v>#REF!</v>
      </c>
      <c r="BU104" t="e">
        <f t="shared" si="103"/>
        <v>#REF!</v>
      </c>
      <c r="BV104" t="e">
        <f t="shared" si="96"/>
        <v>#REF!</v>
      </c>
      <c r="BW104" t="e">
        <f t="shared" si="97"/>
        <v>#REF!</v>
      </c>
      <c r="BX104" t="e">
        <f t="shared" si="98"/>
        <v>#REF!</v>
      </c>
      <c r="BY104" t="e">
        <f t="shared" si="99"/>
        <v>#REF!</v>
      </c>
    </row>
    <row r="105" spans="1:77" x14ac:dyDescent="0.15">
      <c r="A105" t="e">
        <f>Reflection!A105</f>
        <v>#REF!</v>
      </c>
      <c r="B105" t="e">
        <f t="shared" si="100"/>
        <v>#REF!</v>
      </c>
      <c r="C105" t="e">
        <f t="shared" si="101"/>
        <v>#REF!</v>
      </c>
      <c r="D105" t="e">
        <f t="shared" si="56"/>
        <v>#REF!</v>
      </c>
      <c r="E105" t="e">
        <f t="shared" si="57"/>
        <v>#REF!</v>
      </c>
      <c r="F105" t="e">
        <f t="shared" si="58"/>
        <v>#REF!</v>
      </c>
      <c r="G105" t="e">
        <f t="shared" si="102"/>
        <v>#REF!</v>
      </c>
      <c r="J105" t="e">
        <f>Reflection!A105</f>
        <v>#REF!</v>
      </c>
      <c r="K105" t="s">
        <v>13</v>
      </c>
      <c r="L105" t="e">
        <f t="shared" si="59"/>
        <v>#REF!</v>
      </c>
      <c r="M105" t="e">
        <f t="shared" si="60"/>
        <v>#REF!</v>
      </c>
      <c r="N105" t="e">
        <f t="shared" si="61"/>
        <v>#REF!</v>
      </c>
      <c r="O105" t="e">
        <f t="shared" si="62"/>
        <v>#REF!</v>
      </c>
      <c r="P105" t="e">
        <f t="shared" si="63"/>
        <v>#REF!</v>
      </c>
      <c r="Q105" t="e">
        <f t="shared" si="64"/>
        <v>#REF!</v>
      </c>
      <c r="T105" t="e">
        <f>Reflection!A105</f>
        <v>#REF!</v>
      </c>
      <c r="U105" t="s">
        <v>13</v>
      </c>
      <c r="V105" t="e">
        <f t="shared" si="65"/>
        <v>#REF!</v>
      </c>
      <c r="W105" t="e">
        <f t="shared" si="66"/>
        <v>#REF!</v>
      </c>
      <c r="X105" t="e">
        <f t="shared" si="67"/>
        <v>#REF!</v>
      </c>
      <c r="Y105" t="e">
        <f t="shared" si="68"/>
        <v>#REF!</v>
      </c>
      <c r="Z105" t="e">
        <f t="shared" si="69"/>
        <v>#REF!</v>
      </c>
      <c r="AA105" t="e">
        <f t="shared" si="70"/>
        <v>#REF!</v>
      </c>
      <c r="AD105" t="e">
        <f>Reflection!A105</f>
        <v>#REF!</v>
      </c>
      <c r="AE105" t="s">
        <v>13</v>
      </c>
      <c r="AF105" t="e">
        <f t="shared" si="71"/>
        <v>#REF!</v>
      </c>
      <c r="AG105" t="e">
        <f t="shared" si="72"/>
        <v>#REF!</v>
      </c>
      <c r="AH105" t="e">
        <f t="shared" si="73"/>
        <v>#REF!</v>
      </c>
      <c r="AI105" t="e">
        <f t="shared" si="74"/>
        <v>#REF!</v>
      </c>
      <c r="AJ105" t="e">
        <f t="shared" si="75"/>
        <v>#REF!</v>
      </c>
      <c r="AK105" t="e">
        <f t="shared" si="76"/>
        <v>#REF!</v>
      </c>
      <c r="AN105" t="e">
        <f>Reflection!A105</f>
        <v>#REF!</v>
      </c>
      <c r="AO105" t="s">
        <v>13</v>
      </c>
      <c r="AP105" t="e">
        <f t="shared" si="77"/>
        <v>#REF!</v>
      </c>
      <c r="AQ105" t="e">
        <f t="shared" si="78"/>
        <v>#REF!</v>
      </c>
      <c r="AR105" t="e">
        <f t="shared" si="79"/>
        <v>#REF!</v>
      </c>
      <c r="AS105" t="e">
        <f t="shared" si="80"/>
        <v>#REF!</v>
      </c>
      <c r="AT105" t="e">
        <f t="shared" si="81"/>
        <v>#REF!</v>
      </c>
      <c r="AU105" t="e">
        <f t="shared" si="82"/>
        <v>#REF!</v>
      </c>
      <c r="AX105" t="e">
        <f>Reflection!A105</f>
        <v>#REF!</v>
      </c>
      <c r="AY105" t="s">
        <v>13</v>
      </c>
      <c r="AZ105" t="e">
        <f t="shared" si="83"/>
        <v>#REF!</v>
      </c>
      <c r="BA105" t="e">
        <f t="shared" si="84"/>
        <v>#REF!</v>
      </c>
      <c r="BB105" t="e">
        <f t="shared" si="85"/>
        <v>#REF!</v>
      </c>
      <c r="BC105" t="e">
        <f t="shared" si="86"/>
        <v>#REF!</v>
      </c>
      <c r="BD105" t="e">
        <f t="shared" si="87"/>
        <v>#REF!</v>
      </c>
      <c r="BE105" t="e">
        <f t="shared" si="88"/>
        <v>#REF!</v>
      </c>
      <c r="BH105" t="e">
        <f>Reflection!A105</f>
        <v>#REF!</v>
      </c>
      <c r="BI105" t="e">
        <f t="shared" si="89"/>
        <v>#REF!</v>
      </c>
      <c r="BJ105" t="e">
        <f t="shared" si="90"/>
        <v>#REF!</v>
      </c>
      <c r="BK105" t="e">
        <f t="shared" si="91"/>
        <v>#REF!</v>
      </c>
      <c r="BL105" t="e">
        <f t="shared" si="92"/>
        <v>#REF!</v>
      </c>
      <c r="BM105" t="e">
        <f t="shared" si="93"/>
        <v>#REF!</v>
      </c>
      <c r="BN105" t="e">
        <f t="shared" si="94"/>
        <v>#REF!</v>
      </c>
      <c r="BR105" t="e">
        <f>Reflection!A105</f>
        <v>#REF!</v>
      </c>
      <c r="BS105" t="s">
        <v>13</v>
      </c>
      <c r="BT105" t="e">
        <f t="shared" si="95"/>
        <v>#REF!</v>
      </c>
      <c r="BU105" t="e">
        <f t="shared" si="103"/>
        <v>#REF!</v>
      </c>
      <c r="BV105" t="e">
        <f t="shared" si="96"/>
        <v>#REF!</v>
      </c>
      <c r="BW105" t="e">
        <f t="shared" si="97"/>
        <v>#REF!</v>
      </c>
      <c r="BX105" t="e">
        <f t="shared" si="98"/>
        <v>#REF!</v>
      </c>
      <c r="BY105" t="e">
        <f t="shared" si="99"/>
        <v>#REF!</v>
      </c>
    </row>
    <row r="106" spans="1:77" x14ac:dyDescent="0.15">
      <c r="A106" t="e">
        <f>Reflection!A106</f>
        <v>#REF!</v>
      </c>
      <c r="B106" t="e">
        <f t="shared" si="100"/>
        <v>#REF!</v>
      </c>
      <c r="C106" t="e">
        <f t="shared" si="101"/>
        <v>#REF!</v>
      </c>
      <c r="D106" t="e">
        <f t="shared" si="56"/>
        <v>#REF!</v>
      </c>
      <c r="E106" t="e">
        <f t="shared" si="57"/>
        <v>#REF!</v>
      </c>
      <c r="F106" t="e">
        <f t="shared" si="58"/>
        <v>#REF!</v>
      </c>
      <c r="G106" t="e">
        <f t="shared" si="102"/>
        <v>#REF!</v>
      </c>
      <c r="J106" t="e">
        <f>Reflection!A106</f>
        <v>#REF!</v>
      </c>
      <c r="K106" t="s">
        <v>13</v>
      </c>
      <c r="L106" t="e">
        <f t="shared" si="59"/>
        <v>#REF!</v>
      </c>
      <c r="M106" t="e">
        <f t="shared" si="60"/>
        <v>#REF!</v>
      </c>
      <c r="N106" t="e">
        <f t="shared" si="61"/>
        <v>#REF!</v>
      </c>
      <c r="O106" t="e">
        <f t="shared" si="62"/>
        <v>#REF!</v>
      </c>
      <c r="P106" t="e">
        <f t="shared" si="63"/>
        <v>#REF!</v>
      </c>
      <c r="Q106" t="e">
        <f t="shared" si="64"/>
        <v>#REF!</v>
      </c>
      <c r="T106" t="e">
        <f>Reflection!A106</f>
        <v>#REF!</v>
      </c>
      <c r="U106" t="s">
        <v>13</v>
      </c>
      <c r="V106" t="e">
        <f t="shared" si="65"/>
        <v>#REF!</v>
      </c>
      <c r="W106" t="e">
        <f t="shared" si="66"/>
        <v>#REF!</v>
      </c>
      <c r="X106" t="e">
        <f t="shared" si="67"/>
        <v>#REF!</v>
      </c>
      <c r="Y106" t="e">
        <f t="shared" si="68"/>
        <v>#REF!</v>
      </c>
      <c r="Z106" t="e">
        <f t="shared" si="69"/>
        <v>#REF!</v>
      </c>
      <c r="AA106" t="e">
        <f t="shared" si="70"/>
        <v>#REF!</v>
      </c>
      <c r="AD106" t="e">
        <f>Reflection!A106</f>
        <v>#REF!</v>
      </c>
      <c r="AE106" t="s">
        <v>13</v>
      </c>
      <c r="AF106" t="e">
        <f t="shared" si="71"/>
        <v>#REF!</v>
      </c>
      <c r="AG106" t="e">
        <f t="shared" si="72"/>
        <v>#REF!</v>
      </c>
      <c r="AH106" t="e">
        <f t="shared" si="73"/>
        <v>#REF!</v>
      </c>
      <c r="AI106" t="e">
        <f t="shared" si="74"/>
        <v>#REF!</v>
      </c>
      <c r="AJ106" t="e">
        <f t="shared" si="75"/>
        <v>#REF!</v>
      </c>
      <c r="AK106" t="e">
        <f t="shared" si="76"/>
        <v>#REF!</v>
      </c>
      <c r="AN106" t="e">
        <f>Reflection!A106</f>
        <v>#REF!</v>
      </c>
      <c r="AO106" t="s">
        <v>13</v>
      </c>
      <c r="AP106" t="e">
        <f t="shared" si="77"/>
        <v>#REF!</v>
      </c>
      <c r="AQ106" t="e">
        <f t="shared" si="78"/>
        <v>#REF!</v>
      </c>
      <c r="AR106" t="e">
        <f t="shared" si="79"/>
        <v>#REF!</v>
      </c>
      <c r="AS106" t="e">
        <f t="shared" si="80"/>
        <v>#REF!</v>
      </c>
      <c r="AT106" t="e">
        <f t="shared" si="81"/>
        <v>#REF!</v>
      </c>
      <c r="AU106" t="e">
        <f t="shared" si="82"/>
        <v>#REF!</v>
      </c>
      <c r="AX106" t="e">
        <f>Reflection!A106</f>
        <v>#REF!</v>
      </c>
      <c r="AY106" t="s">
        <v>13</v>
      </c>
      <c r="AZ106" t="e">
        <f t="shared" si="83"/>
        <v>#REF!</v>
      </c>
      <c r="BA106" t="e">
        <f t="shared" si="84"/>
        <v>#REF!</v>
      </c>
      <c r="BB106" t="e">
        <f t="shared" si="85"/>
        <v>#REF!</v>
      </c>
      <c r="BC106" t="e">
        <f t="shared" si="86"/>
        <v>#REF!</v>
      </c>
      <c r="BD106" t="e">
        <f t="shared" si="87"/>
        <v>#REF!</v>
      </c>
      <c r="BE106" t="e">
        <f t="shared" si="88"/>
        <v>#REF!</v>
      </c>
      <c r="BH106" t="e">
        <f>Reflection!A106</f>
        <v>#REF!</v>
      </c>
      <c r="BI106" t="e">
        <f t="shared" si="89"/>
        <v>#REF!</v>
      </c>
      <c r="BJ106" t="e">
        <f t="shared" si="90"/>
        <v>#REF!</v>
      </c>
      <c r="BK106" t="e">
        <f t="shared" si="91"/>
        <v>#REF!</v>
      </c>
      <c r="BL106" t="e">
        <f t="shared" si="92"/>
        <v>#REF!</v>
      </c>
      <c r="BM106" t="e">
        <f t="shared" si="93"/>
        <v>#REF!</v>
      </c>
      <c r="BN106" t="e">
        <f t="shared" si="94"/>
        <v>#REF!</v>
      </c>
      <c r="BR106" t="e">
        <f>Reflection!A106</f>
        <v>#REF!</v>
      </c>
      <c r="BS106" t="s">
        <v>13</v>
      </c>
      <c r="BT106" t="e">
        <f t="shared" si="95"/>
        <v>#REF!</v>
      </c>
      <c r="BU106" t="e">
        <f t="shared" si="103"/>
        <v>#REF!</v>
      </c>
      <c r="BV106" t="e">
        <f t="shared" si="96"/>
        <v>#REF!</v>
      </c>
      <c r="BW106" t="e">
        <f t="shared" si="97"/>
        <v>#REF!</v>
      </c>
      <c r="BX106" t="e">
        <f t="shared" si="98"/>
        <v>#REF!</v>
      </c>
      <c r="BY106" t="e">
        <f t="shared" si="99"/>
        <v>#REF!</v>
      </c>
    </row>
    <row r="107" spans="1:77" x14ac:dyDescent="0.15">
      <c r="A107" t="e">
        <f>Reflection!A107</f>
        <v>#REF!</v>
      </c>
      <c r="B107" t="e">
        <f t="shared" si="100"/>
        <v>#REF!</v>
      </c>
      <c r="C107" t="e">
        <f t="shared" si="101"/>
        <v>#REF!</v>
      </c>
      <c r="D107" t="e">
        <f t="shared" si="56"/>
        <v>#REF!</v>
      </c>
      <c r="E107" t="e">
        <f t="shared" si="57"/>
        <v>#REF!</v>
      </c>
      <c r="F107" t="e">
        <f t="shared" si="58"/>
        <v>#REF!</v>
      </c>
      <c r="G107" t="e">
        <f t="shared" si="102"/>
        <v>#REF!</v>
      </c>
      <c r="J107" t="e">
        <f>Reflection!A107</f>
        <v>#REF!</v>
      </c>
      <c r="K107" t="s">
        <v>13</v>
      </c>
      <c r="L107" t="e">
        <f t="shared" si="59"/>
        <v>#REF!</v>
      </c>
      <c r="M107" t="e">
        <f t="shared" si="60"/>
        <v>#REF!</v>
      </c>
      <c r="N107" t="e">
        <f t="shared" si="61"/>
        <v>#REF!</v>
      </c>
      <c r="O107" t="e">
        <f t="shared" si="62"/>
        <v>#REF!</v>
      </c>
      <c r="P107" t="e">
        <f t="shared" si="63"/>
        <v>#REF!</v>
      </c>
      <c r="Q107" t="e">
        <f t="shared" si="64"/>
        <v>#REF!</v>
      </c>
      <c r="T107" t="e">
        <f>Reflection!A107</f>
        <v>#REF!</v>
      </c>
      <c r="U107" t="s">
        <v>13</v>
      </c>
      <c r="V107" t="e">
        <f t="shared" si="65"/>
        <v>#REF!</v>
      </c>
      <c r="W107" t="e">
        <f t="shared" si="66"/>
        <v>#REF!</v>
      </c>
      <c r="X107" t="e">
        <f t="shared" si="67"/>
        <v>#REF!</v>
      </c>
      <c r="Y107" t="e">
        <f t="shared" si="68"/>
        <v>#REF!</v>
      </c>
      <c r="Z107" t="e">
        <f t="shared" si="69"/>
        <v>#REF!</v>
      </c>
      <c r="AA107" t="e">
        <f t="shared" si="70"/>
        <v>#REF!</v>
      </c>
      <c r="AD107" t="e">
        <f>Reflection!A107</f>
        <v>#REF!</v>
      </c>
      <c r="AE107" t="s">
        <v>13</v>
      </c>
      <c r="AF107" t="e">
        <f t="shared" si="71"/>
        <v>#REF!</v>
      </c>
      <c r="AG107" t="e">
        <f t="shared" si="72"/>
        <v>#REF!</v>
      </c>
      <c r="AH107" t="e">
        <f t="shared" si="73"/>
        <v>#REF!</v>
      </c>
      <c r="AI107" t="e">
        <f t="shared" si="74"/>
        <v>#REF!</v>
      </c>
      <c r="AJ107" t="e">
        <f t="shared" si="75"/>
        <v>#REF!</v>
      </c>
      <c r="AK107" t="e">
        <f t="shared" si="76"/>
        <v>#REF!</v>
      </c>
      <c r="AN107" t="e">
        <f>Reflection!A107</f>
        <v>#REF!</v>
      </c>
      <c r="AO107" t="s">
        <v>13</v>
      </c>
      <c r="AP107" t="e">
        <f t="shared" si="77"/>
        <v>#REF!</v>
      </c>
      <c r="AQ107" t="e">
        <f t="shared" si="78"/>
        <v>#REF!</v>
      </c>
      <c r="AR107" t="e">
        <f t="shared" si="79"/>
        <v>#REF!</v>
      </c>
      <c r="AS107" t="e">
        <f t="shared" si="80"/>
        <v>#REF!</v>
      </c>
      <c r="AT107" t="e">
        <f t="shared" si="81"/>
        <v>#REF!</v>
      </c>
      <c r="AU107" t="e">
        <f t="shared" si="82"/>
        <v>#REF!</v>
      </c>
      <c r="AX107" t="e">
        <f>Reflection!A107</f>
        <v>#REF!</v>
      </c>
      <c r="AY107" t="s">
        <v>13</v>
      </c>
      <c r="AZ107" t="e">
        <f t="shared" si="83"/>
        <v>#REF!</v>
      </c>
      <c r="BA107" t="e">
        <f t="shared" si="84"/>
        <v>#REF!</v>
      </c>
      <c r="BB107" t="e">
        <f t="shared" si="85"/>
        <v>#REF!</v>
      </c>
      <c r="BC107" t="e">
        <f t="shared" si="86"/>
        <v>#REF!</v>
      </c>
      <c r="BD107" t="e">
        <f t="shared" si="87"/>
        <v>#REF!</v>
      </c>
      <c r="BE107" t="e">
        <f t="shared" si="88"/>
        <v>#REF!</v>
      </c>
      <c r="BH107" t="e">
        <f>Reflection!A107</f>
        <v>#REF!</v>
      </c>
      <c r="BI107" t="e">
        <f t="shared" si="89"/>
        <v>#REF!</v>
      </c>
      <c r="BJ107" t="e">
        <f t="shared" si="90"/>
        <v>#REF!</v>
      </c>
      <c r="BK107" t="e">
        <f t="shared" si="91"/>
        <v>#REF!</v>
      </c>
      <c r="BL107" t="e">
        <f t="shared" si="92"/>
        <v>#REF!</v>
      </c>
      <c r="BM107" t="e">
        <f t="shared" si="93"/>
        <v>#REF!</v>
      </c>
      <c r="BN107" t="e">
        <f t="shared" si="94"/>
        <v>#REF!</v>
      </c>
      <c r="BR107" t="e">
        <f>Reflection!A107</f>
        <v>#REF!</v>
      </c>
      <c r="BS107" t="s">
        <v>13</v>
      </c>
      <c r="BT107" t="e">
        <f t="shared" si="95"/>
        <v>#REF!</v>
      </c>
      <c r="BU107" t="e">
        <f t="shared" si="103"/>
        <v>#REF!</v>
      </c>
      <c r="BV107" t="e">
        <f t="shared" si="96"/>
        <v>#REF!</v>
      </c>
      <c r="BW107" t="e">
        <f t="shared" si="97"/>
        <v>#REF!</v>
      </c>
      <c r="BX107" t="e">
        <f t="shared" si="98"/>
        <v>#REF!</v>
      </c>
      <c r="BY107" t="e">
        <f t="shared" si="99"/>
        <v>#REF!</v>
      </c>
    </row>
    <row r="108" spans="1:77" x14ac:dyDescent="0.15">
      <c r="A108" t="e">
        <f>Reflection!A108</f>
        <v>#REF!</v>
      </c>
      <c r="B108" t="e">
        <f t="shared" si="100"/>
        <v>#REF!</v>
      </c>
      <c r="C108" t="e">
        <f t="shared" si="101"/>
        <v>#REF!</v>
      </c>
      <c r="D108" t="e">
        <f t="shared" si="56"/>
        <v>#REF!</v>
      </c>
      <c r="E108" t="e">
        <f t="shared" si="57"/>
        <v>#REF!</v>
      </c>
      <c r="F108" t="e">
        <f t="shared" si="58"/>
        <v>#REF!</v>
      </c>
      <c r="G108" t="e">
        <f t="shared" si="102"/>
        <v>#REF!</v>
      </c>
      <c r="J108" t="e">
        <f>Reflection!A108</f>
        <v>#REF!</v>
      </c>
      <c r="K108" t="s">
        <v>13</v>
      </c>
      <c r="L108" t="e">
        <f t="shared" si="59"/>
        <v>#REF!</v>
      </c>
      <c r="M108" t="e">
        <f t="shared" si="60"/>
        <v>#REF!</v>
      </c>
      <c r="N108" t="e">
        <f t="shared" si="61"/>
        <v>#REF!</v>
      </c>
      <c r="O108" t="e">
        <f t="shared" si="62"/>
        <v>#REF!</v>
      </c>
      <c r="P108" t="e">
        <f t="shared" si="63"/>
        <v>#REF!</v>
      </c>
      <c r="Q108" t="e">
        <f t="shared" si="64"/>
        <v>#REF!</v>
      </c>
      <c r="T108" t="e">
        <f>Reflection!A108</f>
        <v>#REF!</v>
      </c>
      <c r="U108" t="s">
        <v>13</v>
      </c>
      <c r="V108" t="e">
        <f t="shared" si="65"/>
        <v>#REF!</v>
      </c>
      <c r="W108" t="e">
        <f t="shared" si="66"/>
        <v>#REF!</v>
      </c>
      <c r="X108" t="e">
        <f t="shared" si="67"/>
        <v>#REF!</v>
      </c>
      <c r="Y108" t="e">
        <f t="shared" si="68"/>
        <v>#REF!</v>
      </c>
      <c r="Z108" t="e">
        <f t="shared" si="69"/>
        <v>#REF!</v>
      </c>
      <c r="AA108" t="e">
        <f t="shared" si="70"/>
        <v>#REF!</v>
      </c>
      <c r="AD108" t="e">
        <f>Reflection!A108</f>
        <v>#REF!</v>
      </c>
      <c r="AE108" t="s">
        <v>13</v>
      </c>
      <c r="AF108" t="e">
        <f t="shared" si="71"/>
        <v>#REF!</v>
      </c>
      <c r="AG108" t="e">
        <f t="shared" si="72"/>
        <v>#REF!</v>
      </c>
      <c r="AH108" t="e">
        <f t="shared" si="73"/>
        <v>#REF!</v>
      </c>
      <c r="AI108" t="e">
        <f t="shared" si="74"/>
        <v>#REF!</v>
      </c>
      <c r="AJ108" t="e">
        <f t="shared" si="75"/>
        <v>#REF!</v>
      </c>
      <c r="AK108" t="e">
        <f t="shared" si="76"/>
        <v>#REF!</v>
      </c>
      <c r="AN108" t="e">
        <f>Reflection!A108</f>
        <v>#REF!</v>
      </c>
      <c r="AO108" t="s">
        <v>13</v>
      </c>
      <c r="AP108" t="e">
        <f t="shared" si="77"/>
        <v>#REF!</v>
      </c>
      <c r="AQ108" t="e">
        <f t="shared" si="78"/>
        <v>#REF!</v>
      </c>
      <c r="AR108" t="e">
        <f t="shared" si="79"/>
        <v>#REF!</v>
      </c>
      <c r="AS108" t="e">
        <f t="shared" si="80"/>
        <v>#REF!</v>
      </c>
      <c r="AT108" t="e">
        <f t="shared" si="81"/>
        <v>#REF!</v>
      </c>
      <c r="AU108" t="e">
        <f t="shared" si="82"/>
        <v>#REF!</v>
      </c>
      <c r="AX108" t="e">
        <f>Reflection!A108</f>
        <v>#REF!</v>
      </c>
      <c r="AY108" t="s">
        <v>13</v>
      </c>
      <c r="AZ108" t="e">
        <f t="shared" si="83"/>
        <v>#REF!</v>
      </c>
      <c r="BA108" t="e">
        <f t="shared" si="84"/>
        <v>#REF!</v>
      </c>
      <c r="BB108" t="e">
        <f t="shared" si="85"/>
        <v>#REF!</v>
      </c>
      <c r="BC108" t="e">
        <f t="shared" si="86"/>
        <v>#REF!</v>
      </c>
      <c r="BD108" t="e">
        <f t="shared" si="87"/>
        <v>#REF!</v>
      </c>
      <c r="BE108" t="e">
        <f t="shared" si="88"/>
        <v>#REF!</v>
      </c>
      <c r="BH108" t="e">
        <f>Reflection!A108</f>
        <v>#REF!</v>
      </c>
      <c r="BI108" t="e">
        <f t="shared" si="89"/>
        <v>#REF!</v>
      </c>
      <c r="BJ108" t="e">
        <f t="shared" si="90"/>
        <v>#REF!</v>
      </c>
      <c r="BK108" t="e">
        <f t="shared" si="91"/>
        <v>#REF!</v>
      </c>
      <c r="BL108" t="e">
        <f t="shared" si="92"/>
        <v>#REF!</v>
      </c>
      <c r="BM108" t="e">
        <f t="shared" si="93"/>
        <v>#REF!</v>
      </c>
      <c r="BN108" t="e">
        <f t="shared" si="94"/>
        <v>#REF!</v>
      </c>
      <c r="BR108" t="e">
        <f>Reflection!A108</f>
        <v>#REF!</v>
      </c>
      <c r="BS108" t="s">
        <v>13</v>
      </c>
      <c r="BT108" t="e">
        <f t="shared" si="95"/>
        <v>#REF!</v>
      </c>
      <c r="BU108" t="e">
        <f t="shared" si="103"/>
        <v>#REF!</v>
      </c>
      <c r="BV108" t="e">
        <f t="shared" si="96"/>
        <v>#REF!</v>
      </c>
      <c r="BW108" t="e">
        <f t="shared" si="97"/>
        <v>#REF!</v>
      </c>
      <c r="BX108" t="e">
        <f t="shared" si="98"/>
        <v>#REF!</v>
      </c>
      <c r="BY108" t="e">
        <f t="shared" si="99"/>
        <v>#REF!</v>
      </c>
    </row>
    <row r="109" spans="1:77" x14ac:dyDescent="0.15">
      <c r="A109" t="e">
        <f>Reflection!A109</f>
        <v>#REF!</v>
      </c>
      <c r="B109" t="e">
        <f t="shared" si="100"/>
        <v>#REF!</v>
      </c>
      <c r="C109" t="e">
        <f t="shared" si="101"/>
        <v>#REF!</v>
      </c>
      <c r="D109" t="e">
        <f t="shared" si="56"/>
        <v>#REF!</v>
      </c>
      <c r="E109" t="e">
        <f t="shared" si="57"/>
        <v>#REF!</v>
      </c>
      <c r="F109" t="e">
        <f t="shared" si="58"/>
        <v>#REF!</v>
      </c>
      <c r="G109" t="e">
        <f t="shared" si="102"/>
        <v>#REF!</v>
      </c>
      <c r="J109" t="e">
        <f>Reflection!A109</f>
        <v>#REF!</v>
      </c>
      <c r="K109" t="s">
        <v>13</v>
      </c>
      <c r="L109" t="e">
        <f t="shared" si="59"/>
        <v>#REF!</v>
      </c>
      <c r="M109" t="e">
        <f t="shared" si="60"/>
        <v>#REF!</v>
      </c>
      <c r="N109" t="e">
        <f t="shared" si="61"/>
        <v>#REF!</v>
      </c>
      <c r="O109" t="e">
        <f t="shared" si="62"/>
        <v>#REF!</v>
      </c>
      <c r="P109" t="e">
        <f t="shared" si="63"/>
        <v>#REF!</v>
      </c>
      <c r="Q109" t="e">
        <f t="shared" si="64"/>
        <v>#REF!</v>
      </c>
      <c r="T109" t="e">
        <f>Reflection!A109</f>
        <v>#REF!</v>
      </c>
      <c r="U109" t="s">
        <v>13</v>
      </c>
      <c r="V109" t="e">
        <f t="shared" si="65"/>
        <v>#REF!</v>
      </c>
      <c r="W109" t="e">
        <f t="shared" si="66"/>
        <v>#REF!</v>
      </c>
      <c r="X109" t="e">
        <f t="shared" si="67"/>
        <v>#REF!</v>
      </c>
      <c r="Y109" t="e">
        <f t="shared" si="68"/>
        <v>#REF!</v>
      </c>
      <c r="Z109" t="e">
        <f t="shared" si="69"/>
        <v>#REF!</v>
      </c>
      <c r="AA109" t="e">
        <f t="shared" si="70"/>
        <v>#REF!</v>
      </c>
      <c r="AD109" t="e">
        <f>Reflection!A109</f>
        <v>#REF!</v>
      </c>
      <c r="AE109" t="s">
        <v>13</v>
      </c>
      <c r="AF109" t="e">
        <f t="shared" si="71"/>
        <v>#REF!</v>
      </c>
      <c r="AG109" t="e">
        <f t="shared" si="72"/>
        <v>#REF!</v>
      </c>
      <c r="AH109" t="e">
        <f t="shared" si="73"/>
        <v>#REF!</v>
      </c>
      <c r="AI109" t="e">
        <f t="shared" si="74"/>
        <v>#REF!</v>
      </c>
      <c r="AJ109" t="e">
        <f t="shared" si="75"/>
        <v>#REF!</v>
      </c>
      <c r="AK109" t="e">
        <f t="shared" si="76"/>
        <v>#REF!</v>
      </c>
      <c r="AN109" t="e">
        <f>Reflection!A109</f>
        <v>#REF!</v>
      </c>
      <c r="AO109" t="s">
        <v>13</v>
      </c>
      <c r="AP109" t="e">
        <f t="shared" si="77"/>
        <v>#REF!</v>
      </c>
      <c r="AQ109" t="e">
        <f t="shared" si="78"/>
        <v>#REF!</v>
      </c>
      <c r="AR109" t="e">
        <f t="shared" si="79"/>
        <v>#REF!</v>
      </c>
      <c r="AS109" t="e">
        <f t="shared" si="80"/>
        <v>#REF!</v>
      </c>
      <c r="AT109" t="e">
        <f t="shared" si="81"/>
        <v>#REF!</v>
      </c>
      <c r="AU109" t="e">
        <f t="shared" si="82"/>
        <v>#REF!</v>
      </c>
      <c r="AX109" t="e">
        <f>Reflection!A109</f>
        <v>#REF!</v>
      </c>
      <c r="AY109" t="s">
        <v>13</v>
      </c>
      <c r="AZ109" t="e">
        <f t="shared" si="83"/>
        <v>#REF!</v>
      </c>
      <c r="BA109" t="e">
        <f t="shared" si="84"/>
        <v>#REF!</v>
      </c>
      <c r="BB109" t="e">
        <f t="shared" si="85"/>
        <v>#REF!</v>
      </c>
      <c r="BC109" t="e">
        <f t="shared" si="86"/>
        <v>#REF!</v>
      </c>
      <c r="BD109" t="e">
        <f t="shared" si="87"/>
        <v>#REF!</v>
      </c>
      <c r="BE109" t="e">
        <f t="shared" si="88"/>
        <v>#REF!</v>
      </c>
      <c r="BH109" t="e">
        <f>Reflection!A109</f>
        <v>#REF!</v>
      </c>
      <c r="BI109" t="e">
        <f t="shared" si="89"/>
        <v>#REF!</v>
      </c>
      <c r="BJ109" t="e">
        <f t="shared" si="90"/>
        <v>#REF!</v>
      </c>
      <c r="BK109" t="e">
        <f t="shared" si="91"/>
        <v>#REF!</v>
      </c>
      <c r="BL109" t="e">
        <f t="shared" si="92"/>
        <v>#REF!</v>
      </c>
      <c r="BM109" t="e">
        <f t="shared" si="93"/>
        <v>#REF!</v>
      </c>
      <c r="BN109" t="e">
        <f t="shared" si="94"/>
        <v>#REF!</v>
      </c>
      <c r="BR109" t="e">
        <f>Reflection!A109</f>
        <v>#REF!</v>
      </c>
      <c r="BS109" t="s">
        <v>13</v>
      </c>
      <c r="BT109" t="e">
        <f t="shared" si="95"/>
        <v>#REF!</v>
      </c>
      <c r="BU109" t="e">
        <f t="shared" si="103"/>
        <v>#REF!</v>
      </c>
      <c r="BV109" t="e">
        <f t="shared" si="96"/>
        <v>#REF!</v>
      </c>
      <c r="BW109" t="e">
        <f t="shared" si="97"/>
        <v>#REF!</v>
      </c>
      <c r="BX109" t="e">
        <f t="shared" si="98"/>
        <v>#REF!</v>
      </c>
      <c r="BY109" t="e">
        <f t="shared" si="99"/>
        <v>#REF!</v>
      </c>
    </row>
    <row r="110" spans="1:77" x14ac:dyDescent="0.15">
      <c r="A110" t="e">
        <f>Reflection!A110</f>
        <v>#REF!</v>
      </c>
      <c r="B110" t="e">
        <f t="shared" si="100"/>
        <v>#REF!</v>
      </c>
      <c r="C110" t="e">
        <f t="shared" si="101"/>
        <v>#REF!</v>
      </c>
      <c r="D110" t="e">
        <f t="shared" si="56"/>
        <v>#REF!</v>
      </c>
      <c r="E110" t="e">
        <f t="shared" si="57"/>
        <v>#REF!</v>
      </c>
      <c r="F110" t="e">
        <f t="shared" si="58"/>
        <v>#REF!</v>
      </c>
      <c r="G110" t="e">
        <f t="shared" si="102"/>
        <v>#REF!</v>
      </c>
      <c r="J110" t="e">
        <f>Reflection!A110</f>
        <v>#REF!</v>
      </c>
      <c r="K110" t="s">
        <v>13</v>
      </c>
      <c r="L110" t="e">
        <f t="shared" si="59"/>
        <v>#REF!</v>
      </c>
      <c r="M110" t="e">
        <f t="shared" si="60"/>
        <v>#REF!</v>
      </c>
      <c r="N110" t="e">
        <f t="shared" si="61"/>
        <v>#REF!</v>
      </c>
      <c r="O110" t="e">
        <f t="shared" si="62"/>
        <v>#REF!</v>
      </c>
      <c r="P110" t="e">
        <f t="shared" si="63"/>
        <v>#REF!</v>
      </c>
      <c r="Q110" t="e">
        <f t="shared" si="64"/>
        <v>#REF!</v>
      </c>
      <c r="T110" t="e">
        <f>Reflection!A110</f>
        <v>#REF!</v>
      </c>
      <c r="U110" t="s">
        <v>13</v>
      </c>
      <c r="V110" t="e">
        <f t="shared" si="65"/>
        <v>#REF!</v>
      </c>
      <c r="W110" t="e">
        <f t="shared" si="66"/>
        <v>#REF!</v>
      </c>
      <c r="X110" t="e">
        <f t="shared" si="67"/>
        <v>#REF!</v>
      </c>
      <c r="Y110" t="e">
        <f t="shared" si="68"/>
        <v>#REF!</v>
      </c>
      <c r="Z110" t="e">
        <f t="shared" si="69"/>
        <v>#REF!</v>
      </c>
      <c r="AA110" t="e">
        <f t="shared" si="70"/>
        <v>#REF!</v>
      </c>
      <c r="AD110" t="e">
        <f>Reflection!A110</f>
        <v>#REF!</v>
      </c>
      <c r="AE110" t="s">
        <v>13</v>
      </c>
      <c r="AF110" t="e">
        <f t="shared" si="71"/>
        <v>#REF!</v>
      </c>
      <c r="AG110" t="e">
        <f t="shared" si="72"/>
        <v>#REF!</v>
      </c>
      <c r="AH110" t="e">
        <f t="shared" si="73"/>
        <v>#REF!</v>
      </c>
      <c r="AI110" t="e">
        <f t="shared" si="74"/>
        <v>#REF!</v>
      </c>
      <c r="AJ110" t="e">
        <f t="shared" si="75"/>
        <v>#REF!</v>
      </c>
      <c r="AK110" t="e">
        <f t="shared" si="76"/>
        <v>#REF!</v>
      </c>
      <c r="AN110" t="e">
        <f>Reflection!A110</f>
        <v>#REF!</v>
      </c>
      <c r="AO110" t="s">
        <v>13</v>
      </c>
      <c r="AP110" t="e">
        <f t="shared" si="77"/>
        <v>#REF!</v>
      </c>
      <c r="AQ110" t="e">
        <f t="shared" si="78"/>
        <v>#REF!</v>
      </c>
      <c r="AR110" t="e">
        <f t="shared" si="79"/>
        <v>#REF!</v>
      </c>
      <c r="AS110" t="e">
        <f t="shared" si="80"/>
        <v>#REF!</v>
      </c>
      <c r="AT110" t="e">
        <f t="shared" si="81"/>
        <v>#REF!</v>
      </c>
      <c r="AU110" t="e">
        <f t="shared" si="82"/>
        <v>#REF!</v>
      </c>
      <c r="AX110" t="e">
        <f>Reflection!A110</f>
        <v>#REF!</v>
      </c>
      <c r="AY110" t="s">
        <v>13</v>
      </c>
      <c r="AZ110" t="e">
        <f t="shared" si="83"/>
        <v>#REF!</v>
      </c>
      <c r="BA110" t="e">
        <f t="shared" si="84"/>
        <v>#REF!</v>
      </c>
      <c r="BB110" t="e">
        <f t="shared" si="85"/>
        <v>#REF!</v>
      </c>
      <c r="BC110" t="e">
        <f t="shared" si="86"/>
        <v>#REF!</v>
      </c>
      <c r="BD110" t="e">
        <f t="shared" si="87"/>
        <v>#REF!</v>
      </c>
      <c r="BE110" t="e">
        <f t="shared" si="88"/>
        <v>#REF!</v>
      </c>
      <c r="BH110" t="e">
        <f>Reflection!A110</f>
        <v>#REF!</v>
      </c>
      <c r="BI110" t="e">
        <f t="shared" si="89"/>
        <v>#REF!</v>
      </c>
      <c r="BJ110" t="e">
        <f t="shared" si="90"/>
        <v>#REF!</v>
      </c>
      <c r="BK110" t="e">
        <f t="shared" si="91"/>
        <v>#REF!</v>
      </c>
      <c r="BL110" t="e">
        <f t="shared" si="92"/>
        <v>#REF!</v>
      </c>
      <c r="BM110" t="e">
        <f t="shared" si="93"/>
        <v>#REF!</v>
      </c>
      <c r="BN110" t="e">
        <f t="shared" si="94"/>
        <v>#REF!</v>
      </c>
      <c r="BR110" t="e">
        <f>Reflection!A110</f>
        <v>#REF!</v>
      </c>
      <c r="BS110" t="s">
        <v>13</v>
      </c>
      <c r="BT110" t="e">
        <f t="shared" si="95"/>
        <v>#REF!</v>
      </c>
      <c r="BU110" t="e">
        <f t="shared" si="103"/>
        <v>#REF!</v>
      </c>
      <c r="BV110" t="e">
        <f t="shared" si="96"/>
        <v>#REF!</v>
      </c>
      <c r="BW110" t="e">
        <f t="shared" si="97"/>
        <v>#REF!</v>
      </c>
      <c r="BX110" t="e">
        <f t="shared" si="98"/>
        <v>#REF!</v>
      </c>
      <c r="BY110" t="e">
        <f t="shared" si="99"/>
        <v>#REF!</v>
      </c>
    </row>
    <row r="111" spans="1:77" x14ac:dyDescent="0.15">
      <c r="A111" t="e">
        <f>Reflection!A111</f>
        <v>#REF!</v>
      </c>
      <c r="B111" t="e">
        <f t="shared" si="100"/>
        <v>#REF!</v>
      </c>
      <c r="C111" t="e">
        <f t="shared" si="101"/>
        <v>#REF!</v>
      </c>
      <c r="D111" t="e">
        <f t="shared" si="56"/>
        <v>#REF!</v>
      </c>
      <c r="E111" t="e">
        <f t="shared" si="57"/>
        <v>#REF!</v>
      </c>
      <c r="F111" t="e">
        <f t="shared" si="58"/>
        <v>#REF!</v>
      </c>
      <c r="G111" t="e">
        <f t="shared" si="102"/>
        <v>#REF!</v>
      </c>
      <c r="J111" t="e">
        <f>Reflection!A111</f>
        <v>#REF!</v>
      </c>
      <c r="K111" t="s">
        <v>13</v>
      </c>
      <c r="L111" t="e">
        <f t="shared" si="59"/>
        <v>#REF!</v>
      </c>
      <c r="M111" t="e">
        <f t="shared" si="60"/>
        <v>#REF!</v>
      </c>
      <c r="N111" t="e">
        <f t="shared" si="61"/>
        <v>#REF!</v>
      </c>
      <c r="O111" t="e">
        <f t="shared" si="62"/>
        <v>#REF!</v>
      </c>
      <c r="P111" t="e">
        <f t="shared" si="63"/>
        <v>#REF!</v>
      </c>
      <c r="Q111" t="e">
        <f t="shared" si="64"/>
        <v>#REF!</v>
      </c>
      <c r="T111" t="e">
        <f>Reflection!A111</f>
        <v>#REF!</v>
      </c>
      <c r="U111" t="s">
        <v>13</v>
      </c>
      <c r="V111" t="e">
        <f t="shared" si="65"/>
        <v>#REF!</v>
      </c>
      <c r="W111" t="e">
        <f t="shared" si="66"/>
        <v>#REF!</v>
      </c>
      <c r="X111" t="e">
        <f t="shared" si="67"/>
        <v>#REF!</v>
      </c>
      <c r="Y111" t="e">
        <f t="shared" si="68"/>
        <v>#REF!</v>
      </c>
      <c r="Z111" t="e">
        <f t="shared" si="69"/>
        <v>#REF!</v>
      </c>
      <c r="AA111" t="e">
        <f t="shared" si="70"/>
        <v>#REF!</v>
      </c>
      <c r="AD111" t="e">
        <f>Reflection!A111</f>
        <v>#REF!</v>
      </c>
      <c r="AE111" t="s">
        <v>13</v>
      </c>
      <c r="AF111" t="e">
        <f t="shared" si="71"/>
        <v>#REF!</v>
      </c>
      <c r="AG111" t="e">
        <f t="shared" si="72"/>
        <v>#REF!</v>
      </c>
      <c r="AH111" t="e">
        <f t="shared" si="73"/>
        <v>#REF!</v>
      </c>
      <c r="AI111" t="e">
        <f t="shared" si="74"/>
        <v>#REF!</v>
      </c>
      <c r="AJ111" t="e">
        <f t="shared" si="75"/>
        <v>#REF!</v>
      </c>
      <c r="AK111" t="e">
        <f t="shared" si="76"/>
        <v>#REF!</v>
      </c>
      <c r="AN111" t="e">
        <f>Reflection!A111</f>
        <v>#REF!</v>
      </c>
      <c r="AO111" t="s">
        <v>13</v>
      </c>
      <c r="AP111" t="e">
        <f t="shared" si="77"/>
        <v>#REF!</v>
      </c>
      <c r="AQ111" t="e">
        <f t="shared" si="78"/>
        <v>#REF!</v>
      </c>
      <c r="AR111" t="e">
        <f t="shared" si="79"/>
        <v>#REF!</v>
      </c>
      <c r="AS111" t="e">
        <f t="shared" si="80"/>
        <v>#REF!</v>
      </c>
      <c r="AT111" t="e">
        <f t="shared" si="81"/>
        <v>#REF!</v>
      </c>
      <c r="AU111" t="e">
        <f t="shared" si="82"/>
        <v>#REF!</v>
      </c>
      <c r="AX111" t="e">
        <f>Reflection!A111</f>
        <v>#REF!</v>
      </c>
      <c r="AY111" t="s">
        <v>13</v>
      </c>
      <c r="AZ111" t="e">
        <f t="shared" si="83"/>
        <v>#REF!</v>
      </c>
      <c r="BA111" t="e">
        <f t="shared" si="84"/>
        <v>#REF!</v>
      </c>
      <c r="BB111" t="e">
        <f t="shared" si="85"/>
        <v>#REF!</v>
      </c>
      <c r="BC111" t="e">
        <f t="shared" si="86"/>
        <v>#REF!</v>
      </c>
      <c r="BD111" t="e">
        <f t="shared" si="87"/>
        <v>#REF!</v>
      </c>
      <c r="BE111" t="e">
        <f t="shared" si="88"/>
        <v>#REF!</v>
      </c>
      <c r="BH111" t="e">
        <f>Reflection!A111</f>
        <v>#REF!</v>
      </c>
      <c r="BI111" t="e">
        <f t="shared" si="89"/>
        <v>#REF!</v>
      </c>
      <c r="BJ111" t="e">
        <f t="shared" si="90"/>
        <v>#REF!</v>
      </c>
      <c r="BK111" t="e">
        <f t="shared" si="91"/>
        <v>#REF!</v>
      </c>
      <c r="BL111" t="e">
        <f t="shared" si="92"/>
        <v>#REF!</v>
      </c>
      <c r="BM111" t="e">
        <f t="shared" si="93"/>
        <v>#REF!</v>
      </c>
      <c r="BN111" t="e">
        <f t="shared" si="94"/>
        <v>#REF!</v>
      </c>
      <c r="BR111" t="e">
        <f>Reflection!A111</f>
        <v>#REF!</v>
      </c>
      <c r="BS111" t="s">
        <v>13</v>
      </c>
      <c r="BT111" t="e">
        <f t="shared" si="95"/>
        <v>#REF!</v>
      </c>
      <c r="BU111" t="e">
        <f t="shared" si="103"/>
        <v>#REF!</v>
      </c>
      <c r="BV111" t="e">
        <f t="shared" si="96"/>
        <v>#REF!</v>
      </c>
      <c r="BW111" t="e">
        <f t="shared" si="97"/>
        <v>#REF!</v>
      </c>
      <c r="BX111" t="e">
        <f t="shared" si="98"/>
        <v>#REF!</v>
      </c>
      <c r="BY111" t="e">
        <f t="shared" si="99"/>
        <v>#REF!</v>
      </c>
    </row>
    <row r="112" spans="1:77" x14ac:dyDescent="0.15">
      <c r="A112" t="e">
        <f>Reflection!A112</f>
        <v>#REF!</v>
      </c>
      <c r="B112" t="e">
        <f t="shared" si="100"/>
        <v>#REF!</v>
      </c>
      <c r="C112" t="e">
        <f t="shared" si="101"/>
        <v>#REF!</v>
      </c>
      <c r="D112" t="e">
        <f t="shared" si="56"/>
        <v>#REF!</v>
      </c>
      <c r="E112" t="e">
        <f t="shared" si="57"/>
        <v>#REF!</v>
      </c>
      <c r="F112" t="e">
        <f t="shared" si="58"/>
        <v>#REF!</v>
      </c>
      <c r="G112" t="e">
        <f t="shared" si="102"/>
        <v>#REF!</v>
      </c>
      <c r="J112" t="e">
        <f>Reflection!A112</f>
        <v>#REF!</v>
      </c>
      <c r="K112" t="s">
        <v>13</v>
      </c>
      <c r="L112" t="e">
        <f t="shared" si="59"/>
        <v>#REF!</v>
      </c>
      <c r="M112" t="e">
        <f t="shared" si="60"/>
        <v>#REF!</v>
      </c>
      <c r="N112" t="e">
        <f t="shared" si="61"/>
        <v>#REF!</v>
      </c>
      <c r="O112" t="e">
        <f t="shared" si="62"/>
        <v>#REF!</v>
      </c>
      <c r="P112" t="e">
        <f t="shared" si="63"/>
        <v>#REF!</v>
      </c>
      <c r="Q112" t="e">
        <f t="shared" si="64"/>
        <v>#REF!</v>
      </c>
      <c r="T112" t="e">
        <f>Reflection!A112</f>
        <v>#REF!</v>
      </c>
      <c r="U112" t="s">
        <v>13</v>
      </c>
      <c r="V112" t="e">
        <f t="shared" si="65"/>
        <v>#REF!</v>
      </c>
      <c r="W112" t="e">
        <f t="shared" si="66"/>
        <v>#REF!</v>
      </c>
      <c r="X112" t="e">
        <f t="shared" si="67"/>
        <v>#REF!</v>
      </c>
      <c r="Y112" t="e">
        <f t="shared" si="68"/>
        <v>#REF!</v>
      </c>
      <c r="Z112" t="e">
        <f t="shared" si="69"/>
        <v>#REF!</v>
      </c>
      <c r="AA112" t="e">
        <f t="shared" si="70"/>
        <v>#REF!</v>
      </c>
      <c r="AD112" t="e">
        <f>Reflection!A112</f>
        <v>#REF!</v>
      </c>
      <c r="AE112" t="s">
        <v>13</v>
      </c>
      <c r="AF112" t="e">
        <f t="shared" si="71"/>
        <v>#REF!</v>
      </c>
      <c r="AG112" t="e">
        <f t="shared" si="72"/>
        <v>#REF!</v>
      </c>
      <c r="AH112" t="e">
        <f t="shared" si="73"/>
        <v>#REF!</v>
      </c>
      <c r="AI112" t="e">
        <f t="shared" si="74"/>
        <v>#REF!</v>
      </c>
      <c r="AJ112" t="e">
        <f t="shared" si="75"/>
        <v>#REF!</v>
      </c>
      <c r="AK112" t="e">
        <f t="shared" si="76"/>
        <v>#REF!</v>
      </c>
      <c r="AN112" t="e">
        <f>Reflection!A112</f>
        <v>#REF!</v>
      </c>
      <c r="AO112" t="s">
        <v>13</v>
      </c>
      <c r="AP112" t="e">
        <f t="shared" si="77"/>
        <v>#REF!</v>
      </c>
      <c r="AQ112" t="e">
        <f t="shared" si="78"/>
        <v>#REF!</v>
      </c>
      <c r="AR112" t="e">
        <f t="shared" si="79"/>
        <v>#REF!</v>
      </c>
      <c r="AS112" t="e">
        <f t="shared" si="80"/>
        <v>#REF!</v>
      </c>
      <c r="AT112" t="e">
        <f t="shared" si="81"/>
        <v>#REF!</v>
      </c>
      <c r="AU112" t="e">
        <f t="shared" si="82"/>
        <v>#REF!</v>
      </c>
      <c r="AX112" t="e">
        <f>Reflection!A112</f>
        <v>#REF!</v>
      </c>
      <c r="AY112" t="s">
        <v>13</v>
      </c>
      <c r="AZ112" t="e">
        <f t="shared" si="83"/>
        <v>#REF!</v>
      </c>
      <c r="BA112" t="e">
        <f t="shared" si="84"/>
        <v>#REF!</v>
      </c>
      <c r="BB112" t="e">
        <f t="shared" si="85"/>
        <v>#REF!</v>
      </c>
      <c r="BC112" t="e">
        <f t="shared" si="86"/>
        <v>#REF!</v>
      </c>
      <c r="BD112" t="e">
        <f t="shared" si="87"/>
        <v>#REF!</v>
      </c>
      <c r="BE112" t="e">
        <f t="shared" si="88"/>
        <v>#REF!</v>
      </c>
      <c r="BH112" t="e">
        <f>Reflection!A112</f>
        <v>#REF!</v>
      </c>
      <c r="BI112" t="e">
        <f t="shared" si="89"/>
        <v>#REF!</v>
      </c>
      <c r="BJ112" t="e">
        <f t="shared" si="90"/>
        <v>#REF!</v>
      </c>
      <c r="BK112" t="e">
        <f t="shared" si="91"/>
        <v>#REF!</v>
      </c>
      <c r="BL112" t="e">
        <f t="shared" si="92"/>
        <v>#REF!</v>
      </c>
      <c r="BM112" t="e">
        <f t="shared" si="93"/>
        <v>#REF!</v>
      </c>
      <c r="BN112" t="e">
        <f t="shared" si="94"/>
        <v>#REF!</v>
      </c>
      <c r="BR112" t="e">
        <f>Reflection!A112</f>
        <v>#REF!</v>
      </c>
      <c r="BS112" t="s">
        <v>13</v>
      </c>
      <c r="BT112" t="e">
        <f t="shared" si="95"/>
        <v>#REF!</v>
      </c>
      <c r="BU112" t="e">
        <f t="shared" si="103"/>
        <v>#REF!</v>
      </c>
      <c r="BV112" t="e">
        <f t="shared" si="96"/>
        <v>#REF!</v>
      </c>
      <c r="BW112" t="e">
        <f t="shared" si="97"/>
        <v>#REF!</v>
      </c>
      <c r="BX112" t="e">
        <f t="shared" si="98"/>
        <v>#REF!</v>
      </c>
      <c r="BY112" t="e">
        <f t="shared" si="99"/>
        <v>#REF!</v>
      </c>
    </row>
    <row r="113" spans="1:77" x14ac:dyDescent="0.15">
      <c r="A113" t="e">
        <f>Reflection!A113</f>
        <v>#REF!</v>
      </c>
      <c r="B113" t="e">
        <f t="shared" si="100"/>
        <v>#REF!</v>
      </c>
      <c r="C113" t="e">
        <f t="shared" si="101"/>
        <v>#REF!</v>
      </c>
      <c r="D113" t="e">
        <f t="shared" si="56"/>
        <v>#REF!</v>
      </c>
      <c r="E113" t="e">
        <f t="shared" si="57"/>
        <v>#REF!</v>
      </c>
      <c r="F113" t="e">
        <f t="shared" si="58"/>
        <v>#REF!</v>
      </c>
      <c r="G113" t="e">
        <f t="shared" si="102"/>
        <v>#REF!</v>
      </c>
      <c r="J113" t="e">
        <f>Reflection!A113</f>
        <v>#REF!</v>
      </c>
      <c r="K113" t="s">
        <v>13</v>
      </c>
      <c r="L113" t="e">
        <f t="shared" si="59"/>
        <v>#REF!</v>
      </c>
      <c r="M113" t="e">
        <f t="shared" si="60"/>
        <v>#REF!</v>
      </c>
      <c r="N113" t="e">
        <f t="shared" si="61"/>
        <v>#REF!</v>
      </c>
      <c r="O113" t="e">
        <f t="shared" si="62"/>
        <v>#REF!</v>
      </c>
      <c r="P113" t="e">
        <f t="shared" si="63"/>
        <v>#REF!</v>
      </c>
      <c r="Q113" t="e">
        <f t="shared" si="64"/>
        <v>#REF!</v>
      </c>
      <c r="T113" t="e">
        <f>Reflection!A113</f>
        <v>#REF!</v>
      </c>
      <c r="U113" t="s">
        <v>13</v>
      </c>
      <c r="V113" t="e">
        <f t="shared" si="65"/>
        <v>#REF!</v>
      </c>
      <c r="W113" t="e">
        <f t="shared" si="66"/>
        <v>#REF!</v>
      </c>
      <c r="X113" t="e">
        <f t="shared" si="67"/>
        <v>#REF!</v>
      </c>
      <c r="Y113" t="e">
        <f t="shared" si="68"/>
        <v>#REF!</v>
      </c>
      <c r="Z113" t="e">
        <f t="shared" si="69"/>
        <v>#REF!</v>
      </c>
      <c r="AA113" t="e">
        <f t="shared" si="70"/>
        <v>#REF!</v>
      </c>
      <c r="AD113" t="e">
        <f>Reflection!A113</f>
        <v>#REF!</v>
      </c>
      <c r="AE113" t="s">
        <v>13</v>
      </c>
      <c r="AF113" t="e">
        <f t="shared" si="71"/>
        <v>#REF!</v>
      </c>
      <c r="AG113" t="e">
        <f t="shared" si="72"/>
        <v>#REF!</v>
      </c>
      <c r="AH113" t="e">
        <f t="shared" si="73"/>
        <v>#REF!</v>
      </c>
      <c r="AI113" t="e">
        <f t="shared" si="74"/>
        <v>#REF!</v>
      </c>
      <c r="AJ113" t="e">
        <f t="shared" si="75"/>
        <v>#REF!</v>
      </c>
      <c r="AK113" t="e">
        <f t="shared" si="76"/>
        <v>#REF!</v>
      </c>
      <c r="AN113" t="e">
        <f>Reflection!A113</f>
        <v>#REF!</v>
      </c>
      <c r="AO113" t="s">
        <v>13</v>
      </c>
      <c r="AP113" t="e">
        <f t="shared" si="77"/>
        <v>#REF!</v>
      </c>
      <c r="AQ113" t="e">
        <f t="shared" si="78"/>
        <v>#REF!</v>
      </c>
      <c r="AR113" t="e">
        <f t="shared" si="79"/>
        <v>#REF!</v>
      </c>
      <c r="AS113" t="e">
        <f t="shared" si="80"/>
        <v>#REF!</v>
      </c>
      <c r="AT113" t="e">
        <f t="shared" si="81"/>
        <v>#REF!</v>
      </c>
      <c r="AU113" t="e">
        <f t="shared" si="82"/>
        <v>#REF!</v>
      </c>
      <c r="AX113" t="e">
        <f>Reflection!A113</f>
        <v>#REF!</v>
      </c>
      <c r="AY113" t="s">
        <v>13</v>
      </c>
      <c r="AZ113" t="e">
        <f t="shared" si="83"/>
        <v>#REF!</v>
      </c>
      <c r="BA113" t="e">
        <f t="shared" si="84"/>
        <v>#REF!</v>
      </c>
      <c r="BB113" t="e">
        <f t="shared" si="85"/>
        <v>#REF!</v>
      </c>
      <c r="BC113" t="e">
        <f t="shared" si="86"/>
        <v>#REF!</v>
      </c>
      <c r="BD113" t="e">
        <f t="shared" si="87"/>
        <v>#REF!</v>
      </c>
      <c r="BE113" t="e">
        <f t="shared" si="88"/>
        <v>#REF!</v>
      </c>
      <c r="BH113" t="e">
        <f>Reflection!A113</f>
        <v>#REF!</v>
      </c>
      <c r="BI113" t="e">
        <f t="shared" si="89"/>
        <v>#REF!</v>
      </c>
      <c r="BJ113" t="e">
        <f t="shared" si="90"/>
        <v>#REF!</v>
      </c>
      <c r="BK113" t="e">
        <f t="shared" si="91"/>
        <v>#REF!</v>
      </c>
      <c r="BL113" t="e">
        <f t="shared" si="92"/>
        <v>#REF!</v>
      </c>
      <c r="BM113" t="e">
        <f t="shared" si="93"/>
        <v>#REF!</v>
      </c>
      <c r="BN113" t="e">
        <f t="shared" si="94"/>
        <v>#REF!</v>
      </c>
      <c r="BR113" t="e">
        <f>Reflection!A113</f>
        <v>#REF!</v>
      </c>
      <c r="BS113" t="s">
        <v>13</v>
      </c>
      <c r="BT113" t="e">
        <f t="shared" si="95"/>
        <v>#REF!</v>
      </c>
      <c r="BU113" t="e">
        <f t="shared" si="103"/>
        <v>#REF!</v>
      </c>
      <c r="BV113" t="e">
        <f t="shared" si="96"/>
        <v>#REF!</v>
      </c>
      <c r="BW113" t="e">
        <f t="shared" si="97"/>
        <v>#REF!</v>
      </c>
      <c r="BX113" t="e">
        <f t="shared" si="98"/>
        <v>#REF!</v>
      </c>
      <c r="BY113" t="e">
        <f t="shared" si="99"/>
        <v>#REF!</v>
      </c>
    </row>
    <row r="114" spans="1:77" x14ac:dyDescent="0.15">
      <c r="A114" t="e">
        <f>Reflection!A114</f>
        <v>#REF!</v>
      </c>
      <c r="B114" t="e">
        <f t="shared" si="100"/>
        <v>#REF!</v>
      </c>
      <c r="C114" t="e">
        <f t="shared" si="101"/>
        <v>#REF!</v>
      </c>
      <c r="D114" t="e">
        <f t="shared" si="56"/>
        <v>#REF!</v>
      </c>
      <c r="E114" t="e">
        <f t="shared" si="57"/>
        <v>#REF!</v>
      </c>
      <c r="F114" t="e">
        <f t="shared" si="58"/>
        <v>#REF!</v>
      </c>
      <c r="G114" t="e">
        <f t="shared" si="102"/>
        <v>#REF!</v>
      </c>
      <c r="J114" t="e">
        <f>Reflection!A114</f>
        <v>#REF!</v>
      </c>
      <c r="K114" t="s">
        <v>13</v>
      </c>
      <c r="L114" t="e">
        <f t="shared" si="59"/>
        <v>#REF!</v>
      </c>
      <c r="M114" t="e">
        <f t="shared" si="60"/>
        <v>#REF!</v>
      </c>
      <c r="N114" t="e">
        <f t="shared" si="61"/>
        <v>#REF!</v>
      </c>
      <c r="O114" t="e">
        <f t="shared" si="62"/>
        <v>#REF!</v>
      </c>
      <c r="P114" t="e">
        <f t="shared" si="63"/>
        <v>#REF!</v>
      </c>
      <c r="Q114" t="e">
        <f t="shared" si="64"/>
        <v>#REF!</v>
      </c>
      <c r="T114" t="e">
        <f>Reflection!A114</f>
        <v>#REF!</v>
      </c>
      <c r="U114" t="s">
        <v>13</v>
      </c>
      <c r="V114" t="e">
        <f t="shared" si="65"/>
        <v>#REF!</v>
      </c>
      <c r="W114" t="e">
        <f t="shared" si="66"/>
        <v>#REF!</v>
      </c>
      <c r="X114" t="e">
        <f t="shared" si="67"/>
        <v>#REF!</v>
      </c>
      <c r="Y114" t="e">
        <f t="shared" si="68"/>
        <v>#REF!</v>
      </c>
      <c r="Z114" t="e">
        <f t="shared" si="69"/>
        <v>#REF!</v>
      </c>
      <c r="AA114" t="e">
        <f t="shared" si="70"/>
        <v>#REF!</v>
      </c>
      <c r="AD114" t="e">
        <f>Reflection!A114</f>
        <v>#REF!</v>
      </c>
      <c r="AE114" t="s">
        <v>13</v>
      </c>
      <c r="AF114" t="e">
        <f t="shared" si="71"/>
        <v>#REF!</v>
      </c>
      <c r="AG114" t="e">
        <f t="shared" si="72"/>
        <v>#REF!</v>
      </c>
      <c r="AH114" t="e">
        <f t="shared" si="73"/>
        <v>#REF!</v>
      </c>
      <c r="AI114" t="e">
        <f t="shared" si="74"/>
        <v>#REF!</v>
      </c>
      <c r="AJ114" t="e">
        <f t="shared" si="75"/>
        <v>#REF!</v>
      </c>
      <c r="AK114" t="e">
        <f t="shared" si="76"/>
        <v>#REF!</v>
      </c>
      <c r="AN114" t="e">
        <f>Reflection!A114</f>
        <v>#REF!</v>
      </c>
      <c r="AO114" t="s">
        <v>13</v>
      </c>
      <c r="AP114" t="e">
        <f t="shared" si="77"/>
        <v>#REF!</v>
      </c>
      <c r="AQ114" t="e">
        <f t="shared" si="78"/>
        <v>#REF!</v>
      </c>
      <c r="AR114" t="e">
        <f t="shared" si="79"/>
        <v>#REF!</v>
      </c>
      <c r="AS114" t="e">
        <f t="shared" si="80"/>
        <v>#REF!</v>
      </c>
      <c r="AT114" t="e">
        <f t="shared" si="81"/>
        <v>#REF!</v>
      </c>
      <c r="AU114" t="e">
        <f t="shared" si="82"/>
        <v>#REF!</v>
      </c>
      <c r="AX114" t="e">
        <f>Reflection!A114</f>
        <v>#REF!</v>
      </c>
      <c r="AY114" t="s">
        <v>13</v>
      </c>
      <c r="AZ114" t="e">
        <f t="shared" si="83"/>
        <v>#REF!</v>
      </c>
      <c r="BA114" t="e">
        <f t="shared" si="84"/>
        <v>#REF!</v>
      </c>
      <c r="BB114" t="e">
        <f t="shared" si="85"/>
        <v>#REF!</v>
      </c>
      <c r="BC114" t="e">
        <f t="shared" si="86"/>
        <v>#REF!</v>
      </c>
      <c r="BD114" t="e">
        <f t="shared" si="87"/>
        <v>#REF!</v>
      </c>
      <c r="BE114" t="e">
        <f t="shared" si="88"/>
        <v>#REF!</v>
      </c>
      <c r="BH114" t="e">
        <f>Reflection!A114</f>
        <v>#REF!</v>
      </c>
      <c r="BI114" t="e">
        <f t="shared" si="89"/>
        <v>#REF!</v>
      </c>
      <c r="BJ114" t="e">
        <f t="shared" si="90"/>
        <v>#REF!</v>
      </c>
      <c r="BK114" t="e">
        <f t="shared" si="91"/>
        <v>#REF!</v>
      </c>
      <c r="BL114" t="e">
        <f t="shared" si="92"/>
        <v>#REF!</v>
      </c>
      <c r="BM114" t="e">
        <f t="shared" si="93"/>
        <v>#REF!</v>
      </c>
      <c r="BN114" t="e">
        <f t="shared" si="94"/>
        <v>#REF!</v>
      </c>
      <c r="BR114" t="e">
        <f>Reflection!A114</f>
        <v>#REF!</v>
      </c>
      <c r="BS114" t="s">
        <v>13</v>
      </c>
      <c r="BT114" t="e">
        <f t="shared" si="95"/>
        <v>#REF!</v>
      </c>
      <c r="BU114" t="e">
        <f t="shared" si="103"/>
        <v>#REF!</v>
      </c>
      <c r="BV114" t="e">
        <f t="shared" si="96"/>
        <v>#REF!</v>
      </c>
      <c r="BW114" t="e">
        <f t="shared" si="97"/>
        <v>#REF!</v>
      </c>
      <c r="BX114" t="e">
        <f t="shared" si="98"/>
        <v>#REF!</v>
      </c>
      <c r="BY114" t="e">
        <f t="shared" si="99"/>
        <v>#REF!</v>
      </c>
    </row>
    <row r="115" spans="1:77" x14ac:dyDescent="0.15">
      <c r="A115" t="e">
        <f>Reflection!A115</f>
        <v>#REF!</v>
      </c>
      <c r="B115" t="e">
        <f t="shared" si="100"/>
        <v>#REF!</v>
      </c>
      <c r="C115" t="e">
        <f t="shared" si="101"/>
        <v>#REF!</v>
      </c>
      <c r="D115" t="e">
        <f t="shared" si="56"/>
        <v>#REF!</v>
      </c>
      <c r="E115" t="e">
        <f t="shared" si="57"/>
        <v>#REF!</v>
      </c>
      <c r="F115" t="e">
        <f t="shared" si="58"/>
        <v>#REF!</v>
      </c>
      <c r="G115" t="e">
        <f t="shared" si="102"/>
        <v>#REF!</v>
      </c>
      <c r="J115" t="e">
        <f>Reflection!A115</f>
        <v>#REF!</v>
      </c>
      <c r="K115" t="s">
        <v>13</v>
      </c>
      <c r="L115" t="e">
        <f t="shared" si="59"/>
        <v>#REF!</v>
      </c>
      <c r="M115" t="e">
        <f t="shared" si="60"/>
        <v>#REF!</v>
      </c>
      <c r="N115" t="e">
        <f t="shared" si="61"/>
        <v>#REF!</v>
      </c>
      <c r="O115" t="e">
        <f t="shared" si="62"/>
        <v>#REF!</v>
      </c>
      <c r="P115" t="e">
        <f t="shared" si="63"/>
        <v>#REF!</v>
      </c>
      <c r="Q115" t="e">
        <f t="shared" si="64"/>
        <v>#REF!</v>
      </c>
      <c r="T115" t="e">
        <f>Reflection!A115</f>
        <v>#REF!</v>
      </c>
      <c r="U115" t="s">
        <v>13</v>
      </c>
      <c r="V115" t="e">
        <f t="shared" si="65"/>
        <v>#REF!</v>
      </c>
      <c r="W115" t="e">
        <f t="shared" si="66"/>
        <v>#REF!</v>
      </c>
      <c r="X115" t="e">
        <f t="shared" si="67"/>
        <v>#REF!</v>
      </c>
      <c r="Y115" t="e">
        <f t="shared" si="68"/>
        <v>#REF!</v>
      </c>
      <c r="Z115" t="e">
        <f t="shared" si="69"/>
        <v>#REF!</v>
      </c>
      <c r="AA115" t="e">
        <f t="shared" si="70"/>
        <v>#REF!</v>
      </c>
      <c r="AD115" t="e">
        <f>Reflection!A115</f>
        <v>#REF!</v>
      </c>
      <c r="AE115" t="s">
        <v>13</v>
      </c>
      <c r="AF115" t="e">
        <f t="shared" si="71"/>
        <v>#REF!</v>
      </c>
      <c r="AG115" t="e">
        <f t="shared" si="72"/>
        <v>#REF!</v>
      </c>
      <c r="AH115" t="e">
        <f t="shared" si="73"/>
        <v>#REF!</v>
      </c>
      <c r="AI115" t="e">
        <f t="shared" si="74"/>
        <v>#REF!</v>
      </c>
      <c r="AJ115" t="e">
        <f t="shared" si="75"/>
        <v>#REF!</v>
      </c>
      <c r="AK115" t="e">
        <f t="shared" si="76"/>
        <v>#REF!</v>
      </c>
      <c r="AN115" t="e">
        <f>Reflection!A115</f>
        <v>#REF!</v>
      </c>
      <c r="AO115" t="s">
        <v>13</v>
      </c>
      <c r="AP115" t="e">
        <f t="shared" si="77"/>
        <v>#REF!</v>
      </c>
      <c r="AQ115" t="e">
        <f t="shared" si="78"/>
        <v>#REF!</v>
      </c>
      <c r="AR115" t="e">
        <f t="shared" si="79"/>
        <v>#REF!</v>
      </c>
      <c r="AS115" t="e">
        <f t="shared" si="80"/>
        <v>#REF!</v>
      </c>
      <c r="AT115" t="e">
        <f t="shared" si="81"/>
        <v>#REF!</v>
      </c>
      <c r="AU115" t="e">
        <f t="shared" si="82"/>
        <v>#REF!</v>
      </c>
      <c r="AX115" t="e">
        <f>Reflection!A115</f>
        <v>#REF!</v>
      </c>
      <c r="AY115" t="s">
        <v>13</v>
      </c>
      <c r="AZ115" t="e">
        <f t="shared" si="83"/>
        <v>#REF!</v>
      </c>
      <c r="BA115" t="e">
        <f t="shared" si="84"/>
        <v>#REF!</v>
      </c>
      <c r="BB115" t="e">
        <f t="shared" si="85"/>
        <v>#REF!</v>
      </c>
      <c r="BC115" t="e">
        <f t="shared" si="86"/>
        <v>#REF!</v>
      </c>
      <c r="BD115" t="e">
        <f t="shared" si="87"/>
        <v>#REF!</v>
      </c>
      <c r="BE115" t="e">
        <f t="shared" si="88"/>
        <v>#REF!</v>
      </c>
      <c r="BH115" t="e">
        <f>Reflection!A115</f>
        <v>#REF!</v>
      </c>
      <c r="BI115" t="e">
        <f t="shared" si="89"/>
        <v>#REF!</v>
      </c>
      <c r="BJ115" t="e">
        <f t="shared" si="90"/>
        <v>#REF!</v>
      </c>
      <c r="BK115" t="e">
        <f t="shared" si="91"/>
        <v>#REF!</v>
      </c>
      <c r="BL115" t="e">
        <f t="shared" si="92"/>
        <v>#REF!</v>
      </c>
      <c r="BM115" t="e">
        <f t="shared" si="93"/>
        <v>#REF!</v>
      </c>
      <c r="BN115" t="e">
        <f t="shared" si="94"/>
        <v>#REF!</v>
      </c>
      <c r="BR115" t="e">
        <f>Reflection!A115</f>
        <v>#REF!</v>
      </c>
      <c r="BS115" t="s">
        <v>13</v>
      </c>
      <c r="BT115" t="e">
        <f t="shared" si="95"/>
        <v>#REF!</v>
      </c>
      <c r="BU115" t="e">
        <f t="shared" si="103"/>
        <v>#REF!</v>
      </c>
      <c r="BV115" t="e">
        <f t="shared" si="96"/>
        <v>#REF!</v>
      </c>
      <c r="BW115" t="e">
        <f t="shared" si="97"/>
        <v>#REF!</v>
      </c>
      <c r="BX115" t="e">
        <f t="shared" si="98"/>
        <v>#REF!</v>
      </c>
      <c r="BY115" t="e">
        <f t="shared" si="99"/>
        <v>#REF!</v>
      </c>
    </row>
    <row r="116" spans="1:77" x14ac:dyDescent="0.15">
      <c r="A116" t="e">
        <f>Reflection!A116</f>
        <v>#REF!</v>
      </c>
      <c r="B116" t="e">
        <f t="shared" si="100"/>
        <v>#REF!</v>
      </c>
      <c r="C116" t="e">
        <f t="shared" si="101"/>
        <v>#REF!</v>
      </c>
      <c r="D116" t="e">
        <f t="shared" si="56"/>
        <v>#REF!</v>
      </c>
      <c r="E116" t="e">
        <f t="shared" si="57"/>
        <v>#REF!</v>
      </c>
      <c r="F116" t="e">
        <f t="shared" si="58"/>
        <v>#REF!</v>
      </c>
      <c r="G116" t="e">
        <f t="shared" si="102"/>
        <v>#REF!</v>
      </c>
      <c r="J116" t="e">
        <f>Reflection!A116</f>
        <v>#REF!</v>
      </c>
      <c r="K116" t="s">
        <v>13</v>
      </c>
      <c r="L116" t="e">
        <f t="shared" si="59"/>
        <v>#REF!</v>
      </c>
      <c r="M116" t="e">
        <f t="shared" si="60"/>
        <v>#REF!</v>
      </c>
      <c r="N116" t="e">
        <f t="shared" si="61"/>
        <v>#REF!</v>
      </c>
      <c r="O116" t="e">
        <f t="shared" si="62"/>
        <v>#REF!</v>
      </c>
      <c r="P116" t="e">
        <f t="shared" si="63"/>
        <v>#REF!</v>
      </c>
      <c r="Q116" t="e">
        <f t="shared" si="64"/>
        <v>#REF!</v>
      </c>
      <c r="T116" t="e">
        <f>Reflection!A116</f>
        <v>#REF!</v>
      </c>
      <c r="U116" t="s">
        <v>13</v>
      </c>
      <c r="V116" t="e">
        <f t="shared" si="65"/>
        <v>#REF!</v>
      </c>
      <c r="W116" t="e">
        <f t="shared" si="66"/>
        <v>#REF!</v>
      </c>
      <c r="X116" t="e">
        <f t="shared" si="67"/>
        <v>#REF!</v>
      </c>
      <c r="Y116" t="e">
        <f t="shared" si="68"/>
        <v>#REF!</v>
      </c>
      <c r="Z116" t="e">
        <f t="shared" si="69"/>
        <v>#REF!</v>
      </c>
      <c r="AA116" t="e">
        <f t="shared" si="70"/>
        <v>#REF!</v>
      </c>
      <c r="AD116" t="e">
        <f>Reflection!A116</f>
        <v>#REF!</v>
      </c>
      <c r="AE116" t="s">
        <v>13</v>
      </c>
      <c r="AF116" t="e">
        <f t="shared" si="71"/>
        <v>#REF!</v>
      </c>
      <c r="AG116" t="e">
        <f t="shared" si="72"/>
        <v>#REF!</v>
      </c>
      <c r="AH116" t="e">
        <f t="shared" si="73"/>
        <v>#REF!</v>
      </c>
      <c r="AI116" t="e">
        <f t="shared" si="74"/>
        <v>#REF!</v>
      </c>
      <c r="AJ116" t="e">
        <f t="shared" si="75"/>
        <v>#REF!</v>
      </c>
      <c r="AK116" t="e">
        <f t="shared" si="76"/>
        <v>#REF!</v>
      </c>
      <c r="AN116" t="e">
        <f>Reflection!A116</f>
        <v>#REF!</v>
      </c>
      <c r="AO116" t="s">
        <v>13</v>
      </c>
      <c r="AP116" t="e">
        <f t="shared" si="77"/>
        <v>#REF!</v>
      </c>
      <c r="AQ116" t="e">
        <f t="shared" si="78"/>
        <v>#REF!</v>
      </c>
      <c r="AR116" t="e">
        <f t="shared" si="79"/>
        <v>#REF!</v>
      </c>
      <c r="AS116" t="e">
        <f t="shared" si="80"/>
        <v>#REF!</v>
      </c>
      <c r="AT116" t="e">
        <f t="shared" si="81"/>
        <v>#REF!</v>
      </c>
      <c r="AU116" t="e">
        <f t="shared" si="82"/>
        <v>#REF!</v>
      </c>
      <c r="AX116" t="e">
        <f>Reflection!A116</f>
        <v>#REF!</v>
      </c>
      <c r="AY116" t="s">
        <v>13</v>
      </c>
      <c r="AZ116" t="e">
        <f t="shared" si="83"/>
        <v>#REF!</v>
      </c>
      <c r="BA116" t="e">
        <f t="shared" si="84"/>
        <v>#REF!</v>
      </c>
      <c r="BB116" t="e">
        <f t="shared" si="85"/>
        <v>#REF!</v>
      </c>
      <c r="BC116" t="e">
        <f t="shared" si="86"/>
        <v>#REF!</v>
      </c>
      <c r="BD116" t="e">
        <f t="shared" si="87"/>
        <v>#REF!</v>
      </c>
      <c r="BE116" t="e">
        <f t="shared" si="88"/>
        <v>#REF!</v>
      </c>
      <c r="BH116" t="e">
        <f>Reflection!A116</f>
        <v>#REF!</v>
      </c>
      <c r="BI116" t="e">
        <f t="shared" si="89"/>
        <v>#REF!</v>
      </c>
      <c r="BJ116" t="e">
        <f t="shared" si="90"/>
        <v>#REF!</v>
      </c>
      <c r="BK116" t="e">
        <f t="shared" si="91"/>
        <v>#REF!</v>
      </c>
      <c r="BL116" t="e">
        <f t="shared" si="92"/>
        <v>#REF!</v>
      </c>
      <c r="BM116" t="e">
        <f t="shared" si="93"/>
        <v>#REF!</v>
      </c>
      <c r="BN116" t="e">
        <f t="shared" si="94"/>
        <v>#REF!</v>
      </c>
      <c r="BR116" t="e">
        <f>Reflection!A116</f>
        <v>#REF!</v>
      </c>
      <c r="BS116" t="s">
        <v>13</v>
      </c>
      <c r="BT116" t="e">
        <f t="shared" si="95"/>
        <v>#REF!</v>
      </c>
      <c r="BU116" t="e">
        <f t="shared" si="103"/>
        <v>#REF!</v>
      </c>
      <c r="BV116" t="e">
        <f t="shared" si="96"/>
        <v>#REF!</v>
      </c>
      <c r="BW116" t="e">
        <f t="shared" si="97"/>
        <v>#REF!</v>
      </c>
      <c r="BX116" t="e">
        <f t="shared" si="98"/>
        <v>#REF!</v>
      </c>
      <c r="BY116" t="e">
        <f t="shared" si="99"/>
        <v>#REF!</v>
      </c>
    </row>
    <row r="117" spans="1:77" x14ac:dyDescent="0.15">
      <c r="A117" t="e">
        <f>Reflection!A117</f>
        <v>#REF!</v>
      </c>
      <c r="B117" t="e">
        <f t="shared" si="100"/>
        <v>#REF!</v>
      </c>
      <c r="C117" t="e">
        <f t="shared" si="101"/>
        <v>#REF!</v>
      </c>
      <c r="D117" t="e">
        <f t="shared" si="56"/>
        <v>#REF!</v>
      </c>
      <c r="E117" t="e">
        <f t="shared" si="57"/>
        <v>#REF!</v>
      </c>
      <c r="F117" t="e">
        <f t="shared" si="58"/>
        <v>#REF!</v>
      </c>
      <c r="G117" t="e">
        <f t="shared" si="102"/>
        <v>#REF!</v>
      </c>
      <c r="J117" t="e">
        <f>Reflection!A117</f>
        <v>#REF!</v>
      </c>
      <c r="K117" t="s">
        <v>13</v>
      </c>
      <c r="L117" t="e">
        <f t="shared" si="59"/>
        <v>#REF!</v>
      </c>
      <c r="M117" t="e">
        <f t="shared" si="60"/>
        <v>#REF!</v>
      </c>
      <c r="N117" t="e">
        <f t="shared" si="61"/>
        <v>#REF!</v>
      </c>
      <c r="O117" t="e">
        <f t="shared" si="62"/>
        <v>#REF!</v>
      </c>
      <c r="P117" t="e">
        <f t="shared" si="63"/>
        <v>#REF!</v>
      </c>
      <c r="Q117" t="e">
        <f t="shared" si="64"/>
        <v>#REF!</v>
      </c>
      <c r="T117" t="e">
        <f>Reflection!A117</f>
        <v>#REF!</v>
      </c>
      <c r="U117" t="s">
        <v>13</v>
      </c>
      <c r="V117" t="e">
        <f t="shared" si="65"/>
        <v>#REF!</v>
      </c>
      <c r="W117" t="e">
        <f t="shared" si="66"/>
        <v>#REF!</v>
      </c>
      <c r="X117" t="e">
        <f t="shared" si="67"/>
        <v>#REF!</v>
      </c>
      <c r="Y117" t="e">
        <f t="shared" si="68"/>
        <v>#REF!</v>
      </c>
      <c r="Z117" t="e">
        <f t="shared" si="69"/>
        <v>#REF!</v>
      </c>
      <c r="AA117" t="e">
        <f t="shared" si="70"/>
        <v>#REF!</v>
      </c>
      <c r="AD117" t="e">
        <f>Reflection!A117</f>
        <v>#REF!</v>
      </c>
      <c r="AE117" t="s">
        <v>13</v>
      </c>
      <c r="AF117" t="e">
        <f t="shared" si="71"/>
        <v>#REF!</v>
      </c>
      <c r="AG117" t="e">
        <f t="shared" si="72"/>
        <v>#REF!</v>
      </c>
      <c r="AH117" t="e">
        <f t="shared" si="73"/>
        <v>#REF!</v>
      </c>
      <c r="AI117" t="e">
        <f t="shared" si="74"/>
        <v>#REF!</v>
      </c>
      <c r="AJ117" t="e">
        <f t="shared" si="75"/>
        <v>#REF!</v>
      </c>
      <c r="AK117" t="e">
        <f t="shared" si="76"/>
        <v>#REF!</v>
      </c>
      <c r="AN117" t="e">
        <f>Reflection!A117</f>
        <v>#REF!</v>
      </c>
      <c r="AO117" t="s">
        <v>13</v>
      </c>
      <c r="AP117" t="e">
        <f t="shared" si="77"/>
        <v>#REF!</v>
      </c>
      <c r="AQ117" t="e">
        <f t="shared" si="78"/>
        <v>#REF!</v>
      </c>
      <c r="AR117" t="e">
        <f t="shared" si="79"/>
        <v>#REF!</v>
      </c>
      <c r="AS117" t="e">
        <f t="shared" si="80"/>
        <v>#REF!</v>
      </c>
      <c r="AT117" t="e">
        <f t="shared" si="81"/>
        <v>#REF!</v>
      </c>
      <c r="AU117" t="e">
        <f t="shared" si="82"/>
        <v>#REF!</v>
      </c>
      <c r="AX117" t="e">
        <f>Reflection!A117</f>
        <v>#REF!</v>
      </c>
      <c r="AY117" t="s">
        <v>13</v>
      </c>
      <c r="AZ117" t="e">
        <f t="shared" si="83"/>
        <v>#REF!</v>
      </c>
      <c r="BA117" t="e">
        <f t="shared" si="84"/>
        <v>#REF!</v>
      </c>
      <c r="BB117" t="e">
        <f t="shared" si="85"/>
        <v>#REF!</v>
      </c>
      <c r="BC117" t="e">
        <f t="shared" si="86"/>
        <v>#REF!</v>
      </c>
      <c r="BD117" t="e">
        <f t="shared" si="87"/>
        <v>#REF!</v>
      </c>
      <c r="BE117" t="e">
        <f t="shared" si="88"/>
        <v>#REF!</v>
      </c>
      <c r="BH117" t="e">
        <f>Reflection!A117</f>
        <v>#REF!</v>
      </c>
      <c r="BI117" t="e">
        <f t="shared" si="89"/>
        <v>#REF!</v>
      </c>
      <c r="BJ117" t="e">
        <f t="shared" si="90"/>
        <v>#REF!</v>
      </c>
      <c r="BK117" t="e">
        <f t="shared" si="91"/>
        <v>#REF!</v>
      </c>
      <c r="BL117" t="e">
        <f t="shared" si="92"/>
        <v>#REF!</v>
      </c>
      <c r="BM117" t="e">
        <f t="shared" si="93"/>
        <v>#REF!</v>
      </c>
      <c r="BN117" t="e">
        <f t="shared" si="94"/>
        <v>#REF!</v>
      </c>
      <c r="BR117" t="e">
        <f>Reflection!A117</f>
        <v>#REF!</v>
      </c>
      <c r="BS117" t="s">
        <v>13</v>
      </c>
      <c r="BT117" t="e">
        <f t="shared" si="95"/>
        <v>#REF!</v>
      </c>
      <c r="BU117" t="e">
        <f t="shared" si="103"/>
        <v>#REF!</v>
      </c>
      <c r="BV117" t="e">
        <f t="shared" si="96"/>
        <v>#REF!</v>
      </c>
      <c r="BW117" t="e">
        <f t="shared" si="97"/>
        <v>#REF!</v>
      </c>
      <c r="BX117" t="e">
        <f t="shared" si="98"/>
        <v>#REF!</v>
      </c>
      <c r="BY117" t="e">
        <f t="shared" si="99"/>
        <v>#REF!</v>
      </c>
    </row>
    <row r="118" spans="1:77" x14ac:dyDescent="0.15">
      <c r="A118" t="e">
        <f>Reflection!A118</f>
        <v>#REF!</v>
      </c>
      <c r="B118" t="e">
        <f t="shared" si="100"/>
        <v>#REF!</v>
      </c>
      <c r="C118" t="e">
        <f t="shared" si="101"/>
        <v>#REF!</v>
      </c>
      <c r="D118" t="e">
        <f t="shared" si="56"/>
        <v>#REF!</v>
      </c>
      <c r="E118" t="e">
        <f t="shared" si="57"/>
        <v>#REF!</v>
      </c>
      <c r="F118" t="e">
        <f t="shared" si="58"/>
        <v>#REF!</v>
      </c>
      <c r="G118" t="e">
        <f t="shared" si="102"/>
        <v>#REF!</v>
      </c>
      <c r="J118" t="e">
        <f>Reflection!A118</f>
        <v>#REF!</v>
      </c>
      <c r="K118" t="s">
        <v>13</v>
      </c>
      <c r="L118" t="e">
        <f t="shared" si="59"/>
        <v>#REF!</v>
      </c>
      <c r="M118" t="e">
        <f t="shared" si="60"/>
        <v>#REF!</v>
      </c>
      <c r="N118" t="e">
        <f t="shared" si="61"/>
        <v>#REF!</v>
      </c>
      <c r="O118" t="e">
        <f t="shared" si="62"/>
        <v>#REF!</v>
      </c>
      <c r="P118" t="e">
        <f t="shared" si="63"/>
        <v>#REF!</v>
      </c>
      <c r="Q118" t="e">
        <f t="shared" si="64"/>
        <v>#REF!</v>
      </c>
      <c r="T118" t="e">
        <f>Reflection!A118</f>
        <v>#REF!</v>
      </c>
      <c r="U118" t="s">
        <v>13</v>
      </c>
      <c r="V118" t="e">
        <f t="shared" si="65"/>
        <v>#REF!</v>
      </c>
      <c r="W118" t="e">
        <f t="shared" si="66"/>
        <v>#REF!</v>
      </c>
      <c r="X118" t="e">
        <f t="shared" si="67"/>
        <v>#REF!</v>
      </c>
      <c r="Y118" t="e">
        <f t="shared" si="68"/>
        <v>#REF!</v>
      </c>
      <c r="Z118" t="e">
        <f t="shared" si="69"/>
        <v>#REF!</v>
      </c>
      <c r="AA118" t="e">
        <f t="shared" si="70"/>
        <v>#REF!</v>
      </c>
      <c r="AD118" t="e">
        <f>Reflection!A118</f>
        <v>#REF!</v>
      </c>
      <c r="AE118" t="s">
        <v>13</v>
      </c>
      <c r="AF118" t="e">
        <f t="shared" si="71"/>
        <v>#REF!</v>
      </c>
      <c r="AG118" t="e">
        <f t="shared" si="72"/>
        <v>#REF!</v>
      </c>
      <c r="AH118" t="e">
        <f t="shared" si="73"/>
        <v>#REF!</v>
      </c>
      <c r="AI118" t="e">
        <f t="shared" si="74"/>
        <v>#REF!</v>
      </c>
      <c r="AJ118" t="e">
        <f t="shared" si="75"/>
        <v>#REF!</v>
      </c>
      <c r="AK118" t="e">
        <f t="shared" si="76"/>
        <v>#REF!</v>
      </c>
      <c r="AN118" t="e">
        <f>Reflection!A118</f>
        <v>#REF!</v>
      </c>
      <c r="AO118" t="s">
        <v>13</v>
      </c>
      <c r="AP118" t="e">
        <f t="shared" si="77"/>
        <v>#REF!</v>
      </c>
      <c r="AQ118" t="e">
        <f t="shared" si="78"/>
        <v>#REF!</v>
      </c>
      <c r="AR118" t="e">
        <f t="shared" si="79"/>
        <v>#REF!</v>
      </c>
      <c r="AS118" t="e">
        <f t="shared" si="80"/>
        <v>#REF!</v>
      </c>
      <c r="AT118" t="e">
        <f t="shared" si="81"/>
        <v>#REF!</v>
      </c>
      <c r="AU118" t="e">
        <f t="shared" si="82"/>
        <v>#REF!</v>
      </c>
      <c r="AX118" t="e">
        <f>Reflection!A118</f>
        <v>#REF!</v>
      </c>
      <c r="AY118" t="s">
        <v>13</v>
      </c>
      <c r="AZ118" t="e">
        <f t="shared" si="83"/>
        <v>#REF!</v>
      </c>
      <c r="BA118" t="e">
        <f t="shared" si="84"/>
        <v>#REF!</v>
      </c>
      <c r="BB118" t="e">
        <f t="shared" si="85"/>
        <v>#REF!</v>
      </c>
      <c r="BC118" t="e">
        <f t="shared" si="86"/>
        <v>#REF!</v>
      </c>
      <c r="BD118" t="e">
        <f t="shared" si="87"/>
        <v>#REF!</v>
      </c>
      <c r="BE118" t="e">
        <f t="shared" si="88"/>
        <v>#REF!</v>
      </c>
      <c r="BH118" t="e">
        <f>Reflection!A118</f>
        <v>#REF!</v>
      </c>
      <c r="BI118" t="e">
        <f t="shared" si="89"/>
        <v>#REF!</v>
      </c>
      <c r="BJ118" t="e">
        <f t="shared" si="90"/>
        <v>#REF!</v>
      </c>
      <c r="BK118" t="e">
        <f t="shared" si="91"/>
        <v>#REF!</v>
      </c>
      <c r="BL118" t="e">
        <f t="shared" si="92"/>
        <v>#REF!</v>
      </c>
      <c r="BM118" t="e">
        <f t="shared" si="93"/>
        <v>#REF!</v>
      </c>
      <c r="BN118" t="e">
        <f t="shared" si="94"/>
        <v>#REF!</v>
      </c>
      <c r="BR118" t="e">
        <f>Reflection!A118</f>
        <v>#REF!</v>
      </c>
      <c r="BS118" t="s">
        <v>13</v>
      </c>
      <c r="BT118" t="e">
        <f t="shared" si="95"/>
        <v>#REF!</v>
      </c>
      <c r="BU118" t="e">
        <f t="shared" si="103"/>
        <v>#REF!</v>
      </c>
      <c r="BV118" t="e">
        <f t="shared" si="96"/>
        <v>#REF!</v>
      </c>
      <c r="BW118" t="e">
        <f t="shared" si="97"/>
        <v>#REF!</v>
      </c>
      <c r="BX118" t="e">
        <f t="shared" si="98"/>
        <v>#REF!</v>
      </c>
      <c r="BY118" t="e">
        <f t="shared" si="99"/>
        <v>#REF!</v>
      </c>
    </row>
    <row r="119" spans="1:77" x14ac:dyDescent="0.15">
      <c r="A119" t="e">
        <f>Reflection!A119</f>
        <v>#REF!</v>
      </c>
      <c r="B119" t="e">
        <f t="shared" si="100"/>
        <v>#REF!</v>
      </c>
      <c r="C119" t="e">
        <f t="shared" si="101"/>
        <v>#REF!</v>
      </c>
      <c r="D119" t="e">
        <f t="shared" si="56"/>
        <v>#REF!</v>
      </c>
      <c r="E119" t="e">
        <f t="shared" si="57"/>
        <v>#REF!</v>
      </c>
      <c r="F119" t="e">
        <f t="shared" si="58"/>
        <v>#REF!</v>
      </c>
      <c r="G119" t="e">
        <f t="shared" si="102"/>
        <v>#REF!</v>
      </c>
      <c r="J119" t="e">
        <f>Reflection!A119</f>
        <v>#REF!</v>
      </c>
      <c r="K119" t="s">
        <v>13</v>
      </c>
      <c r="L119" t="e">
        <f t="shared" si="59"/>
        <v>#REF!</v>
      </c>
      <c r="M119" t="e">
        <f t="shared" si="60"/>
        <v>#REF!</v>
      </c>
      <c r="N119" t="e">
        <f t="shared" si="61"/>
        <v>#REF!</v>
      </c>
      <c r="O119" t="e">
        <f t="shared" si="62"/>
        <v>#REF!</v>
      </c>
      <c r="P119" t="e">
        <f t="shared" si="63"/>
        <v>#REF!</v>
      </c>
      <c r="Q119" t="e">
        <f t="shared" si="64"/>
        <v>#REF!</v>
      </c>
      <c r="T119" t="e">
        <f>Reflection!A119</f>
        <v>#REF!</v>
      </c>
      <c r="U119" t="s">
        <v>13</v>
      </c>
      <c r="V119" t="e">
        <f t="shared" si="65"/>
        <v>#REF!</v>
      </c>
      <c r="W119" t="e">
        <f t="shared" si="66"/>
        <v>#REF!</v>
      </c>
      <c r="X119" t="e">
        <f t="shared" si="67"/>
        <v>#REF!</v>
      </c>
      <c r="Y119" t="e">
        <f t="shared" si="68"/>
        <v>#REF!</v>
      </c>
      <c r="Z119" t="e">
        <f t="shared" si="69"/>
        <v>#REF!</v>
      </c>
      <c r="AA119" t="e">
        <f t="shared" si="70"/>
        <v>#REF!</v>
      </c>
      <c r="AD119" t="e">
        <f>Reflection!A119</f>
        <v>#REF!</v>
      </c>
      <c r="AE119" t="s">
        <v>13</v>
      </c>
      <c r="AF119" t="e">
        <f t="shared" si="71"/>
        <v>#REF!</v>
      </c>
      <c r="AG119" t="e">
        <f t="shared" si="72"/>
        <v>#REF!</v>
      </c>
      <c r="AH119" t="e">
        <f t="shared" si="73"/>
        <v>#REF!</v>
      </c>
      <c r="AI119" t="e">
        <f t="shared" si="74"/>
        <v>#REF!</v>
      </c>
      <c r="AJ119" t="e">
        <f t="shared" si="75"/>
        <v>#REF!</v>
      </c>
      <c r="AK119" t="e">
        <f t="shared" si="76"/>
        <v>#REF!</v>
      </c>
      <c r="AN119" t="e">
        <f>Reflection!A119</f>
        <v>#REF!</v>
      </c>
      <c r="AO119" t="s">
        <v>13</v>
      </c>
      <c r="AP119" t="e">
        <f t="shared" si="77"/>
        <v>#REF!</v>
      </c>
      <c r="AQ119" t="e">
        <f t="shared" si="78"/>
        <v>#REF!</v>
      </c>
      <c r="AR119" t="e">
        <f t="shared" si="79"/>
        <v>#REF!</v>
      </c>
      <c r="AS119" t="e">
        <f t="shared" si="80"/>
        <v>#REF!</v>
      </c>
      <c r="AT119" t="e">
        <f t="shared" si="81"/>
        <v>#REF!</v>
      </c>
      <c r="AU119" t="e">
        <f t="shared" si="82"/>
        <v>#REF!</v>
      </c>
      <c r="AX119" t="e">
        <f>Reflection!A119</f>
        <v>#REF!</v>
      </c>
      <c r="AY119" t="s">
        <v>13</v>
      </c>
      <c r="AZ119" t="e">
        <f t="shared" si="83"/>
        <v>#REF!</v>
      </c>
      <c r="BA119" t="e">
        <f t="shared" si="84"/>
        <v>#REF!</v>
      </c>
      <c r="BB119" t="e">
        <f t="shared" si="85"/>
        <v>#REF!</v>
      </c>
      <c r="BC119" t="e">
        <f t="shared" si="86"/>
        <v>#REF!</v>
      </c>
      <c r="BD119" t="e">
        <f t="shared" si="87"/>
        <v>#REF!</v>
      </c>
      <c r="BE119" t="e">
        <f t="shared" si="88"/>
        <v>#REF!</v>
      </c>
      <c r="BH119" t="e">
        <f>Reflection!A119</f>
        <v>#REF!</v>
      </c>
      <c r="BI119" t="e">
        <f t="shared" si="89"/>
        <v>#REF!</v>
      </c>
      <c r="BJ119" t="e">
        <f t="shared" si="90"/>
        <v>#REF!</v>
      </c>
      <c r="BK119" t="e">
        <f t="shared" si="91"/>
        <v>#REF!</v>
      </c>
      <c r="BL119" t="e">
        <f t="shared" si="92"/>
        <v>#REF!</v>
      </c>
      <c r="BM119" t="e">
        <f t="shared" si="93"/>
        <v>#REF!</v>
      </c>
      <c r="BN119" t="e">
        <f t="shared" si="94"/>
        <v>#REF!</v>
      </c>
      <c r="BR119" t="e">
        <f>Reflection!A119</f>
        <v>#REF!</v>
      </c>
      <c r="BS119" t="s">
        <v>13</v>
      </c>
      <c r="BT119" t="e">
        <f t="shared" si="95"/>
        <v>#REF!</v>
      </c>
      <c r="BU119" t="e">
        <f t="shared" si="103"/>
        <v>#REF!</v>
      </c>
      <c r="BV119" t="e">
        <f t="shared" si="96"/>
        <v>#REF!</v>
      </c>
      <c r="BW119" t="e">
        <f t="shared" si="97"/>
        <v>#REF!</v>
      </c>
      <c r="BX119" t="e">
        <f t="shared" si="98"/>
        <v>#REF!</v>
      </c>
      <c r="BY119" t="e">
        <f t="shared" si="99"/>
        <v>#REF!</v>
      </c>
    </row>
    <row r="120" spans="1:77" x14ac:dyDescent="0.15">
      <c r="A120" t="e">
        <f>Reflection!A120</f>
        <v>#REF!</v>
      </c>
      <c r="B120" t="e">
        <f t="shared" si="100"/>
        <v>#REF!</v>
      </c>
      <c r="C120" t="e">
        <f t="shared" si="101"/>
        <v>#REF!</v>
      </c>
      <c r="D120" t="e">
        <f t="shared" si="56"/>
        <v>#REF!</v>
      </c>
      <c r="E120" t="e">
        <f t="shared" si="57"/>
        <v>#REF!</v>
      </c>
      <c r="F120" t="e">
        <f t="shared" si="58"/>
        <v>#REF!</v>
      </c>
      <c r="G120" t="e">
        <f t="shared" si="102"/>
        <v>#REF!</v>
      </c>
      <c r="J120" t="e">
        <f>Reflection!A120</f>
        <v>#REF!</v>
      </c>
      <c r="K120" t="s">
        <v>13</v>
      </c>
      <c r="L120" t="e">
        <f t="shared" si="59"/>
        <v>#REF!</v>
      </c>
      <c r="M120" t="e">
        <f t="shared" si="60"/>
        <v>#REF!</v>
      </c>
      <c r="N120" t="e">
        <f t="shared" si="61"/>
        <v>#REF!</v>
      </c>
      <c r="O120" t="e">
        <f t="shared" si="62"/>
        <v>#REF!</v>
      </c>
      <c r="P120" t="e">
        <f t="shared" si="63"/>
        <v>#REF!</v>
      </c>
      <c r="Q120" t="e">
        <f t="shared" si="64"/>
        <v>#REF!</v>
      </c>
      <c r="T120" t="e">
        <f>Reflection!A120</f>
        <v>#REF!</v>
      </c>
      <c r="U120" t="s">
        <v>13</v>
      </c>
      <c r="V120" t="e">
        <f t="shared" si="65"/>
        <v>#REF!</v>
      </c>
      <c r="W120" t="e">
        <f t="shared" si="66"/>
        <v>#REF!</v>
      </c>
      <c r="X120" t="e">
        <f t="shared" si="67"/>
        <v>#REF!</v>
      </c>
      <c r="Y120" t="e">
        <f t="shared" si="68"/>
        <v>#REF!</v>
      </c>
      <c r="Z120" t="e">
        <f t="shared" si="69"/>
        <v>#REF!</v>
      </c>
      <c r="AA120" t="e">
        <f t="shared" si="70"/>
        <v>#REF!</v>
      </c>
      <c r="AD120" t="e">
        <f>Reflection!A120</f>
        <v>#REF!</v>
      </c>
      <c r="AE120" t="s">
        <v>13</v>
      </c>
      <c r="AF120" t="e">
        <f t="shared" si="71"/>
        <v>#REF!</v>
      </c>
      <c r="AG120" t="e">
        <f t="shared" si="72"/>
        <v>#REF!</v>
      </c>
      <c r="AH120" t="e">
        <f t="shared" si="73"/>
        <v>#REF!</v>
      </c>
      <c r="AI120" t="e">
        <f t="shared" si="74"/>
        <v>#REF!</v>
      </c>
      <c r="AJ120" t="e">
        <f t="shared" si="75"/>
        <v>#REF!</v>
      </c>
      <c r="AK120" t="e">
        <f t="shared" si="76"/>
        <v>#REF!</v>
      </c>
      <c r="AN120" t="e">
        <f>Reflection!A120</f>
        <v>#REF!</v>
      </c>
      <c r="AO120" t="s">
        <v>13</v>
      </c>
      <c r="AP120" t="e">
        <f t="shared" si="77"/>
        <v>#REF!</v>
      </c>
      <c r="AQ120" t="e">
        <f t="shared" si="78"/>
        <v>#REF!</v>
      </c>
      <c r="AR120" t="e">
        <f t="shared" si="79"/>
        <v>#REF!</v>
      </c>
      <c r="AS120" t="e">
        <f t="shared" si="80"/>
        <v>#REF!</v>
      </c>
      <c r="AT120" t="e">
        <f t="shared" si="81"/>
        <v>#REF!</v>
      </c>
      <c r="AU120" t="e">
        <f t="shared" si="82"/>
        <v>#REF!</v>
      </c>
      <c r="AX120" t="e">
        <f>Reflection!A120</f>
        <v>#REF!</v>
      </c>
      <c r="AY120" t="s">
        <v>13</v>
      </c>
      <c r="AZ120" t="e">
        <f t="shared" si="83"/>
        <v>#REF!</v>
      </c>
      <c r="BA120" t="e">
        <f t="shared" si="84"/>
        <v>#REF!</v>
      </c>
      <c r="BB120" t="e">
        <f t="shared" si="85"/>
        <v>#REF!</v>
      </c>
      <c r="BC120" t="e">
        <f t="shared" si="86"/>
        <v>#REF!</v>
      </c>
      <c r="BD120" t="e">
        <f t="shared" si="87"/>
        <v>#REF!</v>
      </c>
      <c r="BE120" t="e">
        <f t="shared" si="88"/>
        <v>#REF!</v>
      </c>
      <c r="BH120" t="e">
        <f>Reflection!A120</f>
        <v>#REF!</v>
      </c>
      <c r="BI120" t="e">
        <f t="shared" si="89"/>
        <v>#REF!</v>
      </c>
      <c r="BJ120" t="e">
        <f t="shared" si="90"/>
        <v>#REF!</v>
      </c>
      <c r="BK120" t="e">
        <f t="shared" si="91"/>
        <v>#REF!</v>
      </c>
      <c r="BL120" t="e">
        <f t="shared" si="92"/>
        <v>#REF!</v>
      </c>
      <c r="BM120" t="e">
        <f t="shared" si="93"/>
        <v>#REF!</v>
      </c>
      <c r="BN120" t="e">
        <f t="shared" si="94"/>
        <v>#REF!</v>
      </c>
      <c r="BR120" t="e">
        <f>Reflection!A120</f>
        <v>#REF!</v>
      </c>
      <c r="BS120" t="s">
        <v>13</v>
      </c>
      <c r="BT120" t="e">
        <f t="shared" si="95"/>
        <v>#REF!</v>
      </c>
      <c r="BU120" t="e">
        <f t="shared" si="103"/>
        <v>#REF!</v>
      </c>
      <c r="BV120" t="e">
        <f t="shared" si="96"/>
        <v>#REF!</v>
      </c>
      <c r="BW120" t="e">
        <f t="shared" si="97"/>
        <v>#REF!</v>
      </c>
      <c r="BX120" t="e">
        <f t="shared" si="98"/>
        <v>#REF!</v>
      </c>
      <c r="BY120" t="e">
        <f t="shared" si="99"/>
        <v>#REF!</v>
      </c>
    </row>
    <row r="121" spans="1:77" x14ac:dyDescent="0.15">
      <c r="A121" t="e">
        <f>Reflection!A121</f>
        <v>#REF!</v>
      </c>
      <c r="B121" t="e">
        <f t="shared" si="100"/>
        <v>#REF!</v>
      </c>
      <c r="C121" t="e">
        <f t="shared" si="101"/>
        <v>#REF!</v>
      </c>
      <c r="D121" t="e">
        <f t="shared" si="56"/>
        <v>#REF!</v>
      </c>
      <c r="E121" t="e">
        <f t="shared" si="57"/>
        <v>#REF!</v>
      </c>
      <c r="F121" t="e">
        <f t="shared" si="58"/>
        <v>#REF!</v>
      </c>
      <c r="G121" t="e">
        <f t="shared" si="102"/>
        <v>#REF!</v>
      </c>
      <c r="J121" t="e">
        <f>Reflection!A121</f>
        <v>#REF!</v>
      </c>
      <c r="K121" t="s">
        <v>13</v>
      </c>
      <c r="L121" t="e">
        <f t="shared" si="59"/>
        <v>#REF!</v>
      </c>
      <c r="M121" t="e">
        <f t="shared" si="60"/>
        <v>#REF!</v>
      </c>
      <c r="N121" t="e">
        <f t="shared" si="61"/>
        <v>#REF!</v>
      </c>
      <c r="O121" t="e">
        <f t="shared" si="62"/>
        <v>#REF!</v>
      </c>
      <c r="P121" t="e">
        <f t="shared" si="63"/>
        <v>#REF!</v>
      </c>
      <c r="Q121" t="e">
        <f t="shared" si="64"/>
        <v>#REF!</v>
      </c>
      <c r="T121" t="e">
        <f>Reflection!A121</f>
        <v>#REF!</v>
      </c>
      <c r="U121" t="s">
        <v>13</v>
      </c>
      <c r="V121" t="e">
        <f t="shared" si="65"/>
        <v>#REF!</v>
      </c>
      <c r="W121" t="e">
        <f t="shared" si="66"/>
        <v>#REF!</v>
      </c>
      <c r="X121" t="e">
        <f t="shared" si="67"/>
        <v>#REF!</v>
      </c>
      <c r="Y121" t="e">
        <f t="shared" si="68"/>
        <v>#REF!</v>
      </c>
      <c r="Z121" t="e">
        <f t="shared" si="69"/>
        <v>#REF!</v>
      </c>
      <c r="AA121" t="e">
        <f t="shared" si="70"/>
        <v>#REF!</v>
      </c>
      <c r="AD121" t="e">
        <f>Reflection!A121</f>
        <v>#REF!</v>
      </c>
      <c r="AE121" t="s">
        <v>13</v>
      </c>
      <c r="AF121" t="e">
        <f t="shared" si="71"/>
        <v>#REF!</v>
      </c>
      <c r="AG121" t="e">
        <f t="shared" si="72"/>
        <v>#REF!</v>
      </c>
      <c r="AH121" t="e">
        <f t="shared" si="73"/>
        <v>#REF!</v>
      </c>
      <c r="AI121" t="e">
        <f t="shared" si="74"/>
        <v>#REF!</v>
      </c>
      <c r="AJ121" t="e">
        <f t="shared" si="75"/>
        <v>#REF!</v>
      </c>
      <c r="AK121" t="e">
        <f t="shared" si="76"/>
        <v>#REF!</v>
      </c>
      <c r="AN121" t="e">
        <f>Reflection!A121</f>
        <v>#REF!</v>
      </c>
      <c r="AO121" t="s">
        <v>13</v>
      </c>
      <c r="AP121" t="e">
        <f t="shared" si="77"/>
        <v>#REF!</v>
      </c>
      <c r="AQ121" t="e">
        <f t="shared" si="78"/>
        <v>#REF!</v>
      </c>
      <c r="AR121" t="e">
        <f t="shared" si="79"/>
        <v>#REF!</v>
      </c>
      <c r="AS121" t="e">
        <f t="shared" si="80"/>
        <v>#REF!</v>
      </c>
      <c r="AT121" t="e">
        <f t="shared" si="81"/>
        <v>#REF!</v>
      </c>
      <c r="AU121" t="e">
        <f t="shared" si="82"/>
        <v>#REF!</v>
      </c>
      <c r="AX121" t="e">
        <f>Reflection!A121</f>
        <v>#REF!</v>
      </c>
      <c r="AY121" t="s">
        <v>13</v>
      </c>
      <c r="AZ121" t="e">
        <f t="shared" si="83"/>
        <v>#REF!</v>
      </c>
      <c r="BA121" t="e">
        <f t="shared" si="84"/>
        <v>#REF!</v>
      </c>
      <c r="BB121" t="e">
        <f t="shared" si="85"/>
        <v>#REF!</v>
      </c>
      <c r="BC121" t="e">
        <f t="shared" si="86"/>
        <v>#REF!</v>
      </c>
      <c r="BD121" t="e">
        <f t="shared" si="87"/>
        <v>#REF!</v>
      </c>
      <c r="BE121" t="e">
        <f t="shared" si="88"/>
        <v>#REF!</v>
      </c>
      <c r="BH121" t="e">
        <f>Reflection!A121</f>
        <v>#REF!</v>
      </c>
      <c r="BI121" t="e">
        <f t="shared" si="89"/>
        <v>#REF!</v>
      </c>
      <c r="BJ121" t="e">
        <f t="shared" si="90"/>
        <v>#REF!</v>
      </c>
      <c r="BK121" t="e">
        <f t="shared" si="91"/>
        <v>#REF!</v>
      </c>
      <c r="BL121" t="e">
        <f t="shared" si="92"/>
        <v>#REF!</v>
      </c>
      <c r="BM121" t="e">
        <f t="shared" si="93"/>
        <v>#REF!</v>
      </c>
      <c r="BN121" t="e">
        <f t="shared" si="94"/>
        <v>#REF!</v>
      </c>
      <c r="BR121" t="e">
        <f>Reflection!A121</f>
        <v>#REF!</v>
      </c>
      <c r="BS121" t="s">
        <v>13</v>
      </c>
      <c r="BT121" t="e">
        <f t="shared" si="95"/>
        <v>#REF!</v>
      </c>
      <c r="BU121" t="e">
        <f t="shared" si="103"/>
        <v>#REF!</v>
      </c>
      <c r="BV121" t="e">
        <f t="shared" si="96"/>
        <v>#REF!</v>
      </c>
      <c r="BW121" t="e">
        <f t="shared" si="97"/>
        <v>#REF!</v>
      </c>
      <c r="BX121" t="e">
        <f t="shared" si="98"/>
        <v>#REF!</v>
      </c>
      <c r="BY121" t="e">
        <f t="shared" si="99"/>
        <v>#REF!</v>
      </c>
    </row>
    <row r="122" spans="1:77" x14ac:dyDescent="0.15">
      <c r="A122" t="e">
        <f>Reflection!A122</f>
        <v>#REF!</v>
      </c>
      <c r="B122" t="e">
        <f t="shared" si="100"/>
        <v>#REF!</v>
      </c>
      <c r="C122" t="e">
        <f t="shared" si="101"/>
        <v>#REF!</v>
      </c>
      <c r="D122" t="e">
        <f t="shared" si="56"/>
        <v>#REF!</v>
      </c>
      <c r="E122" t="e">
        <f t="shared" si="57"/>
        <v>#REF!</v>
      </c>
      <c r="F122" t="e">
        <f t="shared" si="58"/>
        <v>#REF!</v>
      </c>
      <c r="G122" t="e">
        <f t="shared" si="102"/>
        <v>#REF!</v>
      </c>
      <c r="J122" t="e">
        <f>Reflection!A122</f>
        <v>#REF!</v>
      </c>
      <c r="K122" t="s">
        <v>13</v>
      </c>
      <c r="L122" t="e">
        <f t="shared" si="59"/>
        <v>#REF!</v>
      </c>
      <c r="M122" t="e">
        <f t="shared" si="60"/>
        <v>#REF!</v>
      </c>
      <c r="N122" t="e">
        <f t="shared" si="61"/>
        <v>#REF!</v>
      </c>
      <c r="O122" t="e">
        <f t="shared" si="62"/>
        <v>#REF!</v>
      </c>
      <c r="P122" t="e">
        <f t="shared" si="63"/>
        <v>#REF!</v>
      </c>
      <c r="Q122" t="e">
        <f t="shared" si="64"/>
        <v>#REF!</v>
      </c>
      <c r="T122" t="e">
        <f>Reflection!A122</f>
        <v>#REF!</v>
      </c>
      <c r="U122" t="s">
        <v>13</v>
      </c>
      <c r="V122" t="e">
        <f t="shared" si="65"/>
        <v>#REF!</v>
      </c>
      <c r="W122" t="e">
        <f t="shared" si="66"/>
        <v>#REF!</v>
      </c>
      <c r="X122" t="e">
        <f t="shared" si="67"/>
        <v>#REF!</v>
      </c>
      <c r="Y122" t="e">
        <f t="shared" si="68"/>
        <v>#REF!</v>
      </c>
      <c r="Z122" t="e">
        <f t="shared" si="69"/>
        <v>#REF!</v>
      </c>
      <c r="AA122" t="e">
        <f t="shared" si="70"/>
        <v>#REF!</v>
      </c>
      <c r="AD122" t="e">
        <f>Reflection!A122</f>
        <v>#REF!</v>
      </c>
      <c r="AE122" t="s">
        <v>13</v>
      </c>
      <c r="AF122" t="e">
        <f t="shared" si="71"/>
        <v>#REF!</v>
      </c>
      <c r="AG122" t="e">
        <f t="shared" si="72"/>
        <v>#REF!</v>
      </c>
      <c r="AH122" t="e">
        <f t="shared" si="73"/>
        <v>#REF!</v>
      </c>
      <c r="AI122" t="e">
        <f t="shared" si="74"/>
        <v>#REF!</v>
      </c>
      <c r="AJ122" t="e">
        <f t="shared" si="75"/>
        <v>#REF!</v>
      </c>
      <c r="AK122" t="e">
        <f t="shared" si="76"/>
        <v>#REF!</v>
      </c>
      <c r="AN122" t="e">
        <f>Reflection!A122</f>
        <v>#REF!</v>
      </c>
      <c r="AO122" t="s">
        <v>13</v>
      </c>
      <c r="AP122" t="e">
        <f t="shared" si="77"/>
        <v>#REF!</v>
      </c>
      <c r="AQ122" t="e">
        <f t="shared" si="78"/>
        <v>#REF!</v>
      </c>
      <c r="AR122" t="e">
        <f t="shared" si="79"/>
        <v>#REF!</v>
      </c>
      <c r="AS122" t="e">
        <f t="shared" si="80"/>
        <v>#REF!</v>
      </c>
      <c r="AT122" t="e">
        <f t="shared" si="81"/>
        <v>#REF!</v>
      </c>
      <c r="AU122" t="e">
        <f t="shared" si="82"/>
        <v>#REF!</v>
      </c>
      <c r="AX122" t="e">
        <f>Reflection!A122</f>
        <v>#REF!</v>
      </c>
      <c r="AY122" t="s">
        <v>13</v>
      </c>
      <c r="AZ122" t="e">
        <f t="shared" si="83"/>
        <v>#REF!</v>
      </c>
      <c r="BA122" t="e">
        <f t="shared" si="84"/>
        <v>#REF!</v>
      </c>
      <c r="BB122" t="e">
        <f t="shared" si="85"/>
        <v>#REF!</v>
      </c>
      <c r="BC122" t="e">
        <f t="shared" si="86"/>
        <v>#REF!</v>
      </c>
      <c r="BD122" t="e">
        <f t="shared" si="87"/>
        <v>#REF!</v>
      </c>
      <c r="BE122" t="e">
        <f t="shared" si="88"/>
        <v>#REF!</v>
      </c>
      <c r="BH122" t="e">
        <f>Reflection!A122</f>
        <v>#REF!</v>
      </c>
      <c r="BI122" t="e">
        <f t="shared" si="89"/>
        <v>#REF!</v>
      </c>
      <c r="BJ122" t="e">
        <f t="shared" si="90"/>
        <v>#REF!</v>
      </c>
      <c r="BK122" t="e">
        <f t="shared" si="91"/>
        <v>#REF!</v>
      </c>
      <c r="BL122" t="e">
        <f t="shared" si="92"/>
        <v>#REF!</v>
      </c>
      <c r="BM122" t="e">
        <f t="shared" si="93"/>
        <v>#REF!</v>
      </c>
      <c r="BN122" t="e">
        <f t="shared" si="94"/>
        <v>#REF!</v>
      </c>
      <c r="BR122" t="e">
        <f>Reflection!A122</f>
        <v>#REF!</v>
      </c>
      <c r="BS122" t="s">
        <v>13</v>
      </c>
      <c r="BT122" t="e">
        <f t="shared" si="95"/>
        <v>#REF!</v>
      </c>
      <c r="BU122" t="e">
        <f t="shared" si="103"/>
        <v>#REF!</v>
      </c>
      <c r="BV122" t="e">
        <f t="shared" si="96"/>
        <v>#REF!</v>
      </c>
      <c r="BW122" t="e">
        <f t="shared" si="97"/>
        <v>#REF!</v>
      </c>
      <c r="BX122" t="e">
        <f t="shared" si="98"/>
        <v>#REF!</v>
      </c>
      <c r="BY122" t="e">
        <f t="shared" si="99"/>
        <v>#REF!</v>
      </c>
    </row>
    <row r="123" spans="1:77" x14ac:dyDescent="0.15">
      <c r="A123" t="e">
        <f>Reflection!A123</f>
        <v>#REF!</v>
      </c>
      <c r="B123" t="e">
        <f t="shared" si="100"/>
        <v>#REF!</v>
      </c>
      <c r="C123" t="e">
        <f t="shared" si="101"/>
        <v>#REF!</v>
      </c>
      <c r="D123" t="e">
        <f t="shared" si="56"/>
        <v>#REF!</v>
      </c>
      <c r="E123" t="e">
        <f t="shared" si="57"/>
        <v>#REF!</v>
      </c>
      <c r="F123" t="e">
        <f t="shared" si="58"/>
        <v>#REF!</v>
      </c>
      <c r="G123" t="e">
        <f t="shared" si="102"/>
        <v>#REF!</v>
      </c>
      <c r="J123" t="e">
        <f>Reflection!A123</f>
        <v>#REF!</v>
      </c>
      <c r="K123" t="s">
        <v>13</v>
      </c>
      <c r="L123" t="e">
        <f t="shared" si="59"/>
        <v>#REF!</v>
      </c>
      <c r="M123" t="e">
        <f t="shared" si="60"/>
        <v>#REF!</v>
      </c>
      <c r="N123" t="e">
        <f t="shared" si="61"/>
        <v>#REF!</v>
      </c>
      <c r="O123" t="e">
        <f t="shared" si="62"/>
        <v>#REF!</v>
      </c>
      <c r="P123" t="e">
        <f t="shared" si="63"/>
        <v>#REF!</v>
      </c>
      <c r="Q123" t="e">
        <f t="shared" si="64"/>
        <v>#REF!</v>
      </c>
      <c r="T123" t="e">
        <f>Reflection!A123</f>
        <v>#REF!</v>
      </c>
      <c r="U123" t="s">
        <v>13</v>
      </c>
      <c r="V123" t="e">
        <f t="shared" si="65"/>
        <v>#REF!</v>
      </c>
      <c r="W123" t="e">
        <f t="shared" si="66"/>
        <v>#REF!</v>
      </c>
      <c r="X123" t="e">
        <f t="shared" si="67"/>
        <v>#REF!</v>
      </c>
      <c r="Y123" t="e">
        <f t="shared" si="68"/>
        <v>#REF!</v>
      </c>
      <c r="Z123" t="e">
        <f t="shared" si="69"/>
        <v>#REF!</v>
      </c>
      <c r="AA123" t="e">
        <f t="shared" si="70"/>
        <v>#REF!</v>
      </c>
      <c r="AD123" t="e">
        <f>Reflection!A123</f>
        <v>#REF!</v>
      </c>
      <c r="AE123" t="s">
        <v>13</v>
      </c>
      <c r="AF123" t="e">
        <f t="shared" si="71"/>
        <v>#REF!</v>
      </c>
      <c r="AG123" t="e">
        <f t="shared" si="72"/>
        <v>#REF!</v>
      </c>
      <c r="AH123" t="e">
        <f t="shared" si="73"/>
        <v>#REF!</v>
      </c>
      <c r="AI123" t="e">
        <f t="shared" si="74"/>
        <v>#REF!</v>
      </c>
      <c r="AJ123" t="e">
        <f t="shared" si="75"/>
        <v>#REF!</v>
      </c>
      <c r="AK123" t="e">
        <f t="shared" si="76"/>
        <v>#REF!</v>
      </c>
      <c r="AN123" t="e">
        <f>Reflection!A123</f>
        <v>#REF!</v>
      </c>
      <c r="AO123" t="s">
        <v>13</v>
      </c>
      <c r="AP123" t="e">
        <f t="shared" si="77"/>
        <v>#REF!</v>
      </c>
      <c r="AQ123" t="e">
        <f t="shared" si="78"/>
        <v>#REF!</v>
      </c>
      <c r="AR123" t="e">
        <f t="shared" si="79"/>
        <v>#REF!</v>
      </c>
      <c r="AS123" t="e">
        <f t="shared" si="80"/>
        <v>#REF!</v>
      </c>
      <c r="AT123" t="e">
        <f t="shared" si="81"/>
        <v>#REF!</v>
      </c>
      <c r="AU123" t="e">
        <f t="shared" si="82"/>
        <v>#REF!</v>
      </c>
      <c r="AX123" t="e">
        <f>Reflection!A123</f>
        <v>#REF!</v>
      </c>
      <c r="AY123" t="s">
        <v>13</v>
      </c>
      <c r="AZ123" t="e">
        <f t="shared" si="83"/>
        <v>#REF!</v>
      </c>
      <c r="BA123" t="e">
        <f t="shared" si="84"/>
        <v>#REF!</v>
      </c>
      <c r="BB123" t="e">
        <f t="shared" si="85"/>
        <v>#REF!</v>
      </c>
      <c r="BC123" t="e">
        <f t="shared" si="86"/>
        <v>#REF!</v>
      </c>
      <c r="BD123" t="e">
        <f t="shared" si="87"/>
        <v>#REF!</v>
      </c>
      <c r="BE123" t="e">
        <f t="shared" si="88"/>
        <v>#REF!</v>
      </c>
      <c r="BH123" t="e">
        <f>Reflection!A123</f>
        <v>#REF!</v>
      </c>
      <c r="BI123" t="e">
        <f t="shared" si="89"/>
        <v>#REF!</v>
      </c>
      <c r="BJ123" t="e">
        <f t="shared" si="90"/>
        <v>#REF!</v>
      </c>
      <c r="BK123" t="e">
        <f t="shared" si="91"/>
        <v>#REF!</v>
      </c>
      <c r="BL123" t="e">
        <f t="shared" si="92"/>
        <v>#REF!</v>
      </c>
      <c r="BM123" t="e">
        <f t="shared" si="93"/>
        <v>#REF!</v>
      </c>
      <c r="BN123" t="e">
        <f t="shared" si="94"/>
        <v>#REF!</v>
      </c>
      <c r="BR123" t="e">
        <f>Reflection!A123</f>
        <v>#REF!</v>
      </c>
      <c r="BS123" t="s">
        <v>13</v>
      </c>
      <c r="BT123" t="e">
        <f t="shared" si="95"/>
        <v>#REF!</v>
      </c>
      <c r="BU123" t="e">
        <f t="shared" si="103"/>
        <v>#REF!</v>
      </c>
      <c r="BV123" t="e">
        <f t="shared" si="96"/>
        <v>#REF!</v>
      </c>
      <c r="BW123" t="e">
        <f t="shared" si="97"/>
        <v>#REF!</v>
      </c>
      <c r="BX123" t="e">
        <f t="shared" si="98"/>
        <v>#REF!</v>
      </c>
      <c r="BY123" t="e">
        <f t="shared" si="99"/>
        <v>#REF!</v>
      </c>
    </row>
    <row r="124" spans="1:77" x14ac:dyDescent="0.15">
      <c r="A124" t="e">
        <f>Reflection!A124</f>
        <v>#REF!</v>
      </c>
      <c r="B124" t="e">
        <f t="shared" si="100"/>
        <v>#REF!</v>
      </c>
      <c r="C124" t="e">
        <f t="shared" si="101"/>
        <v>#REF!</v>
      </c>
      <c r="D124" t="e">
        <f t="shared" si="56"/>
        <v>#REF!</v>
      </c>
      <c r="E124" t="e">
        <f t="shared" si="57"/>
        <v>#REF!</v>
      </c>
      <c r="F124" t="e">
        <f t="shared" si="58"/>
        <v>#REF!</v>
      </c>
      <c r="G124" t="e">
        <f t="shared" si="102"/>
        <v>#REF!</v>
      </c>
      <c r="J124" t="e">
        <f>Reflection!A124</f>
        <v>#REF!</v>
      </c>
      <c r="K124" t="s">
        <v>13</v>
      </c>
      <c r="L124" t="e">
        <f t="shared" si="59"/>
        <v>#REF!</v>
      </c>
      <c r="M124" t="e">
        <f t="shared" si="60"/>
        <v>#REF!</v>
      </c>
      <c r="N124" t="e">
        <f t="shared" si="61"/>
        <v>#REF!</v>
      </c>
      <c r="O124" t="e">
        <f t="shared" si="62"/>
        <v>#REF!</v>
      </c>
      <c r="P124" t="e">
        <f t="shared" si="63"/>
        <v>#REF!</v>
      </c>
      <c r="Q124" t="e">
        <f t="shared" si="64"/>
        <v>#REF!</v>
      </c>
      <c r="T124" t="e">
        <f>Reflection!A124</f>
        <v>#REF!</v>
      </c>
      <c r="U124" t="s">
        <v>13</v>
      </c>
      <c r="V124" t="e">
        <f t="shared" si="65"/>
        <v>#REF!</v>
      </c>
      <c r="W124" t="e">
        <f t="shared" si="66"/>
        <v>#REF!</v>
      </c>
      <c r="X124" t="e">
        <f t="shared" si="67"/>
        <v>#REF!</v>
      </c>
      <c r="Y124" t="e">
        <f t="shared" si="68"/>
        <v>#REF!</v>
      </c>
      <c r="Z124" t="e">
        <f t="shared" si="69"/>
        <v>#REF!</v>
      </c>
      <c r="AA124" t="e">
        <f t="shared" si="70"/>
        <v>#REF!</v>
      </c>
      <c r="AD124" t="e">
        <f>Reflection!A124</f>
        <v>#REF!</v>
      </c>
      <c r="AE124" t="s">
        <v>13</v>
      </c>
      <c r="AF124" t="e">
        <f t="shared" si="71"/>
        <v>#REF!</v>
      </c>
      <c r="AG124" t="e">
        <f t="shared" si="72"/>
        <v>#REF!</v>
      </c>
      <c r="AH124" t="e">
        <f t="shared" si="73"/>
        <v>#REF!</v>
      </c>
      <c r="AI124" t="e">
        <f t="shared" si="74"/>
        <v>#REF!</v>
      </c>
      <c r="AJ124" t="e">
        <f t="shared" si="75"/>
        <v>#REF!</v>
      </c>
      <c r="AK124" t="e">
        <f t="shared" si="76"/>
        <v>#REF!</v>
      </c>
      <c r="AN124" t="e">
        <f>Reflection!A124</f>
        <v>#REF!</v>
      </c>
      <c r="AO124" t="s">
        <v>13</v>
      </c>
      <c r="AP124" t="e">
        <f t="shared" si="77"/>
        <v>#REF!</v>
      </c>
      <c r="AQ124" t="e">
        <f t="shared" si="78"/>
        <v>#REF!</v>
      </c>
      <c r="AR124" t="e">
        <f t="shared" si="79"/>
        <v>#REF!</v>
      </c>
      <c r="AS124" t="e">
        <f t="shared" si="80"/>
        <v>#REF!</v>
      </c>
      <c r="AT124" t="e">
        <f t="shared" si="81"/>
        <v>#REF!</v>
      </c>
      <c r="AU124" t="e">
        <f t="shared" si="82"/>
        <v>#REF!</v>
      </c>
      <c r="AX124" t="e">
        <f>Reflection!A124</f>
        <v>#REF!</v>
      </c>
      <c r="AY124" t="s">
        <v>13</v>
      </c>
      <c r="AZ124" t="e">
        <f t="shared" si="83"/>
        <v>#REF!</v>
      </c>
      <c r="BA124" t="e">
        <f t="shared" si="84"/>
        <v>#REF!</v>
      </c>
      <c r="BB124" t="e">
        <f t="shared" si="85"/>
        <v>#REF!</v>
      </c>
      <c r="BC124" t="e">
        <f t="shared" si="86"/>
        <v>#REF!</v>
      </c>
      <c r="BD124" t="e">
        <f t="shared" si="87"/>
        <v>#REF!</v>
      </c>
      <c r="BE124" t="e">
        <f t="shared" si="88"/>
        <v>#REF!</v>
      </c>
      <c r="BH124" t="e">
        <f>Reflection!A124</f>
        <v>#REF!</v>
      </c>
      <c r="BI124" t="e">
        <f t="shared" si="89"/>
        <v>#REF!</v>
      </c>
      <c r="BJ124" t="e">
        <f t="shared" si="90"/>
        <v>#REF!</v>
      </c>
      <c r="BK124" t="e">
        <f t="shared" si="91"/>
        <v>#REF!</v>
      </c>
      <c r="BL124" t="e">
        <f t="shared" si="92"/>
        <v>#REF!</v>
      </c>
      <c r="BM124" t="e">
        <f t="shared" si="93"/>
        <v>#REF!</v>
      </c>
      <c r="BN124" t="e">
        <f t="shared" si="94"/>
        <v>#REF!</v>
      </c>
      <c r="BR124" t="e">
        <f>Reflection!A124</f>
        <v>#REF!</v>
      </c>
      <c r="BS124" t="s">
        <v>13</v>
      </c>
      <c r="BT124" t="e">
        <f t="shared" si="95"/>
        <v>#REF!</v>
      </c>
      <c r="BU124" t="e">
        <f t="shared" si="103"/>
        <v>#REF!</v>
      </c>
      <c r="BV124" t="e">
        <f t="shared" si="96"/>
        <v>#REF!</v>
      </c>
      <c r="BW124" t="e">
        <f t="shared" si="97"/>
        <v>#REF!</v>
      </c>
      <c r="BX124" t="e">
        <f t="shared" si="98"/>
        <v>#REF!</v>
      </c>
      <c r="BY124" t="e">
        <f t="shared" si="99"/>
        <v>#REF!</v>
      </c>
    </row>
    <row r="125" spans="1:77" x14ac:dyDescent="0.15">
      <c r="A125" t="e">
        <f>Reflection!A125</f>
        <v>#REF!</v>
      </c>
      <c r="B125" t="e">
        <f t="shared" si="100"/>
        <v>#REF!</v>
      </c>
      <c r="C125" t="e">
        <f t="shared" si="101"/>
        <v>#REF!</v>
      </c>
      <c r="D125" t="e">
        <f t="shared" si="56"/>
        <v>#REF!</v>
      </c>
      <c r="E125" t="e">
        <f t="shared" si="57"/>
        <v>#REF!</v>
      </c>
      <c r="F125" t="e">
        <f t="shared" si="58"/>
        <v>#REF!</v>
      </c>
      <c r="G125" t="e">
        <f t="shared" si="102"/>
        <v>#REF!</v>
      </c>
      <c r="J125" t="e">
        <f>Reflection!A125</f>
        <v>#REF!</v>
      </c>
      <c r="K125" t="s">
        <v>13</v>
      </c>
      <c r="L125" t="e">
        <f t="shared" si="59"/>
        <v>#REF!</v>
      </c>
      <c r="M125" t="e">
        <f t="shared" si="60"/>
        <v>#REF!</v>
      </c>
      <c r="N125" t="e">
        <f t="shared" si="61"/>
        <v>#REF!</v>
      </c>
      <c r="O125" t="e">
        <f t="shared" si="62"/>
        <v>#REF!</v>
      </c>
      <c r="P125" t="e">
        <f t="shared" si="63"/>
        <v>#REF!</v>
      </c>
      <c r="Q125" t="e">
        <f t="shared" si="64"/>
        <v>#REF!</v>
      </c>
      <c r="T125" t="e">
        <f>Reflection!A125</f>
        <v>#REF!</v>
      </c>
      <c r="U125" t="s">
        <v>13</v>
      </c>
      <c r="V125" t="e">
        <f t="shared" si="65"/>
        <v>#REF!</v>
      </c>
      <c r="W125" t="e">
        <f t="shared" si="66"/>
        <v>#REF!</v>
      </c>
      <c r="X125" t="e">
        <f t="shared" si="67"/>
        <v>#REF!</v>
      </c>
      <c r="Y125" t="e">
        <f t="shared" si="68"/>
        <v>#REF!</v>
      </c>
      <c r="Z125" t="e">
        <f t="shared" si="69"/>
        <v>#REF!</v>
      </c>
      <c r="AA125" t="e">
        <f t="shared" si="70"/>
        <v>#REF!</v>
      </c>
      <c r="AD125" t="e">
        <f>Reflection!A125</f>
        <v>#REF!</v>
      </c>
      <c r="AE125" t="s">
        <v>13</v>
      </c>
      <c r="AF125" t="e">
        <f t="shared" si="71"/>
        <v>#REF!</v>
      </c>
      <c r="AG125" t="e">
        <f t="shared" si="72"/>
        <v>#REF!</v>
      </c>
      <c r="AH125" t="e">
        <f t="shared" si="73"/>
        <v>#REF!</v>
      </c>
      <c r="AI125" t="e">
        <f t="shared" si="74"/>
        <v>#REF!</v>
      </c>
      <c r="AJ125" t="e">
        <f t="shared" si="75"/>
        <v>#REF!</v>
      </c>
      <c r="AK125" t="e">
        <f t="shared" si="76"/>
        <v>#REF!</v>
      </c>
      <c r="AN125" t="e">
        <f>Reflection!A125</f>
        <v>#REF!</v>
      </c>
      <c r="AO125" t="s">
        <v>13</v>
      </c>
      <c r="AP125" t="e">
        <f t="shared" si="77"/>
        <v>#REF!</v>
      </c>
      <c r="AQ125" t="e">
        <f t="shared" si="78"/>
        <v>#REF!</v>
      </c>
      <c r="AR125" t="e">
        <f t="shared" si="79"/>
        <v>#REF!</v>
      </c>
      <c r="AS125" t="e">
        <f t="shared" si="80"/>
        <v>#REF!</v>
      </c>
      <c r="AT125" t="e">
        <f t="shared" si="81"/>
        <v>#REF!</v>
      </c>
      <c r="AU125" t="e">
        <f t="shared" si="82"/>
        <v>#REF!</v>
      </c>
      <c r="AX125" t="e">
        <f>Reflection!A125</f>
        <v>#REF!</v>
      </c>
      <c r="AY125" t="s">
        <v>13</v>
      </c>
      <c r="AZ125" t="e">
        <f t="shared" si="83"/>
        <v>#REF!</v>
      </c>
      <c r="BA125" t="e">
        <f t="shared" si="84"/>
        <v>#REF!</v>
      </c>
      <c r="BB125" t="e">
        <f t="shared" si="85"/>
        <v>#REF!</v>
      </c>
      <c r="BC125" t="e">
        <f t="shared" si="86"/>
        <v>#REF!</v>
      </c>
      <c r="BD125" t="e">
        <f t="shared" si="87"/>
        <v>#REF!</v>
      </c>
      <c r="BE125" t="e">
        <f t="shared" si="88"/>
        <v>#REF!</v>
      </c>
      <c r="BH125" t="e">
        <f>Reflection!A125</f>
        <v>#REF!</v>
      </c>
      <c r="BI125" t="e">
        <f t="shared" si="89"/>
        <v>#REF!</v>
      </c>
      <c r="BJ125" t="e">
        <f t="shared" si="90"/>
        <v>#REF!</v>
      </c>
      <c r="BK125" t="e">
        <f t="shared" si="91"/>
        <v>#REF!</v>
      </c>
      <c r="BL125" t="e">
        <f t="shared" si="92"/>
        <v>#REF!</v>
      </c>
      <c r="BM125" t="e">
        <f t="shared" si="93"/>
        <v>#REF!</v>
      </c>
      <c r="BN125" t="e">
        <f t="shared" si="94"/>
        <v>#REF!</v>
      </c>
      <c r="BR125" t="e">
        <f>Reflection!A125</f>
        <v>#REF!</v>
      </c>
      <c r="BS125" t="s">
        <v>13</v>
      </c>
      <c r="BT125" t="e">
        <f t="shared" si="95"/>
        <v>#REF!</v>
      </c>
      <c r="BU125" t="e">
        <f t="shared" si="103"/>
        <v>#REF!</v>
      </c>
      <c r="BV125" t="e">
        <f t="shared" si="96"/>
        <v>#REF!</v>
      </c>
      <c r="BW125" t="e">
        <f t="shared" si="97"/>
        <v>#REF!</v>
      </c>
      <c r="BX125" t="e">
        <f t="shared" si="98"/>
        <v>#REF!</v>
      </c>
      <c r="BY125" t="e">
        <f t="shared" si="99"/>
        <v>#REF!</v>
      </c>
    </row>
    <row r="126" spans="1:77" x14ac:dyDescent="0.15">
      <c r="A126" t="e">
        <f>Reflection!A126</f>
        <v>#REF!</v>
      </c>
      <c r="B126" t="e">
        <f t="shared" si="100"/>
        <v>#REF!</v>
      </c>
      <c r="C126" t="e">
        <f t="shared" si="101"/>
        <v>#REF!</v>
      </c>
      <c r="D126" t="e">
        <f t="shared" si="56"/>
        <v>#REF!</v>
      </c>
      <c r="E126" t="e">
        <f t="shared" si="57"/>
        <v>#REF!</v>
      </c>
      <c r="F126" t="e">
        <f t="shared" si="58"/>
        <v>#REF!</v>
      </c>
      <c r="G126" t="e">
        <f t="shared" si="102"/>
        <v>#REF!</v>
      </c>
      <c r="J126" t="e">
        <f>Reflection!A126</f>
        <v>#REF!</v>
      </c>
      <c r="K126" t="s">
        <v>13</v>
      </c>
      <c r="L126" t="e">
        <f t="shared" si="59"/>
        <v>#REF!</v>
      </c>
      <c r="M126" t="e">
        <f t="shared" si="60"/>
        <v>#REF!</v>
      </c>
      <c r="N126" t="e">
        <f t="shared" si="61"/>
        <v>#REF!</v>
      </c>
      <c r="O126" t="e">
        <f t="shared" si="62"/>
        <v>#REF!</v>
      </c>
      <c r="P126" t="e">
        <f t="shared" si="63"/>
        <v>#REF!</v>
      </c>
      <c r="Q126" t="e">
        <f t="shared" si="64"/>
        <v>#REF!</v>
      </c>
      <c r="T126" t="e">
        <f>Reflection!A126</f>
        <v>#REF!</v>
      </c>
      <c r="U126" t="s">
        <v>13</v>
      </c>
      <c r="V126" t="e">
        <f t="shared" si="65"/>
        <v>#REF!</v>
      </c>
      <c r="W126" t="e">
        <f t="shared" si="66"/>
        <v>#REF!</v>
      </c>
      <c r="X126" t="e">
        <f t="shared" si="67"/>
        <v>#REF!</v>
      </c>
      <c r="Y126" t="e">
        <f t="shared" si="68"/>
        <v>#REF!</v>
      </c>
      <c r="Z126" t="e">
        <f t="shared" si="69"/>
        <v>#REF!</v>
      </c>
      <c r="AA126" t="e">
        <f t="shared" si="70"/>
        <v>#REF!</v>
      </c>
      <c r="AD126" t="e">
        <f>Reflection!A126</f>
        <v>#REF!</v>
      </c>
      <c r="AE126" t="s">
        <v>13</v>
      </c>
      <c r="AF126" t="e">
        <f t="shared" si="71"/>
        <v>#REF!</v>
      </c>
      <c r="AG126" t="e">
        <f t="shared" si="72"/>
        <v>#REF!</v>
      </c>
      <c r="AH126" t="e">
        <f t="shared" si="73"/>
        <v>#REF!</v>
      </c>
      <c r="AI126" t="e">
        <f t="shared" si="74"/>
        <v>#REF!</v>
      </c>
      <c r="AJ126" t="e">
        <f t="shared" si="75"/>
        <v>#REF!</v>
      </c>
      <c r="AK126" t="e">
        <f t="shared" si="76"/>
        <v>#REF!</v>
      </c>
      <c r="AN126" t="e">
        <f>Reflection!A126</f>
        <v>#REF!</v>
      </c>
      <c r="AO126" t="s">
        <v>13</v>
      </c>
      <c r="AP126" t="e">
        <f t="shared" si="77"/>
        <v>#REF!</v>
      </c>
      <c r="AQ126" t="e">
        <f t="shared" si="78"/>
        <v>#REF!</v>
      </c>
      <c r="AR126" t="e">
        <f t="shared" si="79"/>
        <v>#REF!</v>
      </c>
      <c r="AS126" t="e">
        <f t="shared" si="80"/>
        <v>#REF!</v>
      </c>
      <c r="AT126" t="e">
        <f t="shared" si="81"/>
        <v>#REF!</v>
      </c>
      <c r="AU126" t="e">
        <f t="shared" si="82"/>
        <v>#REF!</v>
      </c>
      <c r="AX126" t="e">
        <f>Reflection!A126</f>
        <v>#REF!</v>
      </c>
      <c r="AY126" t="s">
        <v>13</v>
      </c>
      <c r="AZ126" t="e">
        <f t="shared" si="83"/>
        <v>#REF!</v>
      </c>
      <c r="BA126" t="e">
        <f t="shared" si="84"/>
        <v>#REF!</v>
      </c>
      <c r="BB126" t="e">
        <f t="shared" si="85"/>
        <v>#REF!</v>
      </c>
      <c r="BC126" t="e">
        <f t="shared" si="86"/>
        <v>#REF!</v>
      </c>
      <c r="BD126" t="e">
        <f t="shared" si="87"/>
        <v>#REF!</v>
      </c>
      <c r="BE126" t="e">
        <f t="shared" si="88"/>
        <v>#REF!</v>
      </c>
      <c r="BH126" t="e">
        <f>Reflection!A126</f>
        <v>#REF!</v>
      </c>
      <c r="BI126" t="e">
        <f t="shared" si="89"/>
        <v>#REF!</v>
      </c>
      <c r="BJ126" t="e">
        <f t="shared" si="90"/>
        <v>#REF!</v>
      </c>
      <c r="BK126" t="e">
        <f t="shared" si="91"/>
        <v>#REF!</v>
      </c>
      <c r="BL126" t="e">
        <f t="shared" si="92"/>
        <v>#REF!</v>
      </c>
      <c r="BM126" t="e">
        <f t="shared" si="93"/>
        <v>#REF!</v>
      </c>
      <c r="BN126" t="e">
        <f t="shared" si="94"/>
        <v>#REF!</v>
      </c>
      <c r="BR126" t="e">
        <f>Reflection!A126</f>
        <v>#REF!</v>
      </c>
      <c r="BS126" t="s">
        <v>13</v>
      </c>
      <c r="BT126" t="e">
        <f t="shared" si="95"/>
        <v>#REF!</v>
      </c>
      <c r="BU126" t="e">
        <f t="shared" si="103"/>
        <v>#REF!</v>
      </c>
      <c r="BV126" t="e">
        <f t="shared" si="96"/>
        <v>#REF!</v>
      </c>
      <c r="BW126" t="e">
        <f t="shared" si="97"/>
        <v>#REF!</v>
      </c>
      <c r="BX126" t="e">
        <f t="shared" si="98"/>
        <v>#REF!</v>
      </c>
      <c r="BY126" t="e">
        <f t="shared" si="99"/>
        <v>#REF!</v>
      </c>
    </row>
    <row r="127" spans="1:77" x14ac:dyDescent="0.15">
      <c r="A127" t="e">
        <f>Reflection!A127</f>
        <v>#REF!</v>
      </c>
      <c r="B127" t="e">
        <f t="shared" si="100"/>
        <v>#REF!</v>
      </c>
      <c r="C127" t="e">
        <f t="shared" si="101"/>
        <v>#REF!</v>
      </c>
      <c r="D127" t="e">
        <f t="shared" si="56"/>
        <v>#REF!</v>
      </c>
      <c r="E127" t="e">
        <f t="shared" si="57"/>
        <v>#REF!</v>
      </c>
      <c r="F127" t="e">
        <f t="shared" si="58"/>
        <v>#REF!</v>
      </c>
      <c r="G127" t="e">
        <f t="shared" si="102"/>
        <v>#REF!</v>
      </c>
      <c r="J127" t="e">
        <f>Reflection!A127</f>
        <v>#REF!</v>
      </c>
      <c r="K127" t="s">
        <v>13</v>
      </c>
      <c r="L127" t="e">
        <f t="shared" si="59"/>
        <v>#REF!</v>
      </c>
      <c r="M127" t="e">
        <f t="shared" si="60"/>
        <v>#REF!</v>
      </c>
      <c r="N127" t="e">
        <f t="shared" si="61"/>
        <v>#REF!</v>
      </c>
      <c r="O127" t="e">
        <f t="shared" si="62"/>
        <v>#REF!</v>
      </c>
      <c r="P127" t="e">
        <f t="shared" si="63"/>
        <v>#REF!</v>
      </c>
      <c r="Q127" t="e">
        <f t="shared" si="64"/>
        <v>#REF!</v>
      </c>
      <c r="T127" t="e">
        <f>Reflection!A127</f>
        <v>#REF!</v>
      </c>
      <c r="U127" t="s">
        <v>13</v>
      </c>
      <c r="V127" t="e">
        <f t="shared" si="65"/>
        <v>#REF!</v>
      </c>
      <c r="W127" t="e">
        <f t="shared" si="66"/>
        <v>#REF!</v>
      </c>
      <c r="X127" t="e">
        <f t="shared" si="67"/>
        <v>#REF!</v>
      </c>
      <c r="Y127" t="e">
        <f t="shared" si="68"/>
        <v>#REF!</v>
      </c>
      <c r="Z127" t="e">
        <f t="shared" si="69"/>
        <v>#REF!</v>
      </c>
      <c r="AA127" t="e">
        <f t="shared" si="70"/>
        <v>#REF!</v>
      </c>
      <c r="AD127" t="e">
        <f>Reflection!A127</f>
        <v>#REF!</v>
      </c>
      <c r="AE127" t="s">
        <v>13</v>
      </c>
      <c r="AF127" t="e">
        <f t="shared" si="71"/>
        <v>#REF!</v>
      </c>
      <c r="AG127" t="e">
        <f t="shared" si="72"/>
        <v>#REF!</v>
      </c>
      <c r="AH127" t="e">
        <f t="shared" si="73"/>
        <v>#REF!</v>
      </c>
      <c r="AI127" t="e">
        <f t="shared" si="74"/>
        <v>#REF!</v>
      </c>
      <c r="AJ127" t="e">
        <f t="shared" si="75"/>
        <v>#REF!</v>
      </c>
      <c r="AK127" t="e">
        <f t="shared" si="76"/>
        <v>#REF!</v>
      </c>
      <c r="AN127" t="e">
        <f>Reflection!A127</f>
        <v>#REF!</v>
      </c>
      <c r="AO127" t="s">
        <v>13</v>
      </c>
      <c r="AP127" t="e">
        <f t="shared" si="77"/>
        <v>#REF!</v>
      </c>
      <c r="AQ127" t="e">
        <f t="shared" si="78"/>
        <v>#REF!</v>
      </c>
      <c r="AR127" t="e">
        <f t="shared" si="79"/>
        <v>#REF!</v>
      </c>
      <c r="AS127" t="e">
        <f t="shared" si="80"/>
        <v>#REF!</v>
      </c>
      <c r="AT127" t="e">
        <f t="shared" si="81"/>
        <v>#REF!</v>
      </c>
      <c r="AU127" t="e">
        <f t="shared" si="82"/>
        <v>#REF!</v>
      </c>
      <c r="AX127" t="e">
        <f>Reflection!A127</f>
        <v>#REF!</v>
      </c>
      <c r="AY127" t="s">
        <v>13</v>
      </c>
      <c r="AZ127" t="e">
        <f t="shared" si="83"/>
        <v>#REF!</v>
      </c>
      <c r="BA127" t="e">
        <f t="shared" si="84"/>
        <v>#REF!</v>
      </c>
      <c r="BB127" t="e">
        <f t="shared" si="85"/>
        <v>#REF!</v>
      </c>
      <c r="BC127" t="e">
        <f t="shared" si="86"/>
        <v>#REF!</v>
      </c>
      <c r="BD127" t="e">
        <f t="shared" si="87"/>
        <v>#REF!</v>
      </c>
      <c r="BE127" t="e">
        <f t="shared" si="88"/>
        <v>#REF!</v>
      </c>
      <c r="BH127" t="e">
        <f>Reflection!A127</f>
        <v>#REF!</v>
      </c>
      <c r="BI127" t="e">
        <f t="shared" si="89"/>
        <v>#REF!</v>
      </c>
      <c r="BJ127" t="e">
        <f t="shared" si="90"/>
        <v>#REF!</v>
      </c>
      <c r="BK127" t="e">
        <f t="shared" si="91"/>
        <v>#REF!</v>
      </c>
      <c r="BL127" t="e">
        <f t="shared" si="92"/>
        <v>#REF!</v>
      </c>
      <c r="BM127" t="e">
        <f t="shared" si="93"/>
        <v>#REF!</v>
      </c>
      <c r="BN127" t="e">
        <f t="shared" si="94"/>
        <v>#REF!</v>
      </c>
      <c r="BR127" t="e">
        <f>Reflection!A127</f>
        <v>#REF!</v>
      </c>
      <c r="BS127" t="s">
        <v>13</v>
      </c>
      <c r="BT127" t="e">
        <f t="shared" si="95"/>
        <v>#REF!</v>
      </c>
      <c r="BU127" t="e">
        <f t="shared" si="103"/>
        <v>#REF!</v>
      </c>
      <c r="BV127" t="e">
        <f t="shared" si="96"/>
        <v>#REF!</v>
      </c>
      <c r="BW127" t="e">
        <f t="shared" si="97"/>
        <v>#REF!</v>
      </c>
      <c r="BX127" t="e">
        <f t="shared" si="98"/>
        <v>#REF!</v>
      </c>
      <c r="BY127" t="e">
        <f t="shared" si="99"/>
        <v>#REF!</v>
      </c>
    </row>
    <row r="128" spans="1:77" x14ac:dyDescent="0.15">
      <c r="A128" t="e">
        <f>Reflection!A128</f>
        <v>#REF!</v>
      </c>
      <c r="B128" t="e">
        <f t="shared" si="100"/>
        <v>#REF!</v>
      </c>
      <c r="C128" t="e">
        <f t="shared" si="101"/>
        <v>#REF!</v>
      </c>
      <c r="D128" t="e">
        <f t="shared" si="56"/>
        <v>#REF!</v>
      </c>
      <c r="E128" t="e">
        <f t="shared" si="57"/>
        <v>#REF!</v>
      </c>
      <c r="F128" t="e">
        <f t="shared" si="58"/>
        <v>#REF!</v>
      </c>
      <c r="G128" t="e">
        <f t="shared" si="102"/>
        <v>#REF!</v>
      </c>
      <c r="J128" t="e">
        <f>Reflection!A128</f>
        <v>#REF!</v>
      </c>
      <c r="K128" t="s">
        <v>13</v>
      </c>
      <c r="L128" t="e">
        <f t="shared" si="59"/>
        <v>#REF!</v>
      </c>
      <c r="M128" t="e">
        <f t="shared" si="60"/>
        <v>#REF!</v>
      </c>
      <c r="N128" t="e">
        <f t="shared" si="61"/>
        <v>#REF!</v>
      </c>
      <c r="O128" t="e">
        <f t="shared" si="62"/>
        <v>#REF!</v>
      </c>
      <c r="P128" t="e">
        <f t="shared" si="63"/>
        <v>#REF!</v>
      </c>
      <c r="Q128" t="e">
        <f t="shared" si="64"/>
        <v>#REF!</v>
      </c>
      <c r="T128" t="e">
        <f>Reflection!A128</f>
        <v>#REF!</v>
      </c>
      <c r="U128" t="s">
        <v>13</v>
      </c>
      <c r="V128" t="e">
        <f t="shared" si="65"/>
        <v>#REF!</v>
      </c>
      <c r="W128" t="e">
        <f t="shared" si="66"/>
        <v>#REF!</v>
      </c>
      <c r="X128" t="e">
        <f t="shared" si="67"/>
        <v>#REF!</v>
      </c>
      <c r="Y128" t="e">
        <f t="shared" si="68"/>
        <v>#REF!</v>
      </c>
      <c r="Z128" t="e">
        <f t="shared" si="69"/>
        <v>#REF!</v>
      </c>
      <c r="AA128" t="e">
        <f t="shared" si="70"/>
        <v>#REF!</v>
      </c>
      <c r="AD128" t="e">
        <f>Reflection!A128</f>
        <v>#REF!</v>
      </c>
      <c r="AE128" t="s">
        <v>13</v>
      </c>
      <c r="AF128" t="e">
        <f t="shared" si="71"/>
        <v>#REF!</v>
      </c>
      <c r="AG128" t="e">
        <f t="shared" si="72"/>
        <v>#REF!</v>
      </c>
      <c r="AH128" t="e">
        <f t="shared" si="73"/>
        <v>#REF!</v>
      </c>
      <c r="AI128" t="e">
        <f t="shared" si="74"/>
        <v>#REF!</v>
      </c>
      <c r="AJ128" t="e">
        <f t="shared" si="75"/>
        <v>#REF!</v>
      </c>
      <c r="AK128" t="e">
        <f t="shared" si="76"/>
        <v>#REF!</v>
      </c>
      <c r="AN128" t="e">
        <f>Reflection!A128</f>
        <v>#REF!</v>
      </c>
      <c r="AO128" t="s">
        <v>13</v>
      </c>
      <c r="AP128" t="e">
        <f t="shared" si="77"/>
        <v>#REF!</v>
      </c>
      <c r="AQ128" t="e">
        <f t="shared" si="78"/>
        <v>#REF!</v>
      </c>
      <c r="AR128" t="e">
        <f t="shared" si="79"/>
        <v>#REF!</v>
      </c>
      <c r="AS128" t="e">
        <f t="shared" si="80"/>
        <v>#REF!</v>
      </c>
      <c r="AT128" t="e">
        <f t="shared" si="81"/>
        <v>#REF!</v>
      </c>
      <c r="AU128" t="e">
        <f t="shared" si="82"/>
        <v>#REF!</v>
      </c>
      <c r="AX128" t="e">
        <f>Reflection!A128</f>
        <v>#REF!</v>
      </c>
      <c r="AY128" t="s">
        <v>13</v>
      </c>
      <c r="AZ128" t="e">
        <f t="shared" si="83"/>
        <v>#REF!</v>
      </c>
      <c r="BA128" t="e">
        <f t="shared" si="84"/>
        <v>#REF!</v>
      </c>
      <c r="BB128" t="e">
        <f t="shared" si="85"/>
        <v>#REF!</v>
      </c>
      <c r="BC128" t="e">
        <f t="shared" si="86"/>
        <v>#REF!</v>
      </c>
      <c r="BD128" t="e">
        <f t="shared" si="87"/>
        <v>#REF!</v>
      </c>
      <c r="BE128" t="e">
        <f t="shared" si="88"/>
        <v>#REF!</v>
      </c>
      <c r="BH128" t="e">
        <f>Reflection!A128</f>
        <v>#REF!</v>
      </c>
      <c r="BI128" t="e">
        <f t="shared" si="89"/>
        <v>#REF!</v>
      </c>
      <c r="BJ128" t="e">
        <f t="shared" si="90"/>
        <v>#REF!</v>
      </c>
      <c r="BK128" t="e">
        <f t="shared" si="91"/>
        <v>#REF!</v>
      </c>
      <c r="BL128" t="e">
        <f t="shared" si="92"/>
        <v>#REF!</v>
      </c>
      <c r="BM128" t="e">
        <f t="shared" si="93"/>
        <v>#REF!</v>
      </c>
      <c r="BN128" t="e">
        <f t="shared" si="94"/>
        <v>#REF!</v>
      </c>
      <c r="BR128" t="e">
        <f>Reflection!A128</f>
        <v>#REF!</v>
      </c>
      <c r="BS128" t="s">
        <v>13</v>
      </c>
      <c r="BT128" t="e">
        <f t="shared" si="95"/>
        <v>#REF!</v>
      </c>
      <c r="BU128" t="e">
        <f t="shared" si="103"/>
        <v>#REF!</v>
      </c>
      <c r="BV128" t="e">
        <f t="shared" si="96"/>
        <v>#REF!</v>
      </c>
      <c r="BW128" t="e">
        <f t="shared" si="97"/>
        <v>#REF!</v>
      </c>
      <c r="BX128" t="e">
        <f t="shared" si="98"/>
        <v>#REF!</v>
      </c>
      <c r="BY128" t="e">
        <f t="shared" si="99"/>
        <v>#REF!</v>
      </c>
    </row>
    <row r="129" spans="1:77" x14ac:dyDescent="0.15">
      <c r="A129" t="e">
        <f>Reflection!A129</f>
        <v>#REF!</v>
      </c>
      <c r="B129" t="e">
        <f t="shared" si="100"/>
        <v>#REF!</v>
      </c>
      <c r="C129" t="e">
        <f t="shared" si="101"/>
        <v>#REF!</v>
      </c>
      <c r="D129" t="e">
        <f t="shared" si="56"/>
        <v>#REF!</v>
      </c>
      <c r="E129" t="e">
        <f t="shared" si="57"/>
        <v>#REF!</v>
      </c>
      <c r="F129" t="e">
        <f t="shared" si="58"/>
        <v>#REF!</v>
      </c>
      <c r="G129" t="e">
        <f t="shared" si="102"/>
        <v>#REF!</v>
      </c>
      <c r="J129" t="e">
        <f>Reflection!A129</f>
        <v>#REF!</v>
      </c>
      <c r="K129" t="s">
        <v>13</v>
      </c>
      <c r="L129" t="e">
        <f t="shared" si="59"/>
        <v>#REF!</v>
      </c>
      <c r="M129" t="e">
        <f t="shared" si="60"/>
        <v>#REF!</v>
      </c>
      <c r="N129" t="e">
        <f t="shared" si="61"/>
        <v>#REF!</v>
      </c>
      <c r="O129" t="e">
        <f t="shared" si="62"/>
        <v>#REF!</v>
      </c>
      <c r="P129" t="e">
        <f t="shared" si="63"/>
        <v>#REF!</v>
      </c>
      <c r="Q129" t="e">
        <f t="shared" si="64"/>
        <v>#REF!</v>
      </c>
      <c r="T129" t="e">
        <f>Reflection!A129</f>
        <v>#REF!</v>
      </c>
      <c r="U129" t="s">
        <v>13</v>
      </c>
      <c r="V129" t="e">
        <f t="shared" si="65"/>
        <v>#REF!</v>
      </c>
      <c r="W129" t="e">
        <f t="shared" si="66"/>
        <v>#REF!</v>
      </c>
      <c r="X129" t="e">
        <f t="shared" si="67"/>
        <v>#REF!</v>
      </c>
      <c r="Y129" t="e">
        <f t="shared" si="68"/>
        <v>#REF!</v>
      </c>
      <c r="Z129" t="e">
        <f t="shared" si="69"/>
        <v>#REF!</v>
      </c>
      <c r="AA129" t="e">
        <f t="shared" si="70"/>
        <v>#REF!</v>
      </c>
      <c r="AD129" t="e">
        <f>Reflection!A129</f>
        <v>#REF!</v>
      </c>
      <c r="AE129" t="s">
        <v>13</v>
      </c>
      <c r="AF129" t="e">
        <f t="shared" si="71"/>
        <v>#REF!</v>
      </c>
      <c r="AG129" t="e">
        <f t="shared" si="72"/>
        <v>#REF!</v>
      </c>
      <c r="AH129" t="e">
        <f t="shared" si="73"/>
        <v>#REF!</v>
      </c>
      <c r="AI129" t="e">
        <f t="shared" si="74"/>
        <v>#REF!</v>
      </c>
      <c r="AJ129" t="e">
        <f t="shared" si="75"/>
        <v>#REF!</v>
      </c>
      <c r="AK129" t="e">
        <f t="shared" si="76"/>
        <v>#REF!</v>
      </c>
      <c r="AN129" t="e">
        <f>Reflection!A129</f>
        <v>#REF!</v>
      </c>
      <c r="AO129" t="s">
        <v>13</v>
      </c>
      <c r="AP129" t="e">
        <f t="shared" si="77"/>
        <v>#REF!</v>
      </c>
      <c r="AQ129" t="e">
        <f t="shared" si="78"/>
        <v>#REF!</v>
      </c>
      <c r="AR129" t="e">
        <f t="shared" si="79"/>
        <v>#REF!</v>
      </c>
      <c r="AS129" t="e">
        <f t="shared" si="80"/>
        <v>#REF!</v>
      </c>
      <c r="AT129" t="e">
        <f t="shared" si="81"/>
        <v>#REF!</v>
      </c>
      <c r="AU129" t="e">
        <f t="shared" si="82"/>
        <v>#REF!</v>
      </c>
      <c r="AX129" t="e">
        <f>Reflection!A129</f>
        <v>#REF!</v>
      </c>
      <c r="AY129" t="s">
        <v>13</v>
      </c>
      <c r="AZ129" t="e">
        <f t="shared" si="83"/>
        <v>#REF!</v>
      </c>
      <c r="BA129" t="e">
        <f t="shared" si="84"/>
        <v>#REF!</v>
      </c>
      <c r="BB129" t="e">
        <f t="shared" si="85"/>
        <v>#REF!</v>
      </c>
      <c r="BC129" t="e">
        <f t="shared" si="86"/>
        <v>#REF!</v>
      </c>
      <c r="BD129" t="e">
        <f t="shared" si="87"/>
        <v>#REF!</v>
      </c>
      <c r="BE129" t="e">
        <f t="shared" si="88"/>
        <v>#REF!</v>
      </c>
      <c r="BH129" t="e">
        <f>Reflection!A129</f>
        <v>#REF!</v>
      </c>
      <c r="BI129" t="e">
        <f t="shared" si="89"/>
        <v>#REF!</v>
      </c>
      <c r="BJ129" t="e">
        <f t="shared" si="90"/>
        <v>#REF!</v>
      </c>
      <c r="BK129" t="e">
        <f t="shared" si="91"/>
        <v>#REF!</v>
      </c>
      <c r="BL129" t="e">
        <f t="shared" si="92"/>
        <v>#REF!</v>
      </c>
      <c r="BM129" t="e">
        <f t="shared" si="93"/>
        <v>#REF!</v>
      </c>
      <c r="BN129" t="e">
        <f t="shared" si="94"/>
        <v>#REF!</v>
      </c>
      <c r="BR129" t="e">
        <f>Reflection!A129</f>
        <v>#REF!</v>
      </c>
      <c r="BS129" t="s">
        <v>13</v>
      </c>
      <c r="BT129" t="e">
        <f t="shared" si="95"/>
        <v>#REF!</v>
      </c>
      <c r="BU129" t="e">
        <f t="shared" si="103"/>
        <v>#REF!</v>
      </c>
      <c r="BV129" t="e">
        <f t="shared" si="96"/>
        <v>#REF!</v>
      </c>
      <c r="BW129" t="e">
        <f t="shared" si="97"/>
        <v>#REF!</v>
      </c>
      <c r="BX129" t="e">
        <f t="shared" si="98"/>
        <v>#REF!</v>
      </c>
      <c r="BY129" t="e">
        <f t="shared" si="99"/>
        <v>#REF!</v>
      </c>
    </row>
    <row r="130" spans="1:77" x14ac:dyDescent="0.15">
      <c r="A130" t="e">
        <f>Reflection!A130</f>
        <v>#REF!</v>
      </c>
      <c r="B130" t="e">
        <f t="shared" si="100"/>
        <v>#REF!</v>
      </c>
      <c r="C130" t="e">
        <f t="shared" si="101"/>
        <v>#REF!</v>
      </c>
      <c r="D130" t="e">
        <f t="shared" si="56"/>
        <v>#REF!</v>
      </c>
      <c r="E130" t="e">
        <f t="shared" si="57"/>
        <v>#REF!</v>
      </c>
      <c r="F130" t="e">
        <f t="shared" si="58"/>
        <v>#REF!</v>
      </c>
      <c r="G130" t="e">
        <f t="shared" si="102"/>
        <v>#REF!</v>
      </c>
      <c r="J130" t="e">
        <f>Reflection!A130</f>
        <v>#REF!</v>
      </c>
      <c r="K130" t="s">
        <v>13</v>
      </c>
      <c r="L130" t="e">
        <f t="shared" si="59"/>
        <v>#REF!</v>
      </c>
      <c r="M130" t="e">
        <f t="shared" si="60"/>
        <v>#REF!</v>
      </c>
      <c r="N130" t="e">
        <f t="shared" si="61"/>
        <v>#REF!</v>
      </c>
      <c r="O130" t="e">
        <f t="shared" si="62"/>
        <v>#REF!</v>
      </c>
      <c r="P130" t="e">
        <f t="shared" si="63"/>
        <v>#REF!</v>
      </c>
      <c r="Q130" t="e">
        <f t="shared" si="64"/>
        <v>#REF!</v>
      </c>
      <c r="T130" t="e">
        <f>Reflection!A130</f>
        <v>#REF!</v>
      </c>
      <c r="U130" t="s">
        <v>13</v>
      </c>
      <c r="V130" t="e">
        <f t="shared" si="65"/>
        <v>#REF!</v>
      </c>
      <c r="W130" t="e">
        <f t="shared" si="66"/>
        <v>#REF!</v>
      </c>
      <c r="X130" t="e">
        <f t="shared" si="67"/>
        <v>#REF!</v>
      </c>
      <c r="Y130" t="e">
        <f t="shared" si="68"/>
        <v>#REF!</v>
      </c>
      <c r="Z130" t="e">
        <f t="shared" si="69"/>
        <v>#REF!</v>
      </c>
      <c r="AA130" t="e">
        <f t="shared" si="70"/>
        <v>#REF!</v>
      </c>
      <c r="AD130" t="e">
        <f>Reflection!A130</f>
        <v>#REF!</v>
      </c>
      <c r="AE130" t="s">
        <v>13</v>
      </c>
      <c r="AF130" t="e">
        <f t="shared" si="71"/>
        <v>#REF!</v>
      </c>
      <c r="AG130" t="e">
        <f t="shared" si="72"/>
        <v>#REF!</v>
      </c>
      <c r="AH130" t="e">
        <f t="shared" si="73"/>
        <v>#REF!</v>
      </c>
      <c r="AI130" t="e">
        <f t="shared" si="74"/>
        <v>#REF!</v>
      </c>
      <c r="AJ130" t="e">
        <f t="shared" si="75"/>
        <v>#REF!</v>
      </c>
      <c r="AK130" t="e">
        <f t="shared" si="76"/>
        <v>#REF!</v>
      </c>
      <c r="AN130" t="e">
        <f>Reflection!A130</f>
        <v>#REF!</v>
      </c>
      <c r="AO130" t="s">
        <v>13</v>
      </c>
      <c r="AP130" t="e">
        <f t="shared" si="77"/>
        <v>#REF!</v>
      </c>
      <c r="AQ130" t="e">
        <f t="shared" si="78"/>
        <v>#REF!</v>
      </c>
      <c r="AR130" t="e">
        <f t="shared" si="79"/>
        <v>#REF!</v>
      </c>
      <c r="AS130" t="e">
        <f t="shared" si="80"/>
        <v>#REF!</v>
      </c>
      <c r="AT130" t="e">
        <f t="shared" si="81"/>
        <v>#REF!</v>
      </c>
      <c r="AU130" t="e">
        <f t="shared" si="82"/>
        <v>#REF!</v>
      </c>
      <c r="AX130" t="e">
        <f>Reflection!A130</f>
        <v>#REF!</v>
      </c>
      <c r="AY130" t="s">
        <v>13</v>
      </c>
      <c r="AZ130" t="e">
        <f t="shared" si="83"/>
        <v>#REF!</v>
      </c>
      <c r="BA130" t="e">
        <f t="shared" si="84"/>
        <v>#REF!</v>
      </c>
      <c r="BB130" t="e">
        <f t="shared" si="85"/>
        <v>#REF!</v>
      </c>
      <c r="BC130" t="e">
        <f t="shared" si="86"/>
        <v>#REF!</v>
      </c>
      <c r="BD130" t="e">
        <f t="shared" si="87"/>
        <v>#REF!</v>
      </c>
      <c r="BE130" t="e">
        <f t="shared" si="88"/>
        <v>#REF!</v>
      </c>
      <c r="BH130" t="e">
        <f>Reflection!A130</f>
        <v>#REF!</v>
      </c>
      <c r="BI130" t="e">
        <f t="shared" si="89"/>
        <v>#REF!</v>
      </c>
      <c r="BJ130" t="e">
        <f t="shared" si="90"/>
        <v>#REF!</v>
      </c>
      <c r="BK130" t="e">
        <f t="shared" si="91"/>
        <v>#REF!</v>
      </c>
      <c r="BL130" t="e">
        <f t="shared" si="92"/>
        <v>#REF!</v>
      </c>
      <c r="BM130" t="e">
        <f t="shared" si="93"/>
        <v>#REF!</v>
      </c>
      <c r="BN130" t="e">
        <f t="shared" si="94"/>
        <v>#REF!</v>
      </c>
      <c r="BR130" t="e">
        <f>Reflection!A130</f>
        <v>#REF!</v>
      </c>
      <c r="BS130" t="s">
        <v>13</v>
      </c>
      <c r="BT130" t="e">
        <f t="shared" si="95"/>
        <v>#REF!</v>
      </c>
      <c r="BU130" t="e">
        <f t="shared" si="103"/>
        <v>#REF!</v>
      </c>
      <c r="BV130" t="e">
        <f t="shared" si="96"/>
        <v>#REF!</v>
      </c>
      <c r="BW130" t="e">
        <f t="shared" si="97"/>
        <v>#REF!</v>
      </c>
      <c r="BX130" t="e">
        <f t="shared" si="98"/>
        <v>#REF!</v>
      </c>
      <c r="BY130" t="e">
        <f t="shared" si="99"/>
        <v>#REF!</v>
      </c>
    </row>
    <row r="131" spans="1:77" x14ac:dyDescent="0.15">
      <c r="A131" t="e">
        <f>Reflection!A131</f>
        <v>#REF!</v>
      </c>
      <c r="B131" t="e">
        <f t="shared" ref="B131:B162" si="104">IMSUM(4.1,IMDIV((78.4-4.1),IMSUM(IMPRODUCT($C$1,2*PI()*A131*0.0000000000083),1)))</f>
        <v>#REF!</v>
      </c>
      <c r="C131" t="e">
        <f t="shared" ref="C131:C162" si="105">IMPRODUCT(IMPRODUCT(B131,$C$1),2*PI()*A131*0.000000000008854)</f>
        <v>#REF!</v>
      </c>
      <c r="D131" t="e">
        <f t="shared" si="56"/>
        <v>#REF!</v>
      </c>
      <c r="E131" t="e">
        <f t="shared" si="57"/>
        <v>#REF!</v>
      </c>
      <c r="F131" t="e">
        <f t="shared" si="58"/>
        <v>#REF!</v>
      </c>
      <c r="G131" t="e">
        <f t="shared" ref="G131:G162" si="106">IMAGINARY(C131)</f>
        <v>#REF!</v>
      </c>
      <c r="J131" t="e">
        <f>Reflection!A131</f>
        <v>#REF!</v>
      </c>
      <c r="K131" t="s">
        <v>13</v>
      </c>
      <c r="L131" t="e">
        <f t="shared" si="59"/>
        <v>#REF!</v>
      </c>
      <c r="M131" t="e">
        <f t="shared" si="60"/>
        <v>#REF!</v>
      </c>
      <c r="N131" t="e">
        <f t="shared" si="61"/>
        <v>#REF!</v>
      </c>
      <c r="O131" t="e">
        <f t="shared" si="62"/>
        <v>#REF!</v>
      </c>
      <c r="P131" t="e">
        <f t="shared" si="63"/>
        <v>#REF!</v>
      </c>
      <c r="Q131" t="e">
        <f t="shared" si="64"/>
        <v>#REF!</v>
      </c>
      <c r="T131" t="e">
        <f>Reflection!A131</f>
        <v>#REF!</v>
      </c>
      <c r="U131" t="s">
        <v>13</v>
      </c>
      <c r="V131" t="e">
        <f t="shared" si="65"/>
        <v>#REF!</v>
      </c>
      <c r="W131" t="e">
        <f t="shared" si="66"/>
        <v>#REF!</v>
      </c>
      <c r="X131" t="e">
        <f t="shared" si="67"/>
        <v>#REF!</v>
      </c>
      <c r="Y131" t="e">
        <f t="shared" si="68"/>
        <v>#REF!</v>
      </c>
      <c r="Z131" t="e">
        <f t="shared" si="69"/>
        <v>#REF!</v>
      </c>
      <c r="AA131" t="e">
        <f t="shared" si="70"/>
        <v>#REF!</v>
      </c>
      <c r="AD131" t="e">
        <f>Reflection!A131</f>
        <v>#REF!</v>
      </c>
      <c r="AE131" t="s">
        <v>13</v>
      </c>
      <c r="AF131" t="e">
        <f t="shared" si="71"/>
        <v>#REF!</v>
      </c>
      <c r="AG131" t="e">
        <f t="shared" si="72"/>
        <v>#REF!</v>
      </c>
      <c r="AH131" t="e">
        <f t="shared" si="73"/>
        <v>#REF!</v>
      </c>
      <c r="AI131" t="e">
        <f t="shared" si="74"/>
        <v>#REF!</v>
      </c>
      <c r="AJ131" t="e">
        <f t="shared" si="75"/>
        <v>#REF!</v>
      </c>
      <c r="AK131" t="e">
        <f t="shared" si="76"/>
        <v>#REF!</v>
      </c>
      <c r="AN131" t="e">
        <f>Reflection!A131</f>
        <v>#REF!</v>
      </c>
      <c r="AO131" t="s">
        <v>13</v>
      </c>
      <c r="AP131" t="e">
        <f t="shared" si="77"/>
        <v>#REF!</v>
      </c>
      <c r="AQ131" t="e">
        <f t="shared" si="78"/>
        <v>#REF!</v>
      </c>
      <c r="AR131" t="e">
        <f t="shared" si="79"/>
        <v>#REF!</v>
      </c>
      <c r="AS131" t="e">
        <f t="shared" si="80"/>
        <v>#REF!</v>
      </c>
      <c r="AT131" t="e">
        <f t="shared" si="81"/>
        <v>#REF!</v>
      </c>
      <c r="AU131" t="e">
        <f t="shared" si="82"/>
        <v>#REF!</v>
      </c>
      <c r="AX131" t="e">
        <f>Reflection!A131</f>
        <v>#REF!</v>
      </c>
      <c r="AY131" t="s">
        <v>13</v>
      </c>
      <c r="AZ131" t="e">
        <f t="shared" si="83"/>
        <v>#REF!</v>
      </c>
      <c r="BA131" t="e">
        <f t="shared" si="84"/>
        <v>#REF!</v>
      </c>
      <c r="BB131" t="e">
        <f t="shared" si="85"/>
        <v>#REF!</v>
      </c>
      <c r="BC131" t="e">
        <f t="shared" si="86"/>
        <v>#REF!</v>
      </c>
      <c r="BD131" t="e">
        <f t="shared" si="87"/>
        <v>#REF!</v>
      </c>
      <c r="BE131" t="e">
        <f t="shared" si="88"/>
        <v>#REF!</v>
      </c>
      <c r="BH131" t="e">
        <f>Reflection!A131</f>
        <v>#REF!</v>
      </c>
      <c r="BI131" t="e">
        <f t="shared" si="89"/>
        <v>#REF!</v>
      </c>
      <c r="BJ131" t="e">
        <f t="shared" si="90"/>
        <v>#REF!</v>
      </c>
      <c r="BK131" t="e">
        <f t="shared" si="91"/>
        <v>#REF!</v>
      </c>
      <c r="BL131" t="e">
        <f t="shared" si="92"/>
        <v>#REF!</v>
      </c>
      <c r="BM131" t="e">
        <f t="shared" si="93"/>
        <v>#REF!</v>
      </c>
      <c r="BN131" t="e">
        <f t="shared" si="94"/>
        <v>#REF!</v>
      </c>
      <c r="BR131" t="e">
        <f>Reflection!A131</f>
        <v>#REF!</v>
      </c>
      <c r="BS131" t="s">
        <v>13</v>
      </c>
      <c r="BT131" t="e">
        <f t="shared" si="95"/>
        <v>#REF!</v>
      </c>
      <c r="BU131" t="e">
        <f t="shared" ref="BU131:BU162" si="107">IMPRODUCT(IMPRODUCT(BT131,BS131),2*PI()*BR131*0.000000000008854)</f>
        <v>#REF!</v>
      </c>
      <c r="BV131" t="e">
        <f t="shared" si="96"/>
        <v>#REF!</v>
      </c>
      <c r="BW131" t="e">
        <f t="shared" si="97"/>
        <v>#REF!</v>
      </c>
      <c r="BX131" t="e">
        <f t="shared" si="98"/>
        <v>#REF!</v>
      </c>
      <c r="BY131" t="e">
        <f t="shared" si="99"/>
        <v>#REF!</v>
      </c>
    </row>
    <row r="132" spans="1:77" x14ac:dyDescent="0.15">
      <c r="A132" t="e">
        <f>Reflection!A132</f>
        <v>#REF!</v>
      </c>
      <c r="B132" t="e">
        <f t="shared" si="104"/>
        <v>#REF!</v>
      </c>
      <c r="C132" t="e">
        <f t="shared" si="105"/>
        <v>#REF!</v>
      </c>
      <c r="D132" t="e">
        <f t="shared" ref="D132:D195" si="108">IMREAL(B132)</f>
        <v>#REF!</v>
      </c>
      <c r="E132" t="e">
        <f t="shared" ref="E132:E195" si="109">-IMAGINARY(B132)</f>
        <v>#REF!</v>
      </c>
      <c r="F132" t="e">
        <f t="shared" ref="F132:F195" si="110">IMREAL(C132)</f>
        <v>#REF!</v>
      </c>
      <c r="G132" t="e">
        <f t="shared" si="106"/>
        <v>#REF!</v>
      </c>
      <c r="J132" t="e">
        <f>Reflection!A132</f>
        <v>#REF!</v>
      </c>
      <c r="K132" t="s">
        <v>13</v>
      </c>
      <c r="L132" t="e">
        <f t="shared" ref="L132:L195" si="111">IMSUM(2.6,IMDIV(19.94,IMSUM(1,IMPOWER(IMPRODUCT(K132,2*PI()*J132,0.0000000001649),1))),IMDIV(0.74,IMSUM(1,IMPRODUCT(K132,2*PI()*J132*0.0000000000104))),IMDIV(1.19,IMSUM(1,IMPRODUCT(K132,2*PI()*J132*0.00000000000169))))</f>
        <v>#REF!</v>
      </c>
      <c r="M132" t="e">
        <f t="shared" ref="M132:M195" si="112">IMPRODUCT(IMPRODUCT(L132,K132),2*PI()*J132*0.0000000000088542)</f>
        <v>#REF!</v>
      </c>
      <c r="N132" t="e">
        <f t="shared" ref="N132:N195" si="113">IMREAL(L132)</f>
        <v>#REF!</v>
      </c>
      <c r="O132" t="e">
        <f t="shared" ref="O132:O195" si="114">-IMAGINARY(L132)</f>
        <v>#REF!</v>
      </c>
      <c r="P132" t="e">
        <f t="shared" ref="P132:P195" si="115">IMREAL(M132)</f>
        <v>#REF!</v>
      </c>
      <c r="Q132" t="e">
        <f t="shared" ref="Q132:Q195" si="116">IMAGINARY(M132)</f>
        <v>#REF!</v>
      </c>
      <c r="T132" t="e">
        <f>Reflection!A132</f>
        <v>#REF!</v>
      </c>
      <c r="U132" t="s">
        <v>13</v>
      </c>
      <c r="V132" t="e">
        <f t="shared" ref="V132:V195" si="117">IMSUM(2.68,IMDIV(21.73,IMSUM(1,IMPOWER(IMPRODUCT(U132,2*PI()*T132,0.0000000001422),0.988))),IMDIV(0.77,IMSUM(1,IMPRODUCT(U132,2*PI()*T132*0.00000000000957))),IMDIV(1.32,IMSUM(1,IMPRODUCT(U132,2*PI()*T132*0.00000000000197))))</f>
        <v>#REF!</v>
      </c>
      <c r="W132" t="e">
        <f t="shared" ref="W132:W195" si="118">IMPRODUCT(IMPRODUCT(V132,U132),2*PI()*T132*0.0000000000088542)</f>
        <v>#REF!</v>
      </c>
      <c r="X132" t="e">
        <f t="shared" ref="X132:X195" si="119">IMREAL(V132)</f>
        <v>#REF!</v>
      </c>
      <c r="Y132" t="e">
        <f t="shared" ref="Y132:Y195" si="120">-IMAGINARY(V132)</f>
        <v>#REF!</v>
      </c>
      <c r="Z132" t="e">
        <f t="shared" ref="Z132:Z195" si="121">IMREAL(W132)</f>
        <v>#REF!</v>
      </c>
      <c r="AA132" t="e">
        <f t="shared" ref="AA132:AA195" si="122">IMAGINARY(W132)</f>
        <v>#REF!</v>
      </c>
      <c r="AD132" t="e">
        <f>Reflection!A132</f>
        <v>#REF!</v>
      </c>
      <c r="AE132" t="s">
        <v>13</v>
      </c>
      <c r="AF132" t="e">
        <f t="shared" ref="AF132:AF195" si="123">IMSUM(2.7,IMDIV(25.93,IMSUM(1,IMPOWER(IMPRODUCT(AE132,2*PI()*AD132,0.00000000009441),0.956))),IMDIV(1.44,IMSUM(1,IMPRODUCT(AE132,2*PI()*AD132*0.00000000000891))),IMDIV(1.28,IMSUM(1,IMPRODUCT(AE132,2*PI()*AD132*0.00000000000139))))</f>
        <v>#REF!</v>
      </c>
      <c r="AG132" t="e">
        <f t="shared" ref="AG132:AG195" si="124">IMPRODUCT(IMPRODUCT(AF132,AE132),2*PI()*AD132*0.0000000000088542)</f>
        <v>#REF!</v>
      </c>
      <c r="AH132" t="e">
        <f t="shared" ref="AH132:AH195" si="125">IMREAL(AF132)</f>
        <v>#REF!</v>
      </c>
      <c r="AI132" t="e">
        <f t="shared" ref="AI132:AI195" si="126">-IMAGINARY(AF132)</f>
        <v>#REF!</v>
      </c>
      <c r="AJ132" t="e">
        <f t="shared" ref="AJ132:AJ195" si="127">IMREAL(AG132)</f>
        <v>#REF!</v>
      </c>
      <c r="AK132" t="e">
        <f t="shared" ref="AK132:AK195" si="128">IMAGINARY(AG132)</f>
        <v>#REF!</v>
      </c>
      <c r="AN132" t="e">
        <f>Reflection!A132</f>
        <v>#REF!</v>
      </c>
      <c r="AO132" t="s">
        <v>13</v>
      </c>
      <c r="AP132" t="e">
        <f t="shared" ref="AP132:AP195" si="129">IMSUM(2.87,IMDIV(31.07,IMSUM(1,IMPOWER(IMPRODUCT(AO132,2*PI()*AN132,0.00000000005957),0.934))),IMDIV(1.79,IMSUM(1,IMPRODUCT(AO132,2*PI()*AN132*0.0000000000095))),IMDIV(1.21,IMSUM(1,IMPRODUCT(AO132,2*PI()*AN132*0.00000000000108))))</f>
        <v>#REF!</v>
      </c>
      <c r="AQ132" t="e">
        <f t="shared" ref="AQ132:AQ195" si="130">IMPRODUCT(IMPRODUCT(AP132,AO132),2*PI()*AN132*0.0000000000088542)</f>
        <v>#REF!</v>
      </c>
      <c r="AR132" t="e">
        <f t="shared" ref="AR132:AR195" si="131">IMREAL(AP132)</f>
        <v>#REF!</v>
      </c>
      <c r="AS132" t="e">
        <f t="shared" ref="AS132:AS195" si="132">-IMAGINARY(AP132)</f>
        <v>#REF!</v>
      </c>
      <c r="AT132" t="e">
        <f t="shared" ref="AT132:AT195" si="133">IMREAL(AQ132)</f>
        <v>#REF!</v>
      </c>
      <c r="AU132" t="e">
        <f t="shared" ref="AU132:AU195" si="134">IMAGINARY(AQ132)</f>
        <v>#REF!</v>
      </c>
      <c r="AX132" t="e">
        <f>Reflection!A132</f>
        <v>#REF!</v>
      </c>
      <c r="AY132" t="s">
        <v>13</v>
      </c>
      <c r="AZ132" t="e">
        <f t="shared" ref="AZ132:AZ195" si="135">IMSUM(3.14,IMDIV(42.45,IMSUM(1,IMPOWER(IMPRODUCT(AY132,2*PI()*AX132,0.00000000003598),0.94))),IMDIV(0.86,IMSUM(1,IMPRODUCT(AY132,2*PI()*AX132*0.00000000000744))),IMDIV(1.49,IMSUM(1,IMPRODUCT(AY132,2*PI()*AX132*0.00000000000125))))</f>
        <v>#REF!</v>
      </c>
      <c r="BA132" t="e">
        <f t="shared" ref="BA132:BA195" si="136">IMPRODUCT(IMPRODUCT(AZ132,AY132),2*PI()*AX132*0.0000000000088542)</f>
        <v>#REF!</v>
      </c>
      <c r="BB132" t="e">
        <f t="shared" ref="BB132:BB195" si="137">IMREAL(AZ132)</f>
        <v>#REF!</v>
      </c>
      <c r="BC132" t="e">
        <f t="shared" ref="BC132:BC195" si="138">-IMAGINARY(AZ132)</f>
        <v>#REF!</v>
      </c>
      <c r="BD132" t="e">
        <f t="shared" ref="BD132:BD195" si="139">IMREAL(BA132)</f>
        <v>#REF!</v>
      </c>
      <c r="BE132" t="e">
        <f t="shared" ref="BE132:BE195" si="140">IMAGINARY(BA132)</f>
        <v>#REF!</v>
      </c>
      <c r="BH132" t="e">
        <f>Reflection!A132</f>
        <v>#REF!</v>
      </c>
      <c r="BI132" t="e">
        <f t="shared" ref="BI132:BI195" si="141">IMSUM($BJ$1,IMSUM(IMDIV(($BK$1-$BJ$1),IMSUM(IMPOWER(IMPRODUCT($BP$1,2*PI()*BH132*$BL$1),(1-$BM$1)),1)),IMDIV($BN$1,IMPRODUCT($BP$1,2*PI()*BH132*0.000000000008854))))</f>
        <v>#REF!</v>
      </c>
      <c r="BJ132" t="e">
        <f t="shared" ref="BJ132:BJ195" si="142">IMPRODUCT(IMPRODUCT(BI132,$BP$1),2*PI()*BH132*0.000000000008854)</f>
        <v>#REF!</v>
      </c>
      <c r="BK132" t="e">
        <f t="shared" ref="BK132:BK195" si="143">IMREAL(BI132)</f>
        <v>#REF!</v>
      </c>
      <c r="BL132" t="e">
        <f t="shared" ref="BL132:BL195" si="144">-IMAGINARY(BI132)</f>
        <v>#REF!</v>
      </c>
      <c r="BM132" t="e">
        <f t="shared" ref="BM132:BM195" si="145">IMREAL(BJ132)</f>
        <v>#REF!</v>
      </c>
      <c r="BN132" t="e">
        <f t="shared" ref="BN132:BN195" si="146">IMAGINARY(BJ132)</f>
        <v>#REF!</v>
      </c>
      <c r="BR132" t="e">
        <f>Reflection!A132</f>
        <v>#REF!</v>
      </c>
      <c r="BS132" t="s">
        <v>13</v>
      </c>
      <c r="BT132" t="e">
        <f t="shared" ref="BT132:BT195" si="147">IMSUM(4.1,IMDIV((78.4-4.1),IMSUM(IMPRODUCT(BS132,2*PI()*BR132*0.0000000000083),1)))</f>
        <v>#REF!</v>
      </c>
      <c r="BU132" t="e">
        <f t="shared" si="107"/>
        <v>#REF!</v>
      </c>
      <c r="BV132" t="e">
        <f t="shared" ref="BV132:BV195" si="148">IMREAL(BT132)</f>
        <v>#REF!</v>
      </c>
      <c r="BW132" t="e">
        <f t="shared" ref="BW132:BW195" si="149">-IMAGINARY(BT132)</f>
        <v>#REF!</v>
      </c>
      <c r="BX132" t="e">
        <f t="shared" ref="BX132:BX195" si="150">IMREAL(BU132)</f>
        <v>#REF!</v>
      </c>
      <c r="BY132" t="e">
        <f t="shared" ref="BY132:BY195" si="151">IMAGINARY(BU132)</f>
        <v>#REF!</v>
      </c>
    </row>
    <row r="133" spans="1:77" x14ac:dyDescent="0.15">
      <c r="A133" t="e">
        <f>Reflection!A133</f>
        <v>#REF!</v>
      </c>
      <c r="B133" t="e">
        <f t="shared" si="104"/>
        <v>#REF!</v>
      </c>
      <c r="C133" t="e">
        <f t="shared" si="105"/>
        <v>#REF!</v>
      </c>
      <c r="D133" t="e">
        <f t="shared" si="108"/>
        <v>#REF!</v>
      </c>
      <c r="E133" t="e">
        <f t="shared" si="109"/>
        <v>#REF!</v>
      </c>
      <c r="F133" t="e">
        <f t="shared" si="110"/>
        <v>#REF!</v>
      </c>
      <c r="G133" t="e">
        <f t="shared" si="106"/>
        <v>#REF!</v>
      </c>
      <c r="J133" t="e">
        <f>Reflection!A133</f>
        <v>#REF!</v>
      </c>
      <c r="K133" t="s">
        <v>13</v>
      </c>
      <c r="L133" t="e">
        <f t="shared" si="111"/>
        <v>#REF!</v>
      </c>
      <c r="M133" t="e">
        <f t="shared" si="112"/>
        <v>#REF!</v>
      </c>
      <c r="N133" t="e">
        <f t="shared" si="113"/>
        <v>#REF!</v>
      </c>
      <c r="O133" t="e">
        <f t="shared" si="114"/>
        <v>#REF!</v>
      </c>
      <c r="P133" t="e">
        <f t="shared" si="115"/>
        <v>#REF!</v>
      </c>
      <c r="Q133" t="e">
        <f t="shared" si="116"/>
        <v>#REF!</v>
      </c>
      <c r="T133" t="e">
        <f>Reflection!A133</f>
        <v>#REF!</v>
      </c>
      <c r="U133" t="s">
        <v>13</v>
      </c>
      <c r="V133" t="e">
        <f t="shared" si="117"/>
        <v>#REF!</v>
      </c>
      <c r="W133" t="e">
        <f t="shared" si="118"/>
        <v>#REF!</v>
      </c>
      <c r="X133" t="e">
        <f t="shared" si="119"/>
        <v>#REF!</v>
      </c>
      <c r="Y133" t="e">
        <f t="shared" si="120"/>
        <v>#REF!</v>
      </c>
      <c r="Z133" t="e">
        <f t="shared" si="121"/>
        <v>#REF!</v>
      </c>
      <c r="AA133" t="e">
        <f t="shared" si="122"/>
        <v>#REF!</v>
      </c>
      <c r="AD133" t="e">
        <f>Reflection!A133</f>
        <v>#REF!</v>
      </c>
      <c r="AE133" t="s">
        <v>13</v>
      </c>
      <c r="AF133" t="e">
        <f t="shared" si="123"/>
        <v>#REF!</v>
      </c>
      <c r="AG133" t="e">
        <f t="shared" si="124"/>
        <v>#REF!</v>
      </c>
      <c r="AH133" t="e">
        <f t="shared" si="125"/>
        <v>#REF!</v>
      </c>
      <c r="AI133" t="e">
        <f t="shared" si="126"/>
        <v>#REF!</v>
      </c>
      <c r="AJ133" t="e">
        <f t="shared" si="127"/>
        <v>#REF!</v>
      </c>
      <c r="AK133" t="e">
        <f t="shared" si="128"/>
        <v>#REF!</v>
      </c>
      <c r="AN133" t="e">
        <f>Reflection!A133</f>
        <v>#REF!</v>
      </c>
      <c r="AO133" t="s">
        <v>13</v>
      </c>
      <c r="AP133" t="e">
        <f t="shared" si="129"/>
        <v>#REF!</v>
      </c>
      <c r="AQ133" t="e">
        <f t="shared" si="130"/>
        <v>#REF!</v>
      </c>
      <c r="AR133" t="e">
        <f t="shared" si="131"/>
        <v>#REF!</v>
      </c>
      <c r="AS133" t="e">
        <f t="shared" si="132"/>
        <v>#REF!</v>
      </c>
      <c r="AT133" t="e">
        <f t="shared" si="133"/>
        <v>#REF!</v>
      </c>
      <c r="AU133" t="e">
        <f t="shared" si="134"/>
        <v>#REF!</v>
      </c>
      <c r="AX133" t="e">
        <f>Reflection!A133</f>
        <v>#REF!</v>
      </c>
      <c r="AY133" t="s">
        <v>13</v>
      </c>
      <c r="AZ133" t="e">
        <f t="shared" si="135"/>
        <v>#REF!</v>
      </c>
      <c r="BA133" t="e">
        <f t="shared" si="136"/>
        <v>#REF!</v>
      </c>
      <c r="BB133" t="e">
        <f t="shared" si="137"/>
        <v>#REF!</v>
      </c>
      <c r="BC133" t="e">
        <f t="shared" si="138"/>
        <v>#REF!</v>
      </c>
      <c r="BD133" t="e">
        <f t="shared" si="139"/>
        <v>#REF!</v>
      </c>
      <c r="BE133" t="e">
        <f t="shared" si="140"/>
        <v>#REF!</v>
      </c>
      <c r="BH133" t="e">
        <f>Reflection!A133</f>
        <v>#REF!</v>
      </c>
      <c r="BI133" t="e">
        <f t="shared" si="141"/>
        <v>#REF!</v>
      </c>
      <c r="BJ133" t="e">
        <f t="shared" si="142"/>
        <v>#REF!</v>
      </c>
      <c r="BK133" t="e">
        <f t="shared" si="143"/>
        <v>#REF!</v>
      </c>
      <c r="BL133" t="e">
        <f t="shared" si="144"/>
        <v>#REF!</v>
      </c>
      <c r="BM133" t="e">
        <f t="shared" si="145"/>
        <v>#REF!</v>
      </c>
      <c r="BN133" t="e">
        <f t="shared" si="146"/>
        <v>#REF!</v>
      </c>
      <c r="BR133" t="e">
        <f>Reflection!A133</f>
        <v>#REF!</v>
      </c>
      <c r="BS133" t="s">
        <v>13</v>
      </c>
      <c r="BT133" t="e">
        <f t="shared" si="147"/>
        <v>#REF!</v>
      </c>
      <c r="BU133" t="e">
        <f t="shared" si="107"/>
        <v>#REF!</v>
      </c>
      <c r="BV133" t="e">
        <f t="shared" si="148"/>
        <v>#REF!</v>
      </c>
      <c r="BW133" t="e">
        <f t="shared" si="149"/>
        <v>#REF!</v>
      </c>
      <c r="BX133" t="e">
        <f t="shared" si="150"/>
        <v>#REF!</v>
      </c>
      <c r="BY133" t="e">
        <f t="shared" si="151"/>
        <v>#REF!</v>
      </c>
    </row>
    <row r="134" spans="1:77" x14ac:dyDescent="0.15">
      <c r="A134" t="e">
        <f>Reflection!A134</f>
        <v>#REF!</v>
      </c>
      <c r="B134" t="e">
        <f t="shared" si="104"/>
        <v>#REF!</v>
      </c>
      <c r="C134" t="e">
        <f t="shared" si="105"/>
        <v>#REF!</v>
      </c>
      <c r="D134" t="e">
        <f t="shared" si="108"/>
        <v>#REF!</v>
      </c>
      <c r="E134" t="e">
        <f t="shared" si="109"/>
        <v>#REF!</v>
      </c>
      <c r="F134" t="e">
        <f t="shared" si="110"/>
        <v>#REF!</v>
      </c>
      <c r="G134" t="e">
        <f t="shared" si="106"/>
        <v>#REF!</v>
      </c>
      <c r="J134" t="e">
        <f>Reflection!A134</f>
        <v>#REF!</v>
      </c>
      <c r="K134" t="s">
        <v>13</v>
      </c>
      <c r="L134" t="e">
        <f t="shared" si="111"/>
        <v>#REF!</v>
      </c>
      <c r="M134" t="e">
        <f t="shared" si="112"/>
        <v>#REF!</v>
      </c>
      <c r="N134" t="e">
        <f t="shared" si="113"/>
        <v>#REF!</v>
      </c>
      <c r="O134" t="e">
        <f t="shared" si="114"/>
        <v>#REF!</v>
      </c>
      <c r="P134" t="e">
        <f t="shared" si="115"/>
        <v>#REF!</v>
      </c>
      <c r="Q134" t="e">
        <f t="shared" si="116"/>
        <v>#REF!</v>
      </c>
      <c r="T134" t="e">
        <f>Reflection!A134</f>
        <v>#REF!</v>
      </c>
      <c r="U134" t="s">
        <v>13</v>
      </c>
      <c r="V134" t="e">
        <f t="shared" si="117"/>
        <v>#REF!</v>
      </c>
      <c r="W134" t="e">
        <f t="shared" si="118"/>
        <v>#REF!</v>
      </c>
      <c r="X134" t="e">
        <f t="shared" si="119"/>
        <v>#REF!</v>
      </c>
      <c r="Y134" t="e">
        <f t="shared" si="120"/>
        <v>#REF!</v>
      </c>
      <c r="Z134" t="e">
        <f t="shared" si="121"/>
        <v>#REF!</v>
      </c>
      <c r="AA134" t="e">
        <f t="shared" si="122"/>
        <v>#REF!</v>
      </c>
      <c r="AD134" t="e">
        <f>Reflection!A134</f>
        <v>#REF!</v>
      </c>
      <c r="AE134" t="s">
        <v>13</v>
      </c>
      <c r="AF134" t="e">
        <f t="shared" si="123"/>
        <v>#REF!</v>
      </c>
      <c r="AG134" t="e">
        <f t="shared" si="124"/>
        <v>#REF!</v>
      </c>
      <c r="AH134" t="e">
        <f t="shared" si="125"/>
        <v>#REF!</v>
      </c>
      <c r="AI134" t="e">
        <f t="shared" si="126"/>
        <v>#REF!</v>
      </c>
      <c r="AJ134" t="e">
        <f t="shared" si="127"/>
        <v>#REF!</v>
      </c>
      <c r="AK134" t="e">
        <f t="shared" si="128"/>
        <v>#REF!</v>
      </c>
      <c r="AN134" t="e">
        <f>Reflection!A134</f>
        <v>#REF!</v>
      </c>
      <c r="AO134" t="s">
        <v>13</v>
      </c>
      <c r="AP134" t="e">
        <f t="shared" si="129"/>
        <v>#REF!</v>
      </c>
      <c r="AQ134" t="e">
        <f t="shared" si="130"/>
        <v>#REF!</v>
      </c>
      <c r="AR134" t="e">
        <f t="shared" si="131"/>
        <v>#REF!</v>
      </c>
      <c r="AS134" t="e">
        <f t="shared" si="132"/>
        <v>#REF!</v>
      </c>
      <c r="AT134" t="e">
        <f t="shared" si="133"/>
        <v>#REF!</v>
      </c>
      <c r="AU134" t="e">
        <f t="shared" si="134"/>
        <v>#REF!</v>
      </c>
      <c r="AX134" t="e">
        <f>Reflection!A134</f>
        <v>#REF!</v>
      </c>
      <c r="AY134" t="s">
        <v>13</v>
      </c>
      <c r="AZ134" t="e">
        <f t="shared" si="135"/>
        <v>#REF!</v>
      </c>
      <c r="BA134" t="e">
        <f t="shared" si="136"/>
        <v>#REF!</v>
      </c>
      <c r="BB134" t="e">
        <f t="shared" si="137"/>
        <v>#REF!</v>
      </c>
      <c r="BC134" t="e">
        <f t="shared" si="138"/>
        <v>#REF!</v>
      </c>
      <c r="BD134" t="e">
        <f t="shared" si="139"/>
        <v>#REF!</v>
      </c>
      <c r="BE134" t="e">
        <f t="shared" si="140"/>
        <v>#REF!</v>
      </c>
      <c r="BH134" t="e">
        <f>Reflection!A134</f>
        <v>#REF!</v>
      </c>
      <c r="BI134" t="e">
        <f t="shared" si="141"/>
        <v>#REF!</v>
      </c>
      <c r="BJ134" t="e">
        <f t="shared" si="142"/>
        <v>#REF!</v>
      </c>
      <c r="BK134" t="e">
        <f t="shared" si="143"/>
        <v>#REF!</v>
      </c>
      <c r="BL134" t="e">
        <f t="shared" si="144"/>
        <v>#REF!</v>
      </c>
      <c r="BM134" t="e">
        <f t="shared" si="145"/>
        <v>#REF!</v>
      </c>
      <c r="BN134" t="e">
        <f t="shared" si="146"/>
        <v>#REF!</v>
      </c>
      <c r="BR134" t="e">
        <f>Reflection!A134</f>
        <v>#REF!</v>
      </c>
      <c r="BS134" t="s">
        <v>13</v>
      </c>
      <c r="BT134" t="e">
        <f t="shared" si="147"/>
        <v>#REF!</v>
      </c>
      <c r="BU134" t="e">
        <f t="shared" si="107"/>
        <v>#REF!</v>
      </c>
      <c r="BV134" t="e">
        <f t="shared" si="148"/>
        <v>#REF!</v>
      </c>
      <c r="BW134" t="e">
        <f t="shared" si="149"/>
        <v>#REF!</v>
      </c>
      <c r="BX134" t="e">
        <f t="shared" si="150"/>
        <v>#REF!</v>
      </c>
      <c r="BY134" t="e">
        <f t="shared" si="151"/>
        <v>#REF!</v>
      </c>
    </row>
    <row r="135" spans="1:77" x14ac:dyDescent="0.15">
      <c r="A135" t="e">
        <f>Reflection!A135</f>
        <v>#REF!</v>
      </c>
      <c r="B135" t="e">
        <f t="shared" si="104"/>
        <v>#REF!</v>
      </c>
      <c r="C135" t="e">
        <f t="shared" si="105"/>
        <v>#REF!</v>
      </c>
      <c r="D135" t="e">
        <f t="shared" si="108"/>
        <v>#REF!</v>
      </c>
      <c r="E135" t="e">
        <f t="shared" si="109"/>
        <v>#REF!</v>
      </c>
      <c r="F135" t="e">
        <f t="shared" si="110"/>
        <v>#REF!</v>
      </c>
      <c r="G135" t="e">
        <f t="shared" si="106"/>
        <v>#REF!</v>
      </c>
      <c r="J135" t="e">
        <f>Reflection!A135</f>
        <v>#REF!</v>
      </c>
      <c r="K135" t="s">
        <v>13</v>
      </c>
      <c r="L135" t="e">
        <f t="shared" si="111"/>
        <v>#REF!</v>
      </c>
      <c r="M135" t="e">
        <f t="shared" si="112"/>
        <v>#REF!</v>
      </c>
      <c r="N135" t="e">
        <f t="shared" si="113"/>
        <v>#REF!</v>
      </c>
      <c r="O135" t="e">
        <f t="shared" si="114"/>
        <v>#REF!</v>
      </c>
      <c r="P135" t="e">
        <f t="shared" si="115"/>
        <v>#REF!</v>
      </c>
      <c r="Q135" t="e">
        <f t="shared" si="116"/>
        <v>#REF!</v>
      </c>
      <c r="T135" t="e">
        <f>Reflection!A135</f>
        <v>#REF!</v>
      </c>
      <c r="U135" t="s">
        <v>13</v>
      </c>
      <c r="V135" t="e">
        <f t="shared" si="117"/>
        <v>#REF!</v>
      </c>
      <c r="W135" t="e">
        <f t="shared" si="118"/>
        <v>#REF!</v>
      </c>
      <c r="X135" t="e">
        <f t="shared" si="119"/>
        <v>#REF!</v>
      </c>
      <c r="Y135" t="e">
        <f t="shared" si="120"/>
        <v>#REF!</v>
      </c>
      <c r="Z135" t="e">
        <f t="shared" si="121"/>
        <v>#REF!</v>
      </c>
      <c r="AA135" t="e">
        <f t="shared" si="122"/>
        <v>#REF!</v>
      </c>
      <c r="AD135" t="e">
        <f>Reflection!A135</f>
        <v>#REF!</v>
      </c>
      <c r="AE135" t="s">
        <v>13</v>
      </c>
      <c r="AF135" t="e">
        <f t="shared" si="123"/>
        <v>#REF!</v>
      </c>
      <c r="AG135" t="e">
        <f t="shared" si="124"/>
        <v>#REF!</v>
      </c>
      <c r="AH135" t="e">
        <f t="shared" si="125"/>
        <v>#REF!</v>
      </c>
      <c r="AI135" t="e">
        <f t="shared" si="126"/>
        <v>#REF!</v>
      </c>
      <c r="AJ135" t="e">
        <f t="shared" si="127"/>
        <v>#REF!</v>
      </c>
      <c r="AK135" t="e">
        <f t="shared" si="128"/>
        <v>#REF!</v>
      </c>
      <c r="AN135" t="e">
        <f>Reflection!A135</f>
        <v>#REF!</v>
      </c>
      <c r="AO135" t="s">
        <v>13</v>
      </c>
      <c r="AP135" t="e">
        <f t="shared" si="129"/>
        <v>#REF!</v>
      </c>
      <c r="AQ135" t="e">
        <f t="shared" si="130"/>
        <v>#REF!</v>
      </c>
      <c r="AR135" t="e">
        <f t="shared" si="131"/>
        <v>#REF!</v>
      </c>
      <c r="AS135" t="e">
        <f t="shared" si="132"/>
        <v>#REF!</v>
      </c>
      <c r="AT135" t="e">
        <f t="shared" si="133"/>
        <v>#REF!</v>
      </c>
      <c r="AU135" t="e">
        <f t="shared" si="134"/>
        <v>#REF!</v>
      </c>
      <c r="AX135" t="e">
        <f>Reflection!A135</f>
        <v>#REF!</v>
      </c>
      <c r="AY135" t="s">
        <v>13</v>
      </c>
      <c r="AZ135" t="e">
        <f t="shared" si="135"/>
        <v>#REF!</v>
      </c>
      <c r="BA135" t="e">
        <f t="shared" si="136"/>
        <v>#REF!</v>
      </c>
      <c r="BB135" t="e">
        <f t="shared" si="137"/>
        <v>#REF!</v>
      </c>
      <c r="BC135" t="e">
        <f t="shared" si="138"/>
        <v>#REF!</v>
      </c>
      <c r="BD135" t="e">
        <f t="shared" si="139"/>
        <v>#REF!</v>
      </c>
      <c r="BE135" t="e">
        <f t="shared" si="140"/>
        <v>#REF!</v>
      </c>
      <c r="BH135" t="e">
        <f>Reflection!A135</f>
        <v>#REF!</v>
      </c>
      <c r="BI135" t="e">
        <f t="shared" si="141"/>
        <v>#REF!</v>
      </c>
      <c r="BJ135" t="e">
        <f t="shared" si="142"/>
        <v>#REF!</v>
      </c>
      <c r="BK135" t="e">
        <f t="shared" si="143"/>
        <v>#REF!</v>
      </c>
      <c r="BL135" t="e">
        <f t="shared" si="144"/>
        <v>#REF!</v>
      </c>
      <c r="BM135" t="e">
        <f t="shared" si="145"/>
        <v>#REF!</v>
      </c>
      <c r="BN135" t="e">
        <f t="shared" si="146"/>
        <v>#REF!</v>
      </c>
      <c r="BR135" t="e">
        <f>Reflection!A135</f>
        <v>#REF!</v>
      </c>
      <c r="BS135" t="s">
        <v>13</v>
      </c>
      <c r="BT135" t="e">
        <f t="shared" si="147"/>
        <v>#REF!</v>
      </c>
      <c r="BU135" t="e">
        <f t="shared" si="107"/>
        <v>#REF!</v>
      </c>
      <c r="BV135" t="e">
        <f t="shared" si="148"/>
        <v>#REF!</v>
      </c>
      <c r="BW135" t="e">
        <f t="shared" si="149"/>
        <v>#REF!</v>
      </c>
      <c r="BX135" t="e">
        <f t="shared" si="150"/>
        <v>#REF!</v>
      </c>
      <c r="BY135" t="e">
        <f t="shared" si="151"/>
        <v>#REF!</v>
      </c>
    </row>
    <row r="136" spans="1:77" x14ac:dyDescent="0.15">
      <c r="A136" t="e">
        <f>Reflection!A136</f>
        <v>#REF!</v>
      </c>
      <c r="B136" t="e">
        <f t="shared" si="104"/>
        <v>#REF!</v>
      </c>
      <c r="C136" t="e">
        <f t="shared" si="105"/>
        <v>#REF!</v>
      </c>
      <c r="D136" t="e">
        <f t="shared" si="108"/>
        <v>#REF!</v>
      </c>
      <c r="E136" t="e">
        <f t="shared" si="109"/>
        <v>#REF!</v>
      </c>
      <c r="F136" t="e">
        <f t="shared" si="110"/>
        <v>#REF!</v>
      </c>
      <c r="G136" t="e">
        <f t="shared" si="106"/>
        <v>#REF!</v>
      </c>
      <c r="J136" t="e">
        <f>Reflection!A136</f>
        <v>#REF!</v>
      </c>
      <c r="K136" t="s">
        <v>13</v>
      </c>
      <c r="L136" t="e">
        <f t="shared" si="111"/>
        <v>#REF!</v>
      </c>
      <c r="M136" t="e">
        <f t="shared" si="112"/>
        <v>#REF!</v>
      </c>
      <c r="N136" t="e">
        <f t="shared" si="113"/>
        <v>#REF!</v>
      </c>
      <c r="O136" t="e">
        <f t="shared" si="114"/>
        <v>#REF!</v>
      </c>
      <c r="P136" t="e">
        <f t="shared" si="115"/>
        <v>#REF!</v>
      </c>
      <c r="Q136" t="e">
        <f t="shared" si="116"/>
        <v>#REF!</v>
      </c>
      <c r="T136" t="e">
        <f>Reflection!A136</f>
        <v>#REF!</v>
      </c>
      <c r="U136" t="s">
        <v>13</v>
      </c>
      <c r="V136" t="e">
        <f t="shared" si="117"/>
        <v>#REF!</v>
      </c>
      <c r="W136" t="e">
        <f t="shared" si="118"/>
        <v>#REF!</v>
      </c>
      <c r="X136" t="e">
        <f t="shared" si="119"/>
        <v>#REF!</v>
      </c>
      <c r="Y136" t="e">
        <f t="shared" si="120"/>
        <v>#REF!</v>
      </c>
      <c r="Z136" t="e">
        <f t="shared" si="121"/>
        <v>#REF!</v>
      </c>
      <c r="AA136" t="e">
        <f t="shared" si="122"/>
        <v>#REF!</v>
      </c>
      <c r="AD136" t="e">
        <f>Reflection!A136</f>
        <v>#REF!</v>
      </c>
      <c r="AE136" t="s">
        <v>13</v>
      </c>
      <c r="AF136" t="e">
        <f t="shared" si="123"/>
        <v>#REF!</v>
      </c>
      <c r="AG136" t="e">
        <f t="shared" si="124"/>
        <v>#REF!</v>
      </c>
      <c r="AH136" t="e">
        <f t="shared" si="125"/>
        <v>#REF!</v>
      </c>
      <c r="AI136" t="e">
        <f t="shared" si="126"/>
        <v>#REF!</v>
      </c>
      <c r="AJ136" t="e">
        <f t="shared" si="127"/>
        <v>#REF!</v>
      </c>
      <c r="AK136" t="e">
        <f t="shared" si="128"/>
        <v>#REF!</v>
      </c>
      <c r="AN136" t="e">
        <f>Reflection!A136</f>
        <v>#REF!</v>
      </c>
      <c r="AO136" t="s">
        <v>13</v>
      </c>
      <c r="AP136" t="e">
        <f t="shared" si="129"/>
        <v>#REF!</v>
      </c>
      <c r="AQ136" t="e">
        <f t="shared" si="130"/>
        <v>#REF!</v>
      </c>
      <c r="AR136" t="e">
        <f t="shared" si="131"/>
        <v>#REF!</v>
      </c>
      <c r="AS136" t="e">
        <f t="shared" si="132"/>
        <v>#REF!</v>
      </c>
      <c r="AT136" t="e">
        <f t="shared" si="133"/>
        <v>#REF!</v>
      </c>
      <c r="AU136" t="e">
        <f t="shared" si="134"/>
        <v>#REF!</v>
      </c>
      <c r="AX136" t="e">
        <f>Reflection!A136</f>
        <v>#REF!</v>
      </c>
      <c r="AY136" t="s">
        <v>13</v>
      </c>
      <c r="AZ136" t="e">
        <f t="shared" si="135"/>
        <v>#REF!</v>
      </c>
      <c r="BA136" t="e">
        <f t="shared" si="136"/>
        <v>#REF!</v>
      </c>
      <c r="BB136" t="e">
        <f t="shared" si="137"/>
        <v>#REF!</v>
      </c>
      <c r="BC136" t="e">
        <f t="shared" si="138"/>
        <v>#REF!</v>
      </c>
      <c r="BD136" t="e">
        <f t="shared" si="139"/>
        <v>#REF!</v>
      </c>
      <c r="BE136" t="e">
        <f t="shared" si="140"/>
        <v>#REF!</v>
      </c>
      <c r="BH136" t="e">
        <f>Reflection!A136</f>
        <v>#REF!</v>
      </c>
      <c r="BI136" t="e">
        <f t="shared" si="141"/>
        <v>#REF!</v>
      </c>
      <c r="BJ136" t="e">
        <f t="shared" si="142"/>
        <v>#REF!</v>
      </c>
      <c r="BK136" t="e">
        <f t="shared" si="143"/>
        <v>#REF!</v>
      </c>
      <c r="BL136" t="e">
        <f t="shared" si="144"/>
        <v>#REF!</v>
      </c>
      <c r="BM136" t="e">
        <f t="shared" si="145"/>
        <v>#REF!</v>
      </c>
      <c r="BN136" t="e">
        <f t="shared" si="146"/>
        <v>#REF!</v>
      </c>
      <c r="BR136" t="e">
        <f>Reflection!A136</f>
        <v>#REF!</v>
      </c>
      <c r="BS136" t="s">
        <v>13</v>
      </c>
      <c r="BT136" t="e">
        <f t="shared" si="147"/>
        <v>#REF!</v>
      </c>
      <c r="BU136" t="e">
        <f t="shared" si="107"/>
        <v>#REF!</v>
      </c>
      <c r="BV136" t="e">
        <f t="shared" si="148"/>
        <v>#REF!</v>
      </c>
      <c r="BW136" t="e">
        <f t="shared" si="149"/>
        <v>#REF!</v>
      </c>
      <c r="BX136" t="e">
        <f t="shared" si="150"/>
        <v>#REF!</v>
      </c>
      <c r="BY136" t="e">
        <f t="shared" si="151"/>
        <v>#REF!</v>
      </c>
    </row>
    <row r="137" spans="1:77" x14ac:dyDescent="0.15">
      <c r="A137" t="e">
        <f>Reflection!A137</f>
        <v>#REF!</v>
      </c>
      <c r="B137" t="e">
        <f t="shared" si="104"/>
        <v>#REF!</v>
      </c>
      <c r="C137" t="e">
        <f t="shared" si="105"/>
        <v>#REF!</v>
      </c>
      <c r="D137" t="e">
        <f t="shared" si="108"/>
        <v>#REF!</v>
      </c>
      <c r="E137" t="e">
        <f t="shared" si="109"/>
        <v>#REF!</v>
      </c>
      <c r="F137" t="e">
        <f t="shared" si="110"/>
        <v>#REF!</v>
      </c>
      <c r="G137" t="e">
        <f t="shared" si="106"/>
        <v>#REF!</v>
      </c>
      <c r="J137" t="e">
        <f>Reflection!A137</f>
        <v>#REF!</v>
      </c>
      <c r="K137" t="s">
        <v>13</v>
      </c>
      <c r="L137" t="e">
        <f t="shared" si="111"/>
        <v>#REF!</v>
      </c>
      <c r="M137" t="e">
        <f t="shared" si="112"/>
        <v>#REF!</v>
      </c>
      <c r="N137" t="e">
        <f t="shared" si="113"/>
        <v>#REF!</v>
      </c>
      <c r="O137" t="e">
        <f t="shared" si="114"/>
        <v>#REF!</v>
      </c>
      <c r="P137" t="e">
        <f t="shared" si="115"/>
        <v>#REF!</v>
      </c>
      <c r="Q137" t="e">
        <f t="shared" si="116"/>
        <v>#REF!</v>
      </c>
      <c r="T137" t="e">
        <f>Reflection!A137</f>
        <v>#REF!</v>
      </c>
      <c r="U137" t="s">
        <v>13</v>
      </c>
      <c r="V137" t="e">
        <f t="shared" si="117"/>
        <v>#REF!</v>
      </c>
      <c r="W137" t="e">
        <f t="shared" si="118"/>
        <v>#REF!</v>
      </c>
      <c r="X137" t="e">
        <f t="shared" si="119"/>
        <v>#REF!</v>
      </c>
      <c r="Y137" t="e">
        <f t="shared" si="120"/>
        <v>#REF!</v>
      </c>
      <c r="Z137" t="e">
        <f t="shared" si="121"/>
        <v>#REF!</v>
      </c>
      <c r="AA137" t="e">
        <f t="shared" si="122"/>
        <v>#REF!</v>
      </c>
      <c r="AD137" t="e">
        <f>Reflection!A137</f>
        <v>#REF!</v>
      </c>
      <c r="AE137" t="s">
        <v>13</v>
      </c>
      <c r="AF137" t="e">
        <f t="shared" si="123"/>
        <v>#REF!</v>
      </c>
      <c r="AG137" t="e">
        <f t="shared" si="124"/>
        <v>#REF!</v>
      </c>
      <c r="AH137" t="e">
        <f t="shared" si="125"/>
        <v>#REF!</v>
      </c>
      <c r="AI137" t="e">
        <f t="shared" si="126"/>
        <v>#REF!</v>
      </c>
      <c r="AJ137" t="e">
        <f t="shared" si="127"/>
        <v>#REF!</v>
      </c>
      <c r="AK137" t="e">
        <f t="shared" si="128"/>
        <v>#REF!</v>
      </c>
      <c r="AN137" t="e">
        <f>Reflection!A137</f>
        <v>#REF!</v>
      </c>
      <c r="AO137" t="s">
        <v>13</v>
      </c>
      <c r="AP137" t="e">
        <f t="shared" si="129"/>
        <v>#REF!</v>
      </c>
      <c r="AQ137" t="e">
        <f t="shared" si="130"/>
        <v>#REF!</v>
      </c>
      <c r="AR137" t="e">
        <f t="shared" si="131"/>
        <v>#REF!</v>
      </c>
      <c r="AS137" t="e">
        <f t="shared" si="132"/>
        <v>#REF!</v>
      </c>
      <c r="AT137" t="e">
        <f t="shared" si="133"/>
        <v>#REF!</v>
      </c>
      <c r="AU137" t="e">
        <f t="shared" si="134"/>
        <v>#REF!</v>
      </c>
      <c r="AX137" t="e">
        <f>Reflection!A137</f>
        <v>#REF!</v>
      </c>
      <c r="AY137" t="s">
        <v>13</v>
      </c>
      <c r="AZ137" t="e">
        <f t="shared" si="135"/>
        <v>#REF!</v>
      </c>
      <c r="BA137" t="e">
        <f t="shared" si="136"/>
        <v>#REF!</v>
      </c>
      <c r="BB137" t="e">
        <f t="shared" si="137"/>
        <v>#REF!</v>
      </c>
      <c r="BC137" t="e">
        <f t="shared" si="138"/>
        <v>#REF!</v>
      </c>
      <c r="BD137" t="e">
        <f t="shared" si="139"/>
        <v>#REF!</v>
      </c>
      <c r="BE137" t="e">
        <f t="shared" si="140"/>
        <v>#REF!</v>
      </c>
      <c r="BH137" t="e">
        <f>Reflection!A137</f>
        <v>#REF!</v>
      </c>
      <c r="BI137" t="e">
        <f t="shared" si="141"/>
        <v>#REF!</v>
      </c>
      <c r="BJ137" t="e">
        <f t="shared" si="142"/>
        <v>#REF!</v>
      </c>
      <c r="BK137" t="e">
        <f t="shared" si="143"/>
        <v>#REF!</v>
      </c>
      <c r="BL137" t="e">
        <f t="shared" si="144"/>
        <v>#REF!</v>
      </c>
      <c r="BM137" t="e">
        <f t="shared" si="145"/>
        <v>#REF!</v>
      </c>
      <c r="BN137" t="e">
        <f t="shared" si="146"/>
        <v>#REF!</v>
      </c>
      <c r="BR137" t="e">
        <f>Reflection!A137</f>
        <v>#REF!</v>
      </c>
      <c r="BS137" t="s">
        <v>13</v>
      </c>
      <c r="BT137" t="e">
        <f t="shared" si="147"/>
        <v>#REF!</v>
      </c>
      <c r="BU137" t="e">
        <f t="shared" si="107"/>
        <v>#REF!</v>
      </c>
      <c r="BV137" t="e">
        <f t="shared" si="148"/>
        <v>#REF!</v>
      </c>
      <c r="BW137" t="e">
        <f t="shared" si="149"/>
        <v>#REF!</v>
      </c>
      <c r="BX137" t="e">
        <f t="shared" si="150"/>
        <v>#REF!</v>
      </c>
      <c r="BY137" t="e">
        <f t="shared" si="151"/>
        <v>#REF!</v>
      </c>
    </row>
    <row r="138" spans="1:77" x14ac:dyDescent="0.15">
      <c r="A138" t="e">
        <f>Reflection!A138</f>
        <v>#REF!</v>
      </c>
      <c r="B138" t="e">
        <f t="shared" si="104"/>
        <v>#REF!</v>
      </c>
      <c r="C138" t="e">
        <f t="shared" si="105"/>
        <v>#REF!</v>
      </c>
      <c r="D138" t="e">
        <f t="shared" si="108"/>
        <v>#REF!</v>
      </c>
      <c r="E138" t="e">
        <f t="shared" si="109"/>
        <v>#REF!</v>
      </c>
      <c r="F138" t="e">
        <f t="shared" si="110"/>
        <v>#REF!</v>
      </c>
      <c r="G138" t="e">
        <f t="shared" si="106"/>
        <v>#REF!</v>
      </c>
      <c r="J138" t="e">
        <f>Reflection!A138</f>
        <v>#REF!</v>
      </c>
      <c r="K138" t="s">
        <v>13</v>
      </c>
      <c r="L138" t="e">
        <f t="shared" si="111"/>
        <v>#REF!</v>
      </c>
      <c r="M138" t="e">
        <f t="shared" si="112"/>
        <v>#REF!</v>
      </c>
      <c r="N138" t="e">
        <f t="shared" si="113"/>
        <v>#REF!</v>
      </c>
      <c r="O138" t="e">
        <f t="shared" si="114"/>
        <v>#REF!</v>
      </c>
      <c r="P138" t="e">
        <f t="shared" si="115"/>
        <v>#REF!</v>
      </c>
      <c r="Q138" t="e">
        <f t="shared" si="116"/>
        <v>#REF!</v>
      </c>
      <c r="T138" t="e">
        <f>Reflection!A138</f>
        <v>#REF!</v>
      </c>
      <c r="U138" t="s">
        <v>13</v>
      </c>
      <c r="V138" t="e">
        <f t="shared" si="117"/>
        <v>#REF!</v>
      </c>
      <c r="W138" t="e">
        <f t="shared" si="118"/>
        <v>#REF!</v>
      </c>
      <c r="X138" t="e">
        <f t="shared" si="119"/>
        <v>#REF!</v>
      </c>
      <c r="Y138" t="e">
        <f t="shared" si="120"/>
        <v>#REF!</v>
      </c>
      <c r="Z138" t="e">
        <f t="shared" si="121"/>
        <v>#REF!</v>
      </c>
      <c r="AA138" t="e">
        <f t="shared" si="122"/>
        <v>#REF!</v>
      </c>
      <c r="AD138" t="e">
        <f>Reflection!A138</f>
        <v>#REF!</v>
      </c>
      <c r="AE138" t="s">
        <v>13</v>
      </c>
      <c r="AF138" t="e">
        <f t="shared" si="123"/>
        <v>#REF!</v>
      </c>
      <c r="AG138" t="e">
        <f t="shared" si="124"/>
        <v>#REF!</v>
      </c>
      <c r="AH138" t="e">
        <f t="shared" si="125"/>
        <v>#REF!</v>
      </c>
      <c r="AI138" t="e">
        <f t="shared" si="126"/>
        <v>#REF!</v>
      </c>
      <c r="AJ138" t="e">
        <f t="shared" si="127"/>
        <v>#REF!</v>
      </c>
      <c r="AK138" t="e">
        <f t="shared" si="128"/>
        <v>#REF!</v>
      </c>
      <c r="AN138" t="e">
        <f>Reflection!A138</f>
        <v>#REF!</v>
      </c>
      <c r="AO138" t="s">
        <v>13</v>
      </c>
      <c r="AP138" t="e">
        <f t="shared" si="129"/>
        <v>#REF!</v>
      </c>
      <c r="AQ138" t="e">
        <f t="shared" si="130"/>
        <v>#REF!</v>
      </c>
      <c r="AR138" t="e">
        <f t="shared" si="131"/>
        <v>#REF!</v>
      </c>
      <c r="AS138" t="e">
        <f t="shared" si="132"/>
        <v>#REF!</v>
      </c>
      <c r="AT138" t="e">
        <f t="shared" si="133"/>
        <v>#REF!</v>
      </c>
      <c r="AU138" t="e">
        <f t="shared" si="134"/>
        <v>#REF!</v>
      </c>
      <c r="AX138" t="e">
        <f>Reflection!A138</f>
        <v>#REF!</v>
      </c>
      <c r="AY138" t="s">
        <v>13</v>
      </c>
      <c r="AZ138" t="e">
        <f t="shared" si="135"/>
        <v>#REF!</v>
      </c>
      <c r="BA138" t="e">
        <f t="shared" si="136"/>
        <v>#REF!</v>
      </c>
      <c r="BB138" t="e">
        <f t="shared" si="137"/>
        <v>#REF!</v>
      </c>
      <c r="BC138" t="e">
        <f t="shared" si="138"/>
        <v>#REF!</v>
      </c>
      <c r="BD138" t="e">
        <f t="shared" si="139"/>
        <v>#REF!</v>
      </c>
      <c r="BE138" t="e">
        <f t="shared" si="140"/>
        <v>#REF!</v>
      </c>
      <c r="BH138" t="e">
        <f>Reflection!A138</f>
        <v>#REF!</v>
      </c>
      <c r="BI138" t="e">
        <f t="shared" si="141"/>
        <v>#REF!</v>
      </c>
      <c r="BJ138" t="e">
        <f t="shared" si="142"/>
        <v>#REF!</v>
      </c>
      <c r="BK138" t="e">
        <f t="shared" si="143"/>
        <v>#REF!</v>
      </c>
      <c r="BL138" t="e">
        <f t="shared" si="144"/>
        <v>#REF!</v>
      </c>
      <c r="BM138" t="e">
        <f t="shared" si="145"/>
        <v>#REF!</v>
      </c>
      <c r="BN138" t="e">
        <f t="shared" si="146"/>
        <v>#REF!</v>
      </c>
      <c r="BR138" t="e">
        <f>Reflection!A138</f>
        <v>#REF!</v>
      </c>
      <c r="BS138" t="s">
        <v>13</v>
      </c>
      <c r="BT138" t="e">
        <f t="shared" si="147"/>
        <v>#REF!</v>
      </c>
      <c r="BU138" t="e">
        <f t="shared" si="107"/>
        <v>#REF!</v>
      </c>
      <c r="BV138" t="e">
        <f t="shared" si="148"/>
        <v>#REF!</v>
      </c>
      <c r="BW138" t="e">
        <f t="shared" si="149"/>
        <v>#REF!</v>
      </c>
      <c r="BX138" t="e">
        <f t="shared" si="150"/>
        <v>#REF!</v>
      </c>
      <c r="BY138" t="e">
        <f t="shared" si="151"/>
        <v>#REF!</v>
      </c>
    </row>
    <row r="139" spans="1:77" x14ac:dyDescent="0.15">
      <c r="A139" t="e">
        <f>Reflection!A139</f>
        <v>#REF!</v>
      </c>
      <c r="B139" t="e">
        <f t="shared" si="104"/>
        <v>#REF!</v>
      </c>
      <c r="C139" t="e">
        <f t="shared" si="105"/>
        <v>#REF!</v>
      </c>
      <c r="D139" t="e">
        <f t="shared" si="108"/>
        <v>#REF!</v>
      </c>
      <c r="E139" t="e">
        <f t="shared" si="109"/>
        <v>#REF!</v>
      </c>
      <c r="F139" t="e">
        <f t="shared" si="110"/>
        <v>#REF!</v>
      </c>
      <c r="G139" t="e">
        <f t="shared" si="106"/>
        <v>#REF!</v>
      </c>
      <c r="J139" t="e">
        <f>Reflection!A139</f>
        <v>#REF!</v>
      </c>
      <c r="K139" t="s">
        <v>13</v>
      </c>
      <c r="L139" t="e">
        <f t="shared" si="111"/>
        <v>#REF!</v>
      </c>
      <c r="M139" t="e">
        <f t="shared" si="112"/>
        <v>#REF!</v>
      </c>
      <c r="N139" t="e">
        <f t="shared" si="113"/>
        <v>#REF!</v>
      </c>
      <c r="O139" t="e">
        <f t="shared" si="114"/>
        <v>#REF!</v>
      </c>
      <c r="P139" t="e">
        <f t="shared" si="115"/>
        <v>#REF!</v>
      </c>
      <c r="Q139" t="e">
        <f t="shared" si="116"/>
        <v>#REF!</v>
      </c>
      <c r="T139" t="e">
        <f>Reflection!A139</f>
        <v>#REF!</v>
      </c>
      <c r="U139" t="s">
        <v>13</v>
      </c>
      <c r="V139" t="e">
        <f t="shared" si="117"/>
        <v>#REF!</v>
      </c>
      <c r="W139" t="e">
        <f t="shared" si="118"/>
        <v>#REF!</v>
      </c>
      <c r="X139" t="e">
        <f t="shared" si="119"/>
        <v>#REF!</v>
      </c>
      <c r="Y139" t="e">
        <f t="shared" si="120"/>
        <v>#REF!</v>
      </c>
      <c r="Z139" t="e">
        <f t="shared" si="121"/>
        <v>#REF!</v>
      </c>
      <c r="AA139" t="e">
        <f t="shared" si="122"/>
        <v>#REF!</v>
      </c>
      <c r="AD139" t="e">
        <f>Reflection!A139</f>
        <v>#REF!</v>
      </c>
      <c r="AE139" t="s">
        <v>13</v>
      </c>
      <c r="AF139" t="e">
        <f t="shared" si="123"/>
        <v>#REF!</v>
      </c>
      <c r="AG139" t="e">
        <f t="shared" si="124"/>
        <v>#REF!</v>
      </c>
      <c r="AH139" t="e">
        <f t="shared" si="125"/>
        <v>#REF!</v>
      </c>
      <c r="AI139" t="e">
        <f t="shared" si="126"/>
        <v>#REF!</v>
      </c>
      <c r="AJ139" t="e">
        <f t="shared" si="127"/>
        <v>#REF!</v>
      </c>
      <c r="AK139" t="e">
        <f t="shared" si="128"/>
        <v>#REF!</v>
      </c>
      <c r="AN139" t="e">
        <f>Reflection!A139</f>
        <v>#REF!</v>
      </c>
      <c r="AO139" t="s">
        <v>13</v>
      </c>
      <c r="AP139" t="e">
        <f t="shared" si="129"/>
        <v>#REF!</v>
      </c>
      <c r="AQ139" t="e">
        <f t="shared" si="130"/>
        <v>#REF!</v>
      </c>
      <c r="AR139" t="e">
        <f t="shared" si="131"/>
        <v>#REF!</v>
      </c>
      <c r="AS139" t="e">
        <f t="shared" si="132"/>
        <v>#REF!</v>
      </c>
      <c r="AT139" t="e">
        <f t="shared" si="133"/>
        <v>#REF!</v>
      </c>
      <c r="AU139" t="e">
        <f t="shared" si="134"/>
        <v>#REF!</v>
      </c>
      <c r="AX139" t="e">
        <f>Reflection!A139</f>
        <v>#REF!</v>
      </c>
      <c r="AY139" t="s">
        <v>13</v>
      </c>
      <c r="AZ139" t="e">
        <f t="shared" si="135"/>
        <v>#REF!</v>
      </c>
      <c r="BA139" t="e">
        <f t="shared" si="136"/>
        <v>#REF!</v>
      </c>
      <c r="BB139" t="e">
        <f t="shared" si="137"/>
        <v>#REF!</v>
      </c>
      <c r="BC139" t="e">
        <f t="shared" si="138"/>
        <v>#REF!</v>
      </c>
      <c r="BD139" t="e">
        <f t="shared" si="139"/>
        <v>#REF!</v>
      </c>
      <c r="BE139" t="e">
        <f t="shared" si="140"/>
        <v>#REF!</v>
      </c>
      <c r="BH139" t="e">
        <f>Reflection!A139</f>
        <v>#REF!</v>
      </c>
      <c r="BI139" t="e">
        <f t="shared" si="141"/>
        <v>#REF!</v>
      </c>
      <c r="BJ139" t="e">
        <f t="shared" si="142"/>
        <v>#REF!</v>
      </c>
      <c r="BK139" t="e">
        <f t="shared" si="143"/>
        <v>#REF!</v>
      </c>
      <c r="BL139" t="e">
        <f t="shared" si="144"/>
        <v>#REF!</v>
      </c>
      <c r="BM139" t="e">
        <f t="shared" si="145"/>
        <v>#REF!</v>
      </c>
      <c r="BN139" t="e">
        <f t="shared" si="146"/>
        <v>#REF!</v>
      </c>
      <c r="BR139" t="e">
        <f>Reflection!A139</f>
        <v>#REF!</v>
      </c>
      <c r="BS139" t="s">
        <v>13</v>
      </c>
      <c r="BT139" t="e">
        <f t="shared" si="147"/>
        <v>#REF!</v>
      </c>
      <c r="BU139" t="e">
        <f t="shared" si="107"/>
        <v>#REF!</v>
      </c>
      <c r="BV139" t="e">
        <f t="shared" si="148"/>
        <v>#REF!</v>
      </c>
      <c r="BW139" t="e">
        <f t="shared" si="149"/>
        <v>#REF!</v>
      </c>
      <c r="BX139" t="e">
        <f t="shared" si="150"/>
        <v>#REF!</v>
      </c>
      <c r="BY139" t="e">
        <f t="shared" si="151"/>
        <v>#REF!</v>
      </c>
    </row>
    <row r="140" spans="1:77" x14ac:dyDescent="0.15">
      <c r="A140" t="e">
        <f>Reflection!A140</f>
        <v>#REF!</v>
      </c>
      <c r="B140" t="e">
        <f t="shared" si="104"/>
        <v>#REF!</v>
      </c>
      <c r="C140" t="e">
        <f t="shared" si="105"/>
        <v>#REF!</v>
      </c>
      <c r="D140" t="e">
        <f t="shared" si="108"/>
        <v>#REF!</v>
      </c>
      <c r="E140" t="e">
        <f t="shared" si="109"/>
        <v>#REF!</v>
      </c>
      <c r="F140" t="e">
        <f t="shared" si="110"/>
        <v>#REF!</v>
      </c>
      <c r="G140" t="e">
        <f t="shared" si="106"/>
        <v>#REF!</v>
      </c>
      <c r="J140" t="e">
        <f>Reflection!A140</f>
        <v>#REF!</v>
      </c>
      <c r="K140" t="s">
        <v>13</v>
      </c>
      <c r="L140" t="e">
        <f t="shared" si="111"/>
        <v>#REF!</v>
      </c>
      <c r="M140" t="e">
        <f t="shared" si="112"/>
        <v>#REF!</v>
      </c>
      <c r="N140" t="e">
        <f t="shared" si="113"/>
        <v>#REF!</v>
      </c>
      <c r="O140" t="e">
        <f t="shared" si="114"/>
        <v>#REF!</v>
      </c>
      <c r="P140" t="e">
        <f t="shared" si="115"/>
        <v>#REF!</v>
      </c>
      <c r="Q140" t="e">
        <f t="shared" si="116"/>
        <v>#REF!</v>
      </c>
      <c r="T140" t="e">
        <f>Reflection!A140</f>
        <v>#REF!</v>
      </c>
      <c r="U140" t="s">
        <v>13</v>
      </c>
      <c r="V140" t="e">
        <f t="shared" si="117"/>
        <v>#REF!</v>
      </c>
      <c r="W140" t="e">
        <f t="shared" si="118"/>
        <v>#REF!</v>
      </c>
      <c r="X140" t="e">
        <f t="shared" si="119"/>
        <v>#REF!</v>
      </c>
      <c r="Y140" t="e">
        <f t="shared" si="120"/>
        <v>#REF!</v>
      </c>
      <c r="Z140" t="e">
        <f t="shared" si="121"/>
        <v>#REF!</v>
      </c>
      <c r="AA140" t="e">
        <f t="shared" si="122"/>
        <v>#REF!</v>
      </c>
      <c r="AD140" t="e">
        <f>Reflection!A140</f>
        <v>#REF!</v>
      </c>
      <c r="AE140" t="s">
        <v>13</v>
      </c>
      <c r="AF140" t="e">
        <f t="shared" si="123"/>
        <v>#REF!</v>
      </c>
      <c r="AG140" t="e">
        <f t="shared" si="124"/>
        <v>#REF!</v>
      </c>
      <c r="AH140" t="e">
        <f t="shared" si="125"/>
        <v>#REF!</v>
      </c>
      <c r="AI140" t="e">
        <f t="shared" si="126"/>
        <v>#REF!</v>
      </c>
      <c r="AJ140" t="e">
        <f t="shared" si="127"/>
        <v>#REF!</v>
      </c>
      <c r="AK140" t="e">
        <f t="shared" si="128"/>
        <v>#REF!</v>
      </c>
      <c r="AN140" t="e">
        <f>Reflection!A140</f>
        <v>#REF!</v>
      </c>
      <c r="AO140" t="s">
        <v>13</v>
      </c>
      <c r="AP140" t="e">
        <f t="shared" si="129"/>
        <v>#REF!</v>
      </c>
      <c r="AQ140" t="e">
        <f t="shared" si="130"/>
        <v>#REF!</v>
      </c>
      <c r="AR140" t="e">
        <f t="shared" si="131"/>
        <v>#REF!</v>
      </c>
      <c r="AS140" t="e">
        <f t="shared" si="132"/>
        <v>#REF!</v>
      </c>
      <c r="AT140" t="e">
        <f t="shared" si="133"/>
        <v>#REF!</v>
      </c>
      <c r="AU140" t="e">
        <f t="shared" si="134"/>
        <v>#REF!</v>
      </c>
      <c r="AX140" t="e">
        <f>Reflection!A140</f>
        <v>#REF!</v>
      </c>
      <c r="AY140" t="s">
        <v>13</v>
      </c>
      <c r="AZ140" t="e">
        <f t="shared" si="135"/>
        <v>#REF!</v>
      </c>
      <c r="BA140" t="e">
        <f t="shared" si="136"/>
        <v>#REF!</v>
      </c>
      <c r="BB140" t="e">
        <f t="shared" si="137"/>
        <v>#REF!</v>
      </c>
      <c r="BC140" t="e">
        <f t="shared" si="138"/>
        <v>#REF!</v>
      </c>
      <c r="BD140" t="e">
        <f t="shared" si="139"/>
        <v>#REF!</v>
      </c>
      <c r="BE140" t="e">
        <f t="shared" si="140"/>
        <v>#REF!</v>
      </c>
      <c r="BH140" t="e">
        <f>Reflection!A140</f>
        <v>#REF!</v>
      </c>
      <c r="BI140" t="e">
        <f t="shared" si="141"/>
        <v>#REF!</v>
      </c>
      <c r="BJ140" t="e">
        <f t="shared" si="142"/>
        <v>#REF!</v>
      </c>
      <c r="BK140" t="e">
        <f t="shared" si="143"/>
        <v>#REF!</v>
      </c>
      <c r="BL140" t="e">
        <f t="shared" si="144"/>
        <v>#REF!</v>
      </c>
      <c r="BM140" t="e">
        <f t="shared" si="145"/>
        <v>#REF!</v>
      </c>
      <c r="BN140" t="e">
        <f t="shared" si="146"/>
        <v>#REF!</v>
      </c>
      <c r="BR140" t="e">
        <f>Reflection!A140</f>
        <v>#REF!</v>
      </c>
      <c r="BS140" t="s">
        <v>13</v>
      </c>
      <c r="BT140" t="e">
        <f t="shared" si="147"/>
        <v>#REF!</v>
      </c>
      <c r="BU140" t="e">
        <f t="shared" si="107"/>
        <v>#REF!</v>
      </c>
      <c r="BV140" t="e">
        <f t="shared" si="148"/>
        <v>#REF!</v>
      </c>
      <c r="BW140" t="e">
        <f t="shared" si="149"/>
        <v>#REF!</v>
      </c>
      <c r="BX140" t="e">
        <f t="shared" si="150"/>
        <v>#REF!</v>
      </c>
      <c r="BY140" t="e">
        <f t="shared" si="151"/>
        <v>#REF!</v>
      </c>
    </row>
    <row r="141" spans="1:77" x14ac:dyDescent="0.15">
      <c r="A141" t="e">
        <f>Reflection!A141</f>
        <v>#REF!</v>
      </c>
      <c r="B141" t="e">
        <f t="shared" si="104"/>
        <v>#REF!</v>
      </c>
      <c r="C141" t="e">
        <f t="shared" si="105"/>
        <v>#REF!</v>
      </c>
      <c r="D141" t="e">
        <f t="shared" si="108"/>
        <v>#REF!</v>
      </c>
      <c r="E141" t="e">
        <f t="shared" si="109"/>
        <v>#REF!</v>
      </c>
      <c r="F141" t="e">
        <f t="shared" si="110"/>
        <v>#REF!</v>
      </c>
      <c r="G141" t="e">
        <f t="shared" si="106"/>
        <v>#REF!</v>
      </c>
      <c r="J141" t="e">
        <f>Reflection!A141</f>
        <v>#REF!</v>
      </c>
      <c r="K141" t="s">
        <v>13</v>
      </c>
      <c r="L141" t="e">
        <f t="shared" si="111"/>
        <v>#REF!</v>
      </c>
      <c r="M141" t="e">
        <f t="shared" si="112"/>
        <v>#REF!</v>
      </c>
      <c r="N141" t="e">
        <f t="shared" si="113"/>
        <v>#REF!</v>
      </c>
      <c r="O141" t="e">
        <f t="shared" si="114"/>
        <v>#REF!</v>
      </c>
      <c r="P141" t="e">
        <f t="shared" si="115"/>
        <v>#REF!</v>
      </c>
      <c r="Q141" t="e">
        <f t="shared" si="116"/>
        <v>#REF!</v>
      </c>
      <c r="T141" t="e">
        <f>Reflection!A141</f>
        <v>#REF!</v>
      </c>
      <c r="U141" t="s">
        <v>13</v>
      </c>
      <c r="V141" t="e">
        <f t="shared" si="117"/>
        <v>#REF!</v>
      </c>
      <c r="W141" t="e">
        <f t="shared" si="118"/>
        <v>#REF!</v>
      </c>
      <c r="X141" t="e">
        <f t="shared" si="119"/>
        <v>#REF!</v>
      </c>
      <c r="Y141" t="e">
        <f t="shared" si="120"/>
        <v>#REF!</v>
      </c>
      <c r="Z141" t="e">
        <f t="shared" si="121"/>
        <v>#REF!</v>
      </c>
      <c r="AA141" t="e">
        <f t="shared" si="122"/>
        <v>#REF!</v>
      </c>
      <c r="AD141" t="e">
        <f>Reflection!A141</f>
        <v>#REF!</v>
      </c>
      <c r="AE141" t="s">
        <v>13</v>
      </c>
      <c r="AF141" t="e">
        <f t="shared" si="123"/>
        <v>#REF!</v>
      </c>
      <c r="AG141" t="e">
        <f t="shared" si="124"/>
        <v>#REF!</v>
      </c>
      <c r="AH141" t="e">
        <f t="shared" si="125"/>
        <v>#REF!</v>
      </c>
      <c r="AI141" t="e">
        <f t="shared" si="126"/>
        <v>#REF!</v>
      </c>
      <c r="AJ141" t="e">
        <f t="shared" si="127"/>
        <v>#REF!</v>
      </c>
      <c r="AK141" t="e">
        <f t="shared" si="128"/>
        <v>#REF!</v>
      </c>
      <c r="AN141" t="e">
        <f>Reflection!A141</f>
        <v>#REF!</v>
      </c>
      <c r="AO141" t="s">
        <v>13</v>
      </c>
      <c r="AP141" t="e">
        <f t="shared" si="129"/>
        <v>#REF!</v>
      </c>
      <c r="AQ141" t="e">
        <f t="shared" si="130"/>
        <v>#REF!</v>
      </c>
      <c r="AR141" t="e">
        <f t="shared" si="131"/>
        <v>#REF!</v>
      </c>
      <c r="AS141" t="e">
        <f t="shared" si="132"/>
        <v>#REF!</v>
      </c>
      <c r="AT141" t="e">
        <f t="shared" si="133"/>
        <v>#REF!</v>
      </c>
      <c r="AU141" t="e">
        <f t="shared" si="134"/>
        <v>#REF!</v>
      </c>
      <c r="AX141" t="e">
        <f>Reflection!A141</f>
        <v>#REF!</v>
      </c>
      <c r="AY141" t="s">
        <v>13</v>
      </c>
      <c r="AZ141" t="e">
        <f t="shared" si="135"/>
        <v>#REF!</v>
      </c>
      <c r="BA141" t="e">
        <f t="shared" si="136"/>
        <v>#REF!</v>
      </c>
      <c r="BB141" t="e">
        <f t="shared" si="137"/>
        <v>#REF!</v>
      </c>
      <c r="BC141" t="e">
        <f t="shared" si="138"/>
        <v>#REF!</v>
      </c>
      <c r="BD141" t="e">
        <f t="shared" si="139"/>
        <v>#REF!</v>
      </c>
      <c r="BE141" t="e">
        <f t="shared" si="140"/>
        <v>#REF!</v>
      </c>
      <c r="BH141" t="e">
        <f>Reflection!A141</f>
        <v>#REF!</v>
      </c>
      <c r="BI141" t="e">
        <f t="shared" si="141"/>
        <v>#REF!</v>
      </c>
      <c r="BJ141" t="e">
        <f t="shared" si="142"/>
        <v>#REF!</v>
      </c>
      <c r="BK141" t="e">
        <f t="shared" si="143"/>
        <v>#REF!</v>
      </c>
      <c r="BL141" t="e">
        <f t="shared" si="144"/>
        <v>#REF!</v>
      </c>
      <c r="BM141" t="e">
        <f t="shared" si="145"/>
        <v>#REF!</v>
      </c>
      <c r="BN141" t="e">
        <f t="shared" si="146"/>
        <v>#REF!</v>
      </c>
      <c r="BR141" t="e">
        <f>Reflection!A141</f>
        <v>#REF!</v>
      </c>
      <c r="BS141" t="s">
        <v>13</v>
      </c>
      <c r="BT141" t="e">
        <f t="shared" si="147"/>
        <v>#REF!</v>
      </c>
      <c r="BU141" t="e">
        <f t="shared" si="107"/>
        <v>#REF!</v>
      </c>
      <c r="BV141" t="e">
        <f t="shared" si="148"/>
        <v>#REF!</v>
      </c>
      <c r="BW141" t="e">
        <f t="shared" si="149"/>
        <v>#REF!</v>
      </c>
      <c r="BX141" t="e">
        <f t="shared" si="150"/>
        <v>#REF!</v>
      </c>
      <c r="BY141" t="e">
        <f t="shared" si="151"/>
        <v>#REF!</v>
      </c>
    </row>
    <row r="142" spans="1:77" x14ac:dyDescent="0.15">
      <c r="A142" t="e">
        <f>Reflection!A142</f>
        <v>#REF!</v>
      </c>
      <c r="B142" t="e">
        <f t="shared" si="104"/>
        <v>#REF!</v>
      </c>
      <c r="C142" t="e">
        <f t="shared" si="105"/>
        <v>#REF!</v>
      </c>
      <c r="D142" t="e">
        <f t="shared" si="108"/>
        <v>#REF!</v>
      </c>
      <c r="E142" t="e">
        <f t="shared" si="109"/>
        <v>#REF!</v>
      </c>
      <c r="F142" t="e">
        <f t="shared" si="110"/>
        <v>#REF!</v>
      </c>
      <c r="G142" t="e">
        <f t="shared" si="106"/>
        <v>#REF!</v>
      </c>
      <c r="J142" t="e">
        <f>Reflection!A142</f>
        <v>#REF!</v>
      </c>
      <c r="K142" t="s">
        <v>13</v>
      </c>
      <c r="L142" t="e">
        <f t="shared" si="111"/>
        <v>#REF!</v>
      </c>
      <c r="M142" t="e">
        <f t="shared" si="112"/>
        <v>#REF!</v>
      </c>
      <c r="N142" t="e">
        <f t="shared" si="113"/>
        <v>#REF!</v>
      </c>
      <c r="O142" t="e">
        <f t="shared" si="114"/>
        <v>#REF!</v>
      </c>
      <c r="P142" t="e">
        <f t="shared" si="115"/>
        <v>#REF!</v>
      </c>
      <c r="Q142" t="e">
        <f t="shared" si="116"/>
        <v>#REF!</v>
      </c>
      <c r="T142" t="e">
        <f>Reflection!A142</f>
        <v>#REF!</v>
      </c>
      <c r="U142" t="s">
        <v>13</v>
      </c>
      <c r="V142" t="e">
        <f t="shared" si="117"/>
        <v>#REF!</v>
      </c>
      <c r="W142" t="e">
        <f t="shared" si="118"/>
        <v>#REF!</v>
      </c>
      <c r="X142" t="e">
        <f t="shared" si="119"/>
        <v>#REF!</v>
      </c>
      <c r="Y142" t="e">
        <f t="shared" si="120"/>
        <v>#REF!</v>
      </c>
      <c r="Z142" t="e">
        <f t="shared" si="121"/>
        <v>#REF!</v>
      </c>
      <c r="AA142" t="e">
        <f t="shared" si="122"/>
        <v>#REF!</v>
      </c>
      <c r="AD142" t="e">
        <f>Reflection!A142</f>
        <v>#REF!</v>
      </c>
      <c r="AE142" t="s">
        <v>13</v>
      </c>
      <c r="AF142" t="e">
        <f t="shared" si="123"/>
        <v>#REF!</v>
      </c>
      <c r="AG142" t="e">
        <f t="shared" si="124"/>
        <v>#REF!</v>
      </c>
      <c r="AH142" t="e">
        <f t="shared" si="125"/>
        <v>#REF!</v>
      </c>
      <c r="AI142" t="e">
        <f t="shared" si="126"/>
        <v>#REF!</v>
      </c>
      <c r="AJ142" t="e">
        <f t="shared" si="127"/>
        <v>#REF!</v>
      </c>
      <c r="AK142" t="e">
        <f t="shared" si="128"/>
        <v>#REF!</v>
      </c>
      <c r="AN142" t="e">
        <f>Reflection!A142</f>
        <v>#REF!</v>
      </c>
      <c r="AO142" t="s">
        <v>13</v>
      </c>
      <c r="AP142" t="e">
        <f t="shared" si="129"/>
        <v>#REF!</v>
      </c>
      <c r="AQ142" t="e">
        <f t="shared" si="130"/>
        <v>#REF!</v>
      </c>
      <c r="AR142" t="e">
        <f t="shared" si="131"/>
        <v>#REF!</v>
      </c>
      <c r="AS142" t="e">
        <f t="shared" si="132"/>
        <v>#REF!</v>
      </c>
      <c r="AT142" t="e">
        <f t="shared" si="133"/>
        <v>#REF!</v>
      </c>
      <c r="AU142" t="e">
        <f t="shared" si="134"/>
        <v>#REF!</v>
      </c>
      <c r="AX142" t="e">
        <f>Reflection!A142</f>
        <v>#REF!</v>
      </c>
      <c r="AY142" t="s">
        <v>13</v>
      </c>
      <c r="AZ142" t="e">
        <f t="shared" si="135"/>
        <v>#REF!</v>
      </c>
      <c r="BA142" t="e">
        <f t="shared" si="136"/>
        <v>#REF!</v>
      </c>
      <c r="BB142" t="e">
        <f t="shared" si="137"/>
        <v>#REF!</v>
      </c>
      <c r="BC142" t="e">
        <f t="shared" si="138"/>
        <v>#REF!</v>
      </c>
      <c r="BD142" t="e">
        <f t="shared" si="139"/>
        <v>#REF!</v>
      </c>
      <c r="BE142" t="e">
        <f t="shared" si="140"/>
        <v>#REF!</v>
      </c>
      <c r="BH142" t="e">
        <f>Reflection!A142</f>
        <v>#REF!</v>
      </c>
      <c r="BI142" t="e">
        <f t="shared" si="141"/>
        <v>#REF!</v>
      </c>
      <c r="BJ142" t="e">
        <f t="shared" si="142"/>
        <v>#REF!</v>
      </c>
      <c r="BK142" t="e">
        <f t="shared" si="143"/>
        <v>#REF!</v>
      </c>
      <c r="BL142" t="e">
        <f t="shared" si="144"/>
        <v>#REF!</v>
      </c>
      <c r="BM142" t="e">
        <f t="shared" si="145"/>
        <v>#REF!</v>
      </c>
      <c r="BN142" t="e">
        <f t="shared" si="146"/>
        <v>#REF!</v>
      </c>
      <c r="BR142" t="e">
        <f>Reflection!A142</f>
        <v>#REF!</v>
      </c>
      <c r="BS142" t="s">
        <v>13</v>
      </c>
      <c r="BT142" t="e">
        <f t="shared" si="147"/>
        <v>#REF!</v>
      </c>
      <c r="BU142" t="e">
        <f t="shared" si="107"/>
        <v>#REF!</v>
      </c>
      <c r="BV142" t="e">
        <f t="shared" si="148"/>
        <v>#REF!</v>
      </c>
      <c r="BW142" t="e">
        <f t="shared" si="149"/>
        <v>#REF!</v>
      </c>
      <c r="BX142" t="e">
        <f t="shared" si="150"/>
        <v>#REF!</v>
      </c>
      <c r="BY142" t="e">
        <f t="shared" si="151"/>
        <v>#REF!</v>
      </c>
    </row>
    <row r="143" spans="1:77" x14ac:dyDescent="0.15">
      <c r="A143" t="e">
        <f>Reflection!A143</f>
        <v>#REF!</v>
      </c>
      <c r="B143" t="e">
        <f t="shared" si="104"/>
        <v>#REF!</v>
      </c>
      <c r="C143" t="e">
        <f t="shared" si="105"/>
        <v>#REF!</v>
      </c>
      <c r="D143" t="e">
        <f t="shared" si="108"/>
        <v>#REF!</v>
      </c>
      <c r="E143" t="e">
        <f t="shared" si="109"/>
        <v>#REF!</v>
      </c>
      <c r="F143" t="e">
        <f t="shared" si="110"/>
        <v>#REF!</v>
      </c>
      <c r="G143" t="e">
        <f t="shared" si="106"/>
        <v>#REF!</v>
      </c>
      <c r="J143" t="e">
        <f>Reflection!A143</f>
        <v>#REF!</v>
      </c>
      <c r="K143" t="s">
        <v>13</v>
      </c>
      <c r="L143" t="e">
        <f t="shared" si="111"/>
        <v>#REF!</v>
      </c>
      <c r="M143" t="e">
        <f t="shared" si="112"/>
        <v>#REF!</v>
      </c>
      <c r="N143" t="e">
        <f t="shared" si="113"/>
        <v>#REF!</v>
      </c>
      <c r="O143" t="e">
        <f t="shared" si="114"/>
        <v>#REF!</v>
      </c>
      <c r="P143" t="e">
        <f t="shared" si="115"/>
        <v>#REF!</v>
      </c>
      <c r="Q143" t="e">
        <f t="shared" si="116"/>
        <v>#REF!</v>
      </c>
      <c r="T143" t="e">
        <f>Reflection!A143</f>
        <v>#REF!</v>
      </c>
      <c r="U143" t="s">
        <v>13</v>
      </c>
      <c r="V143" t="e">
        <f t="shared" si="117"/>
        <v>#REF!</v>
      </c>
      <c r="W143" t="e">
        <f t="shared" si="118"/>
        <v>#REF!</v>
      </c>
      <c r="X143" t="e">
        <f t="shared" si="119"/>
        <v>#REF!</v>
      </c>
      <c r="Y143" t="e">
        <f t="shared" si="120"/>
        <v>#REF!</v>
      </c>
      <c r="Z143" t="e">
        <f t="shared" si="121"/>
        <v>#REF!</v>
      </c>
      <c r="AA143" t="e">
        <f t="shared" si="122"/>
        <v>#REF!</v>
      </c>
      <c r="AD143" t="e">
        <f>Reflection!A143</f>
        <v>#REF!</v>
      </c>
      <c r="AE143" t="s">
        <v>13</v>
      </c>
      <c r="AF143" t="e">
        <f t="shared" si="123"/>
        <v>#REF!</v>
      </c>
      <c r="AG143" t="e">
        <f t="shared" si="124"/>
        <v>#REF!</v>
      </c>
      <c r="AH143" t="e">
        <f t="shared" si="125"/>
        <v>#REF!</v>
      </c>
      <c r="AI143" t="e">
        <f t="shared" si="126"/>
        <v>#REF!</v>
      </c>
      <c r="AJ143" t="e">
        <f t="shared" si="127"/>
        <v>#REF!</v>
      </c>
      <c r="AK143" t="e">
        <f t="shared" si="128"/>
        <v>#REF!</v>
      </c>
      <c r="AN143" t="e">
        <f>Reflection!A143</f>
        <v>#REF!</v>
      </c>
      <c r="AO143" t="s">
        <v>13</v>
      </c>
      <c r="AP143" t="e">
        <f t="shared" si="129"/>
        <v>#REF!</v>
      </c>
      <c r="AQ143" t="e">
        <f t="shared" si="130"/>
        <v>#REF!</v>
      </c>
      <c r="AR143" t="e">
        <f t="shared" si="131"/>
        <v>#REF!</v>
      </c>
      <c r="AS143" t="e">
        <f t="shared" si="132"/>
        <v>#REF!</v>
      </c>
      <c r="AT143" t="e">
        <f t="shared" si="133"/>
        <v>#REF!</v>
      </c>
      <c r="AU143" t="e">
        <f t="shared" si="134"/>
        <v>#REF!</v>
      </c>
      <c r="AX143" t="e">
        <f>Reflection!A143</f>
        <v>#REF!</v>
      </c>
      <c r="AY143" t="s">
        <v>13</v>
      </c>
      <c r="AZ143" t="e">
        <f t="shared" si="135"/>
        <v>#REF!</v>
      </c>
      <c r="BA143" t="e">
        <f t="shared" si="136"/>
        <v>#REF!</v>
      </c>
      <c r="BB143" t="e">
        <f t="shared" si="137"/>
        <v>#REF!</v>
      </c>
      <c r="BC143" t="e">
        <f t="shared" si="138"/>
        <v>#REF!</v>
      </c>
      <c r="BD143" t="e">
        <f t="shared" si="139"/>
        <v>#REF!</v>
      </c>
      <c r="BE143" t="e">
        <f t="shared" si="140"/>
        <v>#REF!</v>
      </c>
      <c r="BH143" t="e">
        <f>Reflection!A143</f>
        <v>#REF!</v>
      </c>
      <c r="BI143" t="e">
        <f t="shared" si="141"/>
        <v>#REF!</v>
      </c>
      <c r="BJ143" t="e">
        <f t="shared" si="142"/>
        <v>#REF!</v>
      </c>
      <c r="BK143" t="e">
        <f t="shared" si="143"/>
        <v>#REF!</v>
      </c>
      <c r="BL143" t="e">
        <f t="shared" si="144"/>
        <v>#REF!</v>
      </c>
      <c r="BM143" t="e">
        <f t="shared" si="145"/>
        <v>#REF!</v>
      </c>
      <c r="BN143" t="e">
        <f t="shared" si="146"/>
        <v>#REF!</v>
      </c>
      <c r="BR143" t="e">
        <f>Reflection!A143</f>
        <v>#REF!</v>
      </c>
      <c r="BS143" t="s">
        <v>13</v>
      </c>
      <c r="BT143" t="e">
        <f t="shared" si="147"/>
        <v>#REF!</v>
      </c>
      <c r="BU143" t="e">
        <f t="shared" si="107"/>
        <v>#REF!</v>
      </c>
      <c r="BV143" t="e">
        <f t="shared" si="148"/>
        <v>#REF!</v>
      </c>
      <c r="BW143" t="e">
        <f t="shared" si="149"/>
        <v>#REF!</v>
      </c>
      <c r="BX143" t="e">
        <f t="shared" si="150"/>
        <v>#REF!</v>
      </c>
      <c r="BY143" t="e">
        <f t="shared" si="151"/>
        <v>#REF!</v>
      </c>
    </row>
    <row r="144" spans="1:77" x14ac:dyDescent="0.15">
      <c r="A144" t="e">
        <f>Reflection!A144</f>
        <v>#REF!</v>
      </c>
      <c r="B144" t="e">
        <f t="shared" si="104"/>
        <v>#REF!</v>
      </c>
      <c r="C144" t="e">
        <f t="shared" si="105"/>
        <v>#REF!</v>
      </c>
      <c r="D144" t="e">
        <f t="shared" si="108"/>
        <v>#REF!</v>
      </c>
      <c r="E144" t="e">
        <f t="shared" si="109"/>
        <v>#REF!</v>
      </c>
      <c r="F144" t="e">
        <f t="shared" si="110"/>
        <v>#REF!</v>
      </c>
      <c r="G144" t="e">
        <f t="shared" si="106"/>
        <v>#REF!</v>
      </c>
      <c r="J144" t="e">
        <f>Reflection!A144</f>
        <v>#REF!</v>
      </c>
      <c r="K144" t="s">
        <v>13</v>
      </c>
      <c r="L144" t="e">
        <f t="shared" si="111"/>
        <v>#REF!</v>
      </c>
      <c r="M144" t="e">
        <f t="shared" si="112"/>
        <v>#REF!</v>
      </c>
      <c r="N144" t="e">
        <f t="shared" si="113"/>
        <v>#REF!</v>
      </c>
      <c r="O144" t="e">
        <f t="shared" si="114"/>
        <v>#REF!</v>
      </c>
      <c r="P144" t="e">
        <f t="shared" si="115"/>
        <v>#REF!</v>
      </c>
      <c r="Q144" t="e">
        <f t="shared" si="116"/>
        <v>#REF!</v>
      </c>
      <c r="T144" t="e">
        <f>Reflection!A144</f>
        <v>#REF!</v>
      </c>
      <c r="U144" t="s">
        <v>13</v>
      </c>
      <c r="V144" t="e">
        <f t="shared" si="117"/>
        <v>#REF!</v>
      </c>
      <c r="W144" t="e">
        <f t="shared" si="118"/>
        <v>#REF!</v>
      </c>
      <c r="X144" t="e">
        <f t="shared" si="119"/>
        <v>#REF!</v>
      </c>
      <c r="Y144" t="e">
        <f t="shared" si="120"/>
        <v>#REF!</v>
      </c>
      <c r="Z144" t="e">
        <f t="shared" si="121"/>
        <v>#REF!</v>
      </c>
      <c r="AA144" t="e">
        <f t="shared" si="122"/>
        <v>#REF!</v>
      </c>
      <c r="AD144" t="e">
        <f>Reflection!A144</f>
        <v>#REF!</v>
      </c>
      <c r="AE144" t="s">
        <v>13</v>
      </c>
      <c r="AF144" t="e">
        <f t="shared" si="123"/>
        <v>#REF!</v>
      </c>
      <c r="AG144" t="e">
        <f t="shared" si="124"/>
        <v>#REF!</v>
      </c>
      <c r="AH144" t="e">
        <f t="shared" si="125"/>
        <v>#REF!</v>
      </c>
      <c r="AI144" t="e">
        <f t="shared" si="126"/>
        <v>#REF!</v>
      </c>
      <c r="AJ144" t="e">
        <f t="shared" si="127"/>
        <v>#REF!</v>
      </c>
      <c r="AK144" t="e">
        <f t="shared" si="128"/>
        <v>#REF!</v>
      </c>
      <c r="AN144" t="e">
        <f>Reflection!A144</f>
        <v>#REF!</v>
      </c>
      <c r="AO144" t="s">
        <v>13</v>
      </c>
      <c r="AP144" t="e">
        <f t="shared" si="129"/>
        <v>#REF!</v>
      </c>
      <c r="AQ144" t="e">
        <f t="shared" si="130"/>
        <v>#REF!</v>
      </c>
      <c r="AR144" t="e">
        <f t="shared" si="131"/>
        <v>#REF!</v>
      </c>
      <c r="AS144" t="e">
        <f t="shared" si="132"/>
        <v>#REF!</v>
      </c>
      <c r="AT144" t="e">
        <f t="shared" si="133"/>
        <v>#REF!</v>
      </c>
      <c r="AU144" t="e">
        <f t="shared" si="134"/>
        <v>#REF!</v>
      </c>
      <c r="AX144" t="e">
        <f>Reflection!A144</f>
        <v>#REF!</v>
      </c>
      <c r="AY144" t="s">
        <v>13</v>
      </c>
      <c r="AZ144" t="e">
        <f t="shared" si="135"/>
        <v>#REF!</v>
      </c>
      <c r="BA144" t="e">
        <f t="shared" si="136"/>
        <v>#REF!</v>
      </c>
      <c r="BB144" t="e">
        <f t="shared" si="137"/>
        <v>#REF!</v>
      </c>
      <c r="BC144" t="e">
        <f t="shared" si="138"/>
        <v>#REF!</v>
      </c>
      <c r="BD144" t="e">
        <f t="shared" si="139"/>
        <v>#REF!</v>
      </c>
      <c r="BE144" t="e">
        <f t="shared" si="140"/>
        <v>#REF!</v>
      </c>
      <c r="BH144" t="e">
        <f>Reflection!A144</f>
        <v>#REF!</v>
      </c>
      <c r="BI144" t="e">
        <f t="shared" si="141"/>
        <v>#REF!</v>
      </c>
      <c r="BJ144" t="e">
        <f t="shared" si="142"/>
        <v>#REF!</v>
      </c>
      <c r="BK144" t="e">
        <f t="shared" si="143"/>
        <v>#REF!</v>
      </c>
      <c r="BL144" t="e">
        <f t="shared" si="144"/>
        <v>#REF!</v>
      </c>
      <c r="BM144" t="e">
        <f t="shared" si="145"/>
        <v>#REF!</v>
      </c>
      <c r="BN144" t="e">
        <f t="shared" si="146"/>
        <v>#REF!</v>
      </c>
      <c r="BR144" t="e">
        <f>Reflection!A144</f>
        <v>#REF!</v>
      </c>
      <c r="BS144" t="s">
        <v>13</v>
      </c>
      <c r="BT144" t="e">
        <f t="shared" si="147"/>
        <v>#REF!</v>
      </c>
      <c r="BU144" t="e">
        <f t="shared" si="107"/>
        <v>#REF!</v>
      </c>
      <c r="BV144" t="e">
        <f t="shared" si="148"/>
        <v>#REF!</v>
      </c>
      <c r="BW144" t="e">
        <f t="shared" si="149"/>
        <v>#REF!</v>
      </c>
      <c r="BX144" t="e">
        <f t="shared" si="150"/>
        <v>#REF!</v>
      </c>
      <c r="BY144" t="e">
        <f t="shared" si="151"/>
        <v>#REF!</v>
      </c>
    </row>
    <row r="145" spans="1:77" x14ac:dyDescent="0.15">
      <c r="A145" t="e">
        <f>Reflection!A145</f>
        <v>#REF!</v>
      </c>
      <c r="B145" t="e">
        <f t="shared" si="104"/>
        <v>#REF!</v>
      </c>
      <c r="C145" t="e">
        <f t="shared" si="105"/>
        <v>#REF!</v>
      </c>
      <c r="D145" t="e">
        <f t="shared" si="108"/>
        <v>#REF!</v>
      </c>
      <c r="E145" t="e">
        <f t="shared" si="109"/>
        <v>#REF!</v>
      </c>
      <c r="F145" t="e">
        <f t="shared" si="110"/>
        <v>#REF!</v>
      </c>
      <c r="G145" t="e">
        <f t="shared" si="106"/>
        <v>#REF!</v>
      </c>
      <c r="J145" t="e">
        <f>Reflection!A145</f>
        <v>#REF!</v>
      </c>
      <c r="K145" t="s">
        <v>13</v>
      </c>
      <c r="L145" t="e">
        <f t="shared" si="111"/>
        <v>#REF!</v>
      </c>
      <c r="M145" t="e">
        <f t="shared" si="112"/>
        <v>#REF!</v>
      </c>
      <c r="N145" t="e">
        <f t="shared" si="113"/>
        <v>#REF!</v>
      </c>
      <c r="O145" t="e">
        <f t="shared" si="114"/>
        <v>#REF!</v>
      </c>
      <c r="P145" t="e">
        <f t="shared" si="115"/>
        <v>#REF!</v>
      </c>
      <c r="Q145" t="e">
        <f t="shared" si="116"/>
        <v>#REF!</v>
      </c>
      <c r="T145" t="e">
        <f>Reflection!A145</f>
        <v>#REF!</v>
      </c>
      <c r="U145" t="s">
        <v>13</v>
      </c>
      <c r="V145" t="e">
        <f t="shared" si="117"/>
        <v>#REF!</v>
      </c>
      <c r="W145" t="e">
        <f t="shared" si="118"/>
        <v>#REF!</v>
      </c>
      <c r="X145" t="e">
        <f t="shared" si="119"/>
        <v>#REF!</v>
      </c>
      <c r="Y145" t="e">
        <f t="shared" si="120"/>
        <v>#REF!</v>
      </c>
      <c r="Z145" t="e">
        <f t="shared" si="121"/>
        <v>#REF!</v>
      </c>
      <c r="AA145" t="e">
        <f t="shared" si="122"/>
        <v>#REF!</v>
      </c>
      <c r="AD145" t="e">
        <f>Reflection!A145</f>
        <v>#REF!</v>
      </c>
      <c r="AE145" t="s">
        <v>13</v>
      </c>
      <c r="AF145" t="e">
        <f t="shared" si="123"/>
        <v>#REF!</v>
      </c>
      <c r="AG145" t="e">
        <f t="shared" si="124"/>
        <v>#REF!</v>
      </c>
      <c r="AH145" t="e">
        <f t="shared" si="125"/>
        <v>#REF!</v>
      </c>
      <c r="AI145" t="e">
        <f t="shared" si="126"/>
        <v>#REF!</v>
      </c>
      <c r="AJ145" t="e">
        <f t="shared" si="127"/>
        <v>#REF!</v>
      </c>
      <c r="AK145" t="e">
        <f t="shared" si="128"/>
        <v>#REF!</v>
      </c>
      <c r="AN145" t="e">
        <f>Reflection!A145</f>
        <v>#REF!</v>
      </c>
      <c r="AO145" t="s">
        <v>13</v>
      </c>
      <c r="AP145" t="e">
        <f t="shared" si="129"/>
        <v>#REF!</v>
      </c>
      <c r="AQ145" t="e">
        <f t="shared" si="130"/>
        <v>#REF!</v>
      </c>
      <c r="AR145" t="e">
        <f t="shared" si="131"/>
        <v>#REF!</v>
      </c>
      <c r="AS145" t="e">
        <f t="shared" si="132"/>
        <v>#REF!</v>
      </c>
      <c r="AT145" t="e">
        <f t="shared" si="133"/>
        <v>#REF!</v>
      </c>
      <c r="AU145" t="e">
        <f t="shared" si="134"/>
        <v>#REF!</v>
      </c>
      <c r="AX145" t="e">
        <f>Reflection!A145</f>
        <v>#REF!</v>
      </c>
      <c r="AY145" t="s">
        <v>13</v>
      </c>
      <c r="AZ145" t="e">
        <f t="shared" si="135"/>
        <v>#REF!</v>
      </c>
      <c r="BA145" t="e">
        <f t="shared" si="136"/>
        <v>#REF!</v>
      </c>
      <c r="BB145" t="e">
        <f t="shared" si="137"/>
        <v>#REF!</v>
      </c>
      <c r="BC145" t="e">
        <f t="shared" si="138"/>
        <v>#REF!</v>
      </c>
      <c r="BD145" t="e">
        <f t="shared" si="139"/>
        <v>#REF!</v>
      </c>
      <c r="BE145" t="e">
        <f t="shared" si="140"/>
        <v>#REF!</v>
      </c>
      <c r="BH145" t="e">
        <f>Reflection!A145</f>
        <v>#REF!</v>
      </c>
      <c r="BI145" t="e">
        <f t="shared" si="141"/>
        <v>#REF!</v>
      </c>
      <c r="BJ145" t="e">
        <f t="shared" si="142"/>
        <v>#REF!</v>
      </c>
      <c r="BK145" t="e">
        <f t="shared" si="143"/>
        <v>#REF!</v>
      </c>
      <c r="BL145" t="e">
        <f t="shared" si="144"/>
        <v>#REF!</v>
      </c>
      <c r="BM145" t="e">
        <f t="shared" si="145"/>
        <v>#REF!</v>
      </c>
      <c r="BN145" t="e">
        <f t="shared" si="146"/>
        <v>#REF!</v>
      </c>
      <c r="BR145" t="e">
        <f>Reflection!A145</f>
        <v>#REF!</v>
      </c>
      <c r="BS145" t="s">
        <v>13</v>
      </c>
      <c r="BT145" t="e">
        <f t="shared" si="147"/>
        <v>#REF!</v>
      </c>
      <c r="BU145" t="e">
        <f t="shared" si="107"/>
        <v>#REF!</v>
      </c>
      <c r="BV145" t="e">
        <f t="shared" si="148"/>
        <v>#REF!</v>
      </c>
      <c r="BW145" t="e">
        <f t="shared" si="149"/>
        <v>#REF!</v>
      </c>
      <c r="BX145" t="e">
        <f t="shared" si="150"/>
        <v>#REF!</v>
      </c>
      <c r="BY145" t="e">
        <f t="shared" si="151"/>
        <v>#REF!</v>
      </c>
    </row>
    <row r="146" spans="1:77" x14ac:dyDescent="0.15">
      <c r="A146" t="e">
        <f>Reflection!A146</f>
        <v>#REF!</v>
      </c>
      <c r="B146" t="e">
        <f t="shared" si="104"/>
        <v>#REF!</v>
      </c>
      <c r="C146" t="e">
        <f t="shared" si="105"/>
        <v>#REF!</v>
      </c>
      <c r="D146" t="e">
        <f t="shared" si="108"/>
        <v>#REF!</v>
      </c>
      <c r="E146" t="e">
        <f t="shared" si="109"/>
        <v>#REF!</v>
      </c>
      <c r="F146" t="e">
        <f t="shared" si="110"/>
        <v>#REF!</v>
      </c>
      <c r="G146" t="e">
        <f t="shared" si="106"/>
        <v>#REF!</v>
      </c>
      <c r="J146" t="e">
        <f>Reflection!A146</f>
        <v>#REF!</v>
      </c>
      <c r="K146" t="s">
        <v>13</v>
      </c>
      <c r="L146" t="e">
        <f t="shared" si="111"/>
        <v>#REF!</v>
      </c>
      <c r="M146" t="e">
        <f t="shared" si="112"/>
        <v>#REF!</v>
      </c>
      <c r="N146" t="e">
        <f t="shared" si="113"/>
        <v>#REF!</v>
      </c>
      <c r="O146" t="e">
        <f t="shared" si="114"/>
        <v>#REF!</v>
      </c>
      <c r="P146" t="e">
        <f t="shared" si="115"/>
        <v>#REF!</v>
      </c>
      <c r="Q146" t="e">
        <f t="shared" si="116"/>
        <v>#REF!</v>
      </c>
      <c r="T146" t="e">
        <f>Reflection!A146</f>
        <v>#REF!</v>
      </c>
      <c r="U146" t="s">
        <v>13</v>
      </c>
      <c r="V146" t="e">
        <f t="shared" si="117"/>
        <v>#REF!</v>
      </c>
      <c r="W146" t="e">
        <f t="shared" si="118"/>
        <v>#REF!</v>
      </c>
      <c r="X146" t="e">
        <f t="shared" si="119"/>
        <v>#REF!</v>
      </c>
      <c r="Y146" t="e">
        <f t="shared" si="120"/>
        <v>#REF!</v>
      </c>
      <c r="Z146" t="e">
        <f t="shared" si="121"/>
        <v>#REF!</v>
      </c>
      <c r="AA146" t="e">
        <f t="shared" si="122"/>
        <v>#REF!</v>
      </c>
      <c r="AD146" t="e">
        <f>Reflection!A146</f>
        <v>#REF!</v>
      </c>
      <c r="AE146" t="s">
        <v>13</v>
      </c>
      <c r="AF146" t="e">
        <f t="shared" si="123"/>
        <v>#REF!</v>
      </c>
      <c r="AG146" t="e">
        <f t="shared" si="124"/>
        <v>#REF!</v>
      </c>
      <c r="AH146" t="e">
        <f t="shared" si="125"/>
        <v>#REF!</v>
      </c>
      <c r="AI146" t="e">
        <f t="shared" si="126"/>
        <v>#REF!</v>
      </c>
      <c r="AJ146" t="e">
        <f t="shared" si="127"/>
        <v>#REF!</v>
      </c>
      <c r="AK146" t="e">
        <f t="shared" si="128"/>
        <v>#REF!</v>
      </c>
      <c r="AN146" t="e">
        <f>Reflection!A146</f>
        <v>#REF!</v>
      </c>
      <c r="AO146" t="s">
        <v>13</v>
      </c>
      <c r="AP146" t="e">
        <f t="shared" si="129"/>
        <v>#REF!</v>
      </c>
      <c r="AQ146" t="e">
        <f t="shared" si="130"/>
        <v>#REF!</v>
      </c>
      <c r="AR146" t="e">
        <f t="shared" si="131"/>
        <v>#REF!</v>
      </c>
      <c r="AS146" t="e">
        <f t="shared" si="132"/>
        <v>#REF!</v>
      </c>
      <c r="AT146" t="e">
        <f t="shared" si="133"/>
        <v>#REF!</v>
      </c>
      <c r="AU146" t="e">
        <f t="shared" si="134"/>
        <v>#REF!</v>
      </c>
      <c r="AX146" t="e">
        <f>Reflection!A146</f>
        <v>#REF!</v>
      </c>
      <c r="AY146" t="s">
        <v>13</v>
      </c>
      <c r="AZ146" t="e">
        <f t="shared" si="135"/>
        <v>#REF!</v>
      </c>
      <c r="BA146" t="e">
        <f t="shared" si="136"/>
        <v>#REF!</v>
      </c>
      <c r="BB146" t="e">
        <f t="shared" si="137"/>
        <v>#REF!</v>
      </c>
      <c r="BC146" t="e">
        <f t="shared" si="138"/>
        <v>#REF!</v>
      </c>
      <c r="BD146" t="e">
        <f t="shared" si="139"/>
        <v>#REF!</v>
      </c>
      <c r="BE146" t="e">
        <f t="shared" si="140"/>
        <v>#REF!</v>
      </c>
      <c r="BH146" t="e">
        <f>Reflection!A146</f>
        <v>#REF!</v>
      </c>
      <c r="BI146" t="e">
        <f t="shared" si="141"/>
        <v>#REF!</v>
      </c>
      <c r="BJ146" t="e">
        <f t="shared" si="142"/>
        <v>#REF!</v>
      </c>
      <c r="BK146" t="e">
        <f t="shared" si="143"/>
        <v>#REF!</v>
      </c>
      <c r="BL146" t="e">
        <f t="shared" si="144"/>
        <v>#REF!</v>
      </c>
      <c r="BM146" t="e">
        <f t="shared" si="145"/>
        <v>#REF!</v>
      </c>
      <c r="BN146" t="e">
        <f t="shared" si="146"/>
        <v>#REF!</v>
      </c>
      <c r="BR146" t="e">
        <f>Reflection!A146</f>
        <v>#REF!</v>
      </c>
      <c r="BS146" t="s">
        <v>13</v>
      </c>
      <c r="BT146" t="e">
        <f t="shared" si="147"/>
        <v>#REF!</v>
      </c>
      <c r="BU146" t="e">
        <f t="shared" si="107"/>
        <v>#REF!</v>
      </c>
      <c r="BV146" t="e">
        <f t="shared" si="148"/>
        <v>#REF!</v>
      </c>
      <c r="BW146" t="e">
        <f t="shared" si="149"/>
        <v>#REF!</v>
      </c>
      <c r="BX146" t="e">
        <f t="shared" si="150"/>
        <v>#REF!</v>
      </c>
      <c r="BY146" t="e">
        <f t="shared" si="151"/>
        <v>#REF!</v>
      </c>
    </row>
    <row r="147" spans="1:77" x14ac:dyDescent="0.15">
      <c r="A147" t="e">
        <f>Reflection!A147</f>
        <v>#REF!</v>
      </c>
      <c r="B147" t="e">
        <f t="shared" si="104"/>
        <v>#REF!</v>
      </c>
      <c r="C147" t="e">
        <f t="shared" si="105"/>
        <v>#REF!</v>
      </c>
      <c r="D147" t="e">
        <f t="shared" si="108"/>
        <v>#REF!</v>
      </c>
      <c r="E147" t="e">
        <f t="shared" si="109"/>
        <v>#REF!</v>
      </c>
      <c r="F147" t="e">
        <f t="shared" si="110"/>
        <v>#REF!</v>
      </c>
      <c r="G147" t="e">
        <f t="shared" si="106"/>
        <v>#REF!</v>
      </c>
      <c r="J147" t="e">
        <f>Reflection!A147</f>
        <v>#REF!</v>
      </c>
      <c r="K147" t="s">
        <v>13</v>
      </c>
      <c r="L147" t="e">
        <f t="shared" si="111"/>
        <v>#REF!</v>
      </c>
      <c r="M147" t="e">
        <f t="shared" si="112"/>
        <v>#REF!</v>
      </c>
      <c r="N147" t="e">
        <f t="shared" si="113"/>
        <v>#REF!</v>
      </c>
      <c r="O147" t="e">
        <f t="shared" si="114"/>
        <v>#REF!</v>
      </c>
      <c r="P147" t="e">
        <f t="shared" si="115"/>
        <v>#REF!</v>
      </c>
      <c r="Q147" t="e">
        <f t="shared" si="116"/>
        <v>#REF!</v>
      </c>
      <c r="T147" t="e">
        <f>Reflection!A147</f>
        <v>#REF!</v>
      </c>
      <c r="U147" t="s">
        <v>13</v>
      </c>
      <c r="V147" t="e">
        <f t="shared" si="117"/>
        <v>#REF!</v>
      </c>
      <c r="W147" t="e">
        <f t="shared" si="118"/>
        <v>#REF!</v>
      </c>
      <c r="X147" t="e">
        <f t="shared" si="119"/>
        <v>#REF!</v>
      </c>
      <c r="Y147" t="e">
        <f t="shared" si="120"/>
        <v>#REF!</v>
      </c>
      <c r="Z147" t="e">
        <f t="shared" si="121"/>
        <v>#REF!</v>
      </c>
      <c r="AA147" t="e">
        <f t="shared" si="122"/>
        <v>#REF!</v>
      </c>
      <c r="AD147" t="e">
        <f>Reflection!A147</f>
        <v>#REF!</v>
      </c>
      <c r="AE147" t="s">
        <v>13</v>
      </c>
      <c r="AF147" t="e">
        <f t="shared" si="123"/>
        <v>#REF!</v>
      </c>
      <c r="AG147" t="e">
        <f t="shared" si="124"/>
        <v>#REF!</v>
      </c>
      <c r="AH147" t="e">
        <f t="shared" si="125"/>
        <v>#REF!</v>
      </c>
      <c r="AI147" t="e">
        <f t="shared" si="126"/>
        <v>#REF!</v>
      </c>
      <c r="AJ147" t="e">
        <f t="shared" si="127"/>
        <v>#REF!</v>
      </c>
      <c r="AK147" t="e">
        <f t="shared" si="128"/>
        <v>#REF!</v>
      </c>
      <c r="AN147" t="e">
        <f>Reflection!A147</f>
        <v>#REF!</v>
      </c>
      <c r="AO147" t="s">
        <v>13</v>
      </c>
      <c r="AP147" t="e">
        <f t="shared" si="129"/>
        <v>#REF!</v>
      </c>
      <c r="AQ147" t="e">
        <f t="shared" si="130"/>
        <v>#REF!</v>
      </c>
      <c r="AR147" t="e">
        <f t="shared" si="131"/>
        <v>#REF!</v>
      </c>
      <c r="AS147" t="e">
        <f t="shared" si="132"/>
        <v>#REF!</v>
      </c>
      <c r="AT147" t="e">
        <f t="shared" si="133"/>
        <v>#REF!</v>
      </c>
      <c r="AU147" t="e">
        <f t="shared" si="134"/>
        <v>#REF!</v>
      </c>
      <c r="AX147" t="e">
        <f>Reflection!A147</f>
        <v>#REF!</v>
      </c>
      <c r="AY147" t="s">
        <v>13</v>
      </c>
      <c r="AZ147" t="e">
        <f t="shared" si="135"/>
        <v>#REF!</v>
      </c>
      <c r="BA147" t="e">
        <f t="shared" si="136"/>
        <v>#REF!</v>
      </c>
      <c r="BB147" t="e">
        <f t="shared" si="137"/>
        <v>#REF!</v>
      </c>
      <c r="BC147" t="e">
        <f t="shared" si="138"/>
        <v>#REF!</v>
      </c>
      <c r="BD147" t="e">
        <f t="shared" si="139"/>
        <v>#REF!</v>
      </c>
      <c r="BE147" t="e">
        <f t="shared" si="140"/>
        <v>#REF!</v>
      </c>
      <c r="BH147" t="e">
        <f>Reflection!A147</f>
        <v>#REF!</v>
      </c>
      <c r="BI147" t="e">
        <f t="shared" si="141"/>
        <v>#REF!</v>
      </c>
      <c r="BJ147" t="e">
        <f t="shared" si="142"/>
        <v>#REF!</v>
      </c>
      <c r="BK147" t="e">
        <f t="shared" si="143"/>
        <v>#REF!</v>
      </c>
      <c r="BL147" t="e">
        <f t="shared" si="144"/>
        <v>#REF!</v>
      </c>
      <c r="BM147" t="e">
        <f t="shared" si="145"/>
        <v>#REF!</v>
      </c>
      <c r="BN147" t="e">
        <f t="shared" si="146"/>
        <v>#REF!</v>
      </c>
      <c r="BR147" t="e">
        <f>Reflection!A147</f>
        <v>#REF!</v>
      </c>
      <c r="BS147" t="s">
        <v>13</v>
      </c>
      <c r="BT147" t="e">
        <f t="shared" si="147"/>
        <v>#REF!</v>
      </c>
      <c r="BU147" t="e">
        <f t="shared" si="107"/>
        <v>#REF!</v>
      </c>
      <c r="BV147" t="e">
        <f t="shared" si="148"/>
        <v>#REF!</v>
      </c>
      <c r="BW147" t="e">
        <f t="shared" si="149"/>
        <v>#REF!</v>
      </c>
      <c r="BX147" t="e">
        <f t="shared" si="150"/>
        <v>#REF!</v>
      </c>
      <c r="BY147" t="e">
        <f t="shared" si="151"/>
        <v>#REF!</v>
      </c>
    </row>
    <row r="148" spans="1:77" x14ac:dyDescent="0.15">
      <c r="A148" t="e">
        <f>Reflection!A148</f>
        <v>#REF!</v>
      </c>
      <c r="B148" t="e">
        <f t="shared" si="104"/>
        <v>#REF!</v>
      </c>
      <c r="C148" t="e">
        <f t="shared" si="105"/>
        <v>#REF!</v>
      </c>
      <c r="D148" t="e">
        <f t="shared" si="108"/>
        <v>#REF!</v>
      </c>
      <c r="E148" t="e">
        <f t="shared" si="109"/>
        <v>#REF!</v>
      </c>
      <c r="F148" t="e">
        <f t="shared" si="110"/>
        <v>#REF!</v>
      </c>
      <c r="G148" t="e">
        <f t="shared" si="106"/>
        <v>#REF!</v>
      </c>
      <c r="J148" t="e">
        <f>Reflection!A148</f>
        <v>#REF!</v>
      </c>
      <c r="K148" t="s">
        <v>13</v>
      </c>
      <c r="L148" t="e">
        <f t="shared" si="111"/>
        <v>#REF!</v>
      </c>
      <c r="M148" t="e">
        <f t="shared" si="112"/>
        <v>#REF!</v>
      </c>
      <c r="N148" t="e">
        <f t="shared" si="113"/>
        <v>#REF!</v>
      </c>
      <c r="O148" t="e">
        <f t="shared" si="114"/>
        <v>#REF!</v>
      </c>
      <c r="P148" t="e">
        <f t="shared" si="115"/>
        <v>#REF!</v>
      </c>
      <c r="Q148" t="e">
        <f t="shared" si="116"/>
        <v>#REF!</v>
      </c>
      <c r="T148" t="e">
        <f>Reflection!A148</f>
        <v>#REF!</v>
      </c>
      <c r="U148" t="s">
        <v>13</v>
      </c>
      <c r="V148" t="e">
        <f t="shared" si="117"/>
        <v>#REF!</v>
      </c>
      <c r="W148" t="e">
        <f t="shared" si="118"/>
        <v>#REF!</v>
      </c>
      <c r="X148" t="e">
        <f t="shared" si="119"/>
        <v>#REF!</v>
      </c>
      <c r="Y148" t="e">
        <f t="shared" si="120"/>
        <v>#REF!</v>
      </c>
      <c r="Z148" t="e">
        <f t="shared" si="121"/>
        <v>#REF!</v>
      </c>
      <c r="AA148" t="e">
        <f t="shared" si="122"/>
        <v>#REF!</v>
      </c>
      <c r="AD148" t="e">
        <f>Reflection!A148</f>
        <v>#REF!</v>
      </c>
      <c r="AE148" t="s">
        <v>13</v>
      </c>
      <c r="AF148" t="e">
        <f t="shared" si="123"/>
        <v>#REF!</v>
      </c>
      <c r="AG148" t="e">
        <f t="shared" si="124"/>
        <v>#REF!</v>
      </c>
      <c r="AH148" t="e">
        <f t="shared" si="125"/>
        <v>#REF!</v>
      </c>
      <c r="AI148" t="e">
        <f t="shared" si="126"/>
        <v>#REF!</v>
      </c>
      <c r="AJ148" t="e">
        <f t="shared" si="127"/>
        <v>#REF!</v>
      </c>
      <c r="AK148" t="e">
        <f t="shared" si="128"/>
        <v>#REF!</v>
      </c>
      <c r="AN148" t="e">
        <f>Reflection!A148</f>
        <v>#REF!</v>
      </c>
      <c r="AO148" t="s">
        <v>13</v>
      </c>
      <c r="AP148" t="e">
        <f t="shared" si="129"/>
        <v>#REF!</v>
      </c>
      <c r="AQ148" t="e">
        <f t="shared" si="130"/>
        <v>#REF!</v>
      </c>
      <c r="AR148" t="e">
        <f t="shared" si="131"/>
        <v>#REF!</v>
      </c>
      <c r="AS148" t="e">
        <f t="shared" si="132"/>
        <v>#REF!</v>
      </c>
      <c r="AT148" t="e">
        <f t="shared" si="133"/>
        <v>#REF!</v>
      </c>
      <c r="AU148" t="e">
        <f t="shared" si="134"/>
        <v>#REF!</v>
      </c>
      <c r="AX148" t="e">
        <f>Reflection!A148</f>
        <v>#REF!</v>
      </c>
      <c r="AY148" t="s">
        <v>13</v>
      </c>
      <c r="AZ148" t="e">
        <f t="shared" si="135"/>
        <v>#REF!</v>
      </c>
      <c r="BA148" t="e">
        <f t="shared" si="136"/>
        <v>#REF!</v>
      </c>
      <c r="BB148" t="e">
        <f t="shared" si="137"/>
        <v>#REF!</v>
      </c>
      <c r="BC148" t="e">
        <f t="shared" si="138"/>
        <v>#REF!</v>
      </c>
      <c r="BD148" t="e">
        <f t="shared" si="139"/>
        <v>#REF!</v>
      </c>
      <c r="BE148" t="e">
        <f t="shared" si="140"/>
        <v>#REF!</v>
      </c>
      <c r="BH148" t="e">
        <f>Reflection!A148</f>
        <v>#REF!</v>
      </c>
      <c r="BI148" t="e">
        <f t="shared" si="141"/>
        <v>#REF!</v>
      </c>
      <c r="BJ148" t="e">
        <f t="shared" si="142"/>
        <v>#REF!</v>
      </c>
      <c r="BK148" t="e">
        <f t="shared" si="143"/>
        <v>#REF!</v>
      </c>
      <c r="BL148" t="e">
        <f t="shared" si="144"/>
        <v>#REF!</v>
      </c>
      <c r="BM148" t="e">
        <f t="shared" si="145"/>
        <v>#REF!</v>
      </c>
      <c r="BN148" t="e">
        <f t="shared" si="146"/>
        <v>#REF!</v>
      </c>
      <c r="BR148" t="e">
        <f>Reflection!A148</f>
        <v>#REF!</v>
      </c>
      <c r="BS148" t="s">
        <v>13</v>
      </c>
      <c r="BT148" t="e">
        <f t="shared" si="147"/>
        <v>#REF!</v>
      </c>
      <c r="BU148" t="e">
        <f t="shared" si="107"/>
        <v>#REF!</v>
      </c>
      <c r="BV148" t="e">
        <f t="shared" si="148"/>
        <v>#REF!</v>
      </c>
      <c r="BW148" t="e">
        <f t="shared" si="149"/>
        <v>#REF!</v>
      </c>
      <c r="BX148" t="e">
        <f t="shared" si="150"/>
        <v>#REF!</v>
      </c>
      <c r="BY148" t="e">
        <f t="shared" si="151"/>
        <v>#REF!</v>
      </c>
    </row>
    <row r="149" spans="1:77" x14ac:dyDescent="0.15">
      <c r="A149" t="e">
        <f>Reflection!A149</f>
        <v>#REF!</v>
      </c>
      <c r="B149" t="e">
        <f t="shared" si="104"/>
        <v>#REF!</v>
      </c>
      <c r="C149" t="e">
        <f t="shared" si="105"/>
        <v>#REF!</v>
      </c>
      <c r="D149" t="e">
        <f t="shared" si="108"/>
        <v>#REF!</v>
      </c>
      <c r="E149" t="e">
        <f t="shared" si="109"/>
        <v>#REF!</v>
      </c>
      <c r="F149" t="e">
        <f t="shared" si="110"/>
        <v>#REF!</v>
      </c>
      <c r="G149" t="e">
        <f t="shared" si="106"/>
        <v>#REF!</v>
      </c>
      <c r="J149" t="e">
        <f>Reflection!A149</f>
        <v>#REF!</v>
      </c>
      <c r="K149" t="s">
        <v>13</v>
      </c>
      <c r="L149" t="e">
        <f t="shared" si="111"/>
        <v>#REF!</v>
      </c>
      <c r="M149" t="e">
        <f t="shared" si="112"/>
        <v>#REF!</v>
      </c>
      <c r="N149" t="e">
        <f t="shared" si="113"/>
        <v>#REF!</v>
      </c>
      <c r="O149" t="e">
        <f t="shared" si="114"/>
        <v>#REF!</v>
      </c>
      <c r="P149" t="e">
        <f t="shared" si="115"/>
        <v>#REF!</v>
      </c>
      <c r="Q149" t="e">
        <f t="shared" si="116"/>
        <v>#REF!</v>
      </c>
      <c r="T149" t="e">
        <f>Reflection!A149</f>
        <v>#REF!</v>
      </c>
      <c r="U149" t="s">
        <v>13</v>
      </c>
      <c r="V149" t="e">
        <f t="shared" si="117"/>
        <v>#REF!</v>
      </c>
      <c r="W149" t="e">
        <f t="shared" si="118"/>
        <v>#REF!</v>
      </c>
      <c r="X149" t="e">
        <f t="shared" si="119"/>
        <v>#REF!</v>
      </c>
      <c r="Y149" t="e">
        <f t="shared" si="120"/>
        <v>#REF!</v>
      </c>
      <c r="Z149" t="e">
        <f t="shared" si="121"/>
        <v>#REF!</v>
      </c>
      <c r="AA149" t="e">
        <f t="shared" si="122"/>
        <v>#REF!</v>
      </c>
      <c r="AD149" t="e">
        <f>Reflection!A149</f>
        <v>#REF!</v>
      </c>
      <c r="AE149" t="s">
        <v>13</v>
      </c>
      <c r="AF149" t="e">
        <f t="shared" si="123"/>
        <v>#REF!</v>
      </c>
      <c r="AG149" t="e">
        <f t="shared" si="124"/>
        <v>#REF!</v>
      </c>
      <c r="AH149" t="e">
        <f t="shared" si="125"/>
        <v>#REF!</v>
      </c>
      <c r="AI149" t="e">
        <f t="shared" si="126"/>
        <v>#REF!</v>
      </c>
      <c r="AJ149" t="e">
        <f t="shared" si="127"/>
        <v>#REF!</v>
      </c>
      <c r="AK149" t="e">
        <f t="shared" si="128"/>
        <v>#REF!</v>
      </c>
      <c r="AN149" t="e">
        <f>Reflection!A149</f>
        <v>#REF!</v>
      </c>
      <c r="AO149" t="s">
        <v>13</v>
      </c>
      <c r="AP149" t="e">
        <f t="shared" si="129"/>
        <v>#REF!</v>
      </c>
      <c r="AQ149" t="e">
        <f t="shared" si="130"/>
        <v>#REF!</v>
      </c>
      <c r="AR149" t="e">
        <f t="shared" si="131"/>
        <v>#REF!</v>
      </c>
      <c r="AS149" t="e">
        <f t="shared" si="132"/>
        <v>#REF!</v>
      </c>
      <c r="AT149" t="e">
        <f t="shared" si="133"/>
        <v>#REF!</v>
      </c>
      <c r="AU149" t="e">
        <f t="shared" si="134"/>
        <v>#REF!</v>
      </c>
      <c r="AX149" t="e">
        <f>Reflection!A149</f>
        <v>#REF!</v>
      </c>
      <c r="AY149" t="s">
        <v>13</v>
      </c>
      <c r="AZ149" t="e">
        <f t="shared" si="135"/>
        <v>#REF!</v>
      </c>
      <c r="BA149" t="e">
        <f t="shared" si="136"/>
        <v>#REF!</v>
      </c>
      <c r="BB149" t="e">
        <f t="shared" si="137"/>
        <v>#REF!</v>
      </c>
      <c r="BC149" t="e">
        <f t="shared" si="138"/>
        <v>#REF!</v>
      </c>
      <c r="BD149" t="e">
        <f t="shared" si="139"/>
        <v>#REF!</v>
      </c>
      <c r="BE149" t="e">
        <f t="shared" si="140"/>
        <v>#REF!</v>
      </c>
      <c r="BH149" t="e">
        <f>Reflection!A149</f>
        <v>#REF!</v>
      </c>
      <c r="BI149" t="e">
        <f t="shared" si="141"/>
        <v>#REF!</v>
      </c>
      <c r="BJ149" t="e">
        <f t="shared" si="142"/>
        <v>#REF!</v>
      </c>
      <c r="BK149" t="e">
        <f t="shared" si="143"/>
        <v>#REF!</v>
      </c>
      <c r="BL149" t="e">
        <f t="shared" si="144"/>
        <v>#REF!</v>
      </c>
      <c r="BM149" t="e">
        <f t="shared" si="145"/>
        <v>#REF!</v>
      </c>
      <c r="BN149" t="e">
        <f t="shared" si="146"/>
        <v>#REF!</v>
      </c>
      <c r="BR149" t="e">
        <f>Reflection!A149</f>
        <v>#REF!</v>
      </c>
      <c r="BS149" t="s">
        <v>13</v>
      </c>
      <c r="BT149" t="e">
        <f t="shared" si="147"/>
        <v>#REF!</v>
      </c>
      <c r="BU149" t="e">
        <f t="shared" si="107"/>
        <v>#REF!</v>
      </c>
      <c r="BV149" t="e">
        <f t="shared" si="148"/>
        <v>#REF!</v>
      </c>
      <c r="BW149" t="e">
        <f t="shared" si="149"/>
        <v>#REF!</v>
      </c>
      <c r="BX149" t="e">
        <f t="shared" si="150"/>
        <v>#REF!</v>
      </c>
      <c r="BY149" t="e">
        <f t="shared" si="151"/>
        <v>#REF!</v>
      </c>
    </row>
    <row r="150" spans="1:77" x14ac:dyDescent="0.15">
      <c r="A150" t="e">
        <f>Reflection!A150</f>
        <v>#REF!</v>
      </c>
      <c r="B150" t="e">
        <f t="shared" si="104"/>
        <v>#REF!</v>
      </c>
      <c r="C150" t="e">
        <f t="shared" si="105"/>
        <v>#REF!</v>
      </c>
      <c r="D150" t="e">
        <f t="shared" si="108"/>
        <v>#REF!</v>
      </c>
      <c r="E150" t="e">
        <f t="shared" si="109"/>
        <v>#REF!</v>
      </c>
      <c r="F150" t="e">
        <f t="shared" si="110"/>
        <v>#REF!</v>
      </c>
      <c r="G150" t="e">
        <f t="shared" si="106"/>
        <v>#REF!</v>
      </c>
      <c r="J150" t="e">
        <f>Reflection!A150</f>
        <v>#REF!</v>
      </c>
      <c r="K150" t="s">
        <v>13</v>
      </c>
      <c r="L150" t="e">
        <f t="shared" si="111"/>
        <v>#REF!</v>
      </c>
      <c r="M150" t="e">
        <f t="shared" si="112"/>
        <v>#REF!</v>
      </c>
      <c r="N150" t="e">
        <f t="shared" si="113"/>
        <v>#REF!</v>
      </c>
      <c r="O150" t="e">
        <f t="shared" si="114"/>
        <v>#REF!</v>
      </c>
      <c r="P150" t="e">
        <f t="shared" si="115"/>
        <v>#REF!</v>
      </c>
      <c r="Q150" t="e">
        <f t="shared" si="116"/>
        <v>#REF!</v>
      </c>
      <c r="T150" t="e">
        <f>Reflection!A150</f>
        <v>#REF!</v>
      </c>
      <c r="U150" t="s">
        <v>13</v>
      </c>
      <c r="V150" t="e">
        <f t="shared" si="117"/>
        <v>#REF!</v>
      </c>
      <c r="W150" t="e">
        <f t="shared" si="118"/>
        <v>#REF!</v>
      </c>
      <c r="X150" t="e">
        <f t="shared" si="119"/>
        <v>#REF!</v>
      </c>
      <c r="Y150" t="e">
        <f t="shared" si="120"/>
        <v>#REF!</v>
      </c>
      <c r="Z150" t="e">
        <f t="shared" si="121"/>
        <v>#REF!</v>
      </c>
      <c r="AA150" t="e">
        <f t="shared" si="122"/>
        <v>#REF!</v>
      </c>
      <c r="AD150" t="e">
        <f>Reflection!A150</f>
        <v>#REF!</v>
      </c>
      <c r="AE150" t="s">
        <v>13</v>
      </c>
      <c r="AF150" t="e">
        <f t="shared" si="123"/>
        <v>#REF!</v>
      </c>
      <c r="AG150" t="e">
        <f t="shared" si="124"/>
        <v>#REF!</v>
      </c>
      <c r="AH150" t="e">
        <f t="shared" si="125"/>
        <v>#REF!</v>
      </c>
      <c r="AI150" t="e">
        <f t="shared" si="126"/>
        <v>#REF!</v>
      </c>
      <c r="AJ150" t="e">
        <f t="shared" si="127"/>
        <v>#REF!</v>
      </c>
      <c r="AK150" t="e">
        <f t="shared" si="128"/>
        <v>#REF!</v>
      </c>
      <c r="AN150" t="e">
        <f>Reflection!A150</f>
        <v>#REF!</v>
      </c>
      <c r="AO150" t="s">
        <v>13</v>
      </c>
      <c r="AP150" t="e">
        <f t="shared" si="129"/>
        <v>#REF!</v>
      </c>
      <c r="AQ150" t="e">
        <f t="shared" si="130"/>
        <v>#REF!</v>
      </c>
      <c r="AR150" t="e">
        <f t="shared" si="131"/>
        <v>#REF!</v>
      </c>
      <c r="AS150" t="e">
        <f t="shared" si="132"/>
        <v>#REF!</v>
      </c>
      <c r="AT150" t="e">
        <f t="shared" si="133"/>
        <v>#REF!</v>
      </c>
      <c r="AU150" t="e">
        <f t="shared" si="134"/>
        <v>#REF!</v>
      </c>
      <c r="AX150" t="e">
        <f>Reflection!A150</f>
        <v>#REF!</v>
      </c>
      <c r="AY150" t="s">
        <v>13</v>
      </c>
      <c r="AZ150" t="e">
        <f t="shared" si="135"/>
        <v>#REF!</v>
      </c>
      <c r="BA150" t="e">
        <f t="shared" si="136"/>
        <v>#REF!</v>
      </c>
      <c r="BB150" t="e">
        <f t="shared" si="137"/>
        <v>#REF!</v>
      </c>
      <c r="BC150" t="e">
        <f t="shared" si="138"/>
        <v>#REF!</v>
      </c>
      <c r="BD150" t="e">
        <f t="shared" si="139"/>
        <v>#REF!</v>
      </c>
      <c r="BE150" t="e">
        <f t="shared" si="140"/>
        <v>#REF!</v>
      </c>
      <c r="BH150" t="e">
        <f>Reflection!A150</f>
        <v>#REF!</v>
      </c>
      <c r="BI150" t="e">
        <f t="shared" si="141"/>
        <v>#REF!</v>
      </c>
      <c r="BJ150" t="e">
        <f t="shared" si="142"/>
        <v>#REF!</v>
      </c>
      <c r="BK150" t="e">
        <f t="shared" si="143"/>
        <v>#REF!</v>
      </c>
      <c r="BL150" t="e">
        <f t="shared" si="144"/>
        <v>#REF!</v>
      </c>
      <c r="BM150" t="e">
        <f t="shared" si="145"/>
        <v>#REF!</v>
      </c>
      <c r="BN150" t="e">
        <f t="shared" si="146"/>
        <v>#REF!</v>
      </c>
      <c r="BR150" t="e">
        <f>Reflection!A150</f>
        <v>#REF!</v>
      </c>
      <c r="BS150" t="s">
        <v>13</v>
      </c>
      <c r="BT150" t="e">
        <f t="shared" si="147"/>
        <v>#REF!</v>
      </c>
      <c r="BU150" t="e">
        <f t="shared" si="107"/>
        <v>#REF!</v>
      </c>
      <c r="BV150" t="e">
        <f t="shared" si="148"/>
        <v>#REF!</v>
      </c>
      <c r="BW150" t="e">
        <f t="shared" si="149"/>
        <v>#REF!</v>
      </c>
      <c r="BX150" t="e">
        <f t="shared" si="150"/>
        <v>#REF!</v>
      </c>
      <c r="BY150" t="e">
        <f t="shared" si="151"/>
        <v>#REF!</v>
      </c>
    </row>
    <row r="151" spans="1:77" x14ac:dyDescent="0.15">
      <c r="A151" t="e">
        <f>Reflection!A151</f>
        <v>#REF!</v>
      </c>
      <c r="B151" t="e">
        <f t="shared" si="104"/>
        <v>#REF!</v>
      </c>
      <c r="C151" t="e">
        <f t="shared" si="105"/>
        <v>#REF!</v>
      </c>
      <c r="D151" t="e">
        <f t="shared" si="108"/>
        <v>#REF!</v>
      </c>
      <c r="E151" t="e">
        <f t="shared" si="109"/>
        <v>#REF!</v>
      </c>
      <c r="F151" t="e">
        <f t="shared" si="110"/>
        <v>#REF!</v>
      </c>
      <c r="G151" t="e">
        <f t="shared" si="106"/>
        <v>#REF!</v>
      </c>
      <c r="J151" t="e">
        <f>Reflection!A151</f>
        <v>#REF!</v>
      </c>
      <c r="K151" t="s">
        <v>13</v>
      </c>
      <c r="L151" t="e">
        <f t="shared" si="111"/>
        <v>#REF!</v>
      </c>
      <c r="M151" t="e">
        <f t="shared" si="112"/>
        <v>#REF!</v>
      </c>
      <c r="N151" t="e">
        <f t="shared" si="113"/>
        <v>#REF!</v>
      </c>
      <c r="O151" t="e">
        <f t="shared" si="114"/>
        <v>#REF!</v>
      </c>
      <c r="P151" t="e">
        <f t="shared" si="115"/>
        <v>#REF!</v>
      </c>
      <c r="Q151" t="e">
        <f t="shared" si="116"/>
        <v>#REF!</v>
      </c>
      <c r="T151" t="e">
        <f>Reflection!A151</f>
        <v>#REF!</v>
      </c>
      <c r="U151" t="s">
        <v>13</v>
      </c>
      <c r="V151" t="e">
        <f t="shared" si="117"/>
        <v>#REF!</v>
      </c>
      <c r="W151" t="e">
        <f t="shared" si="118"/>
        <v>#REF!</v>
      </c>
      <c r="X151" t="e">
        <f t="shared" si="119"/>
        <v>#REF!</v>
      </c>
      <c r="Y151" t="e">
        <f t="shared" si="120"/>
        <v>#REF!</v>
      </c>
      <c r="Z151" t="e">
        <f t="shared" si="121"/>
        <v>#REF!</v>
      </c>
      <c r="AA151" t="e">
        <f t="shared" si="122"/>
        <v>#REF!</v>
      </c>
      <c r="AD151" t="e">
        <f>Reflection!A151</f>
        <v>#REF!</v>
      </c>
      <c r="AE151" t="s">
        <v>13</v>
      </c>
      <c r="AF151" t="e">
        <f t="shared" si="123"/>
        <v>#REF!</v>
      </c>
      <c r="AG151" t="e">
        <f t="shared" si="124"/>
        <v>#REF!</v>
      </c>
      <c r="AH151" t="e">
        <f t="shared" si="125"/>
        <v>#REF!</v>
      </c>
      <c r="AI151" t="e">
        <f t="shared" si="126"/>
        <v>#REF!</v>
      </c>
      <c r="AJ151" t="e">
        <f t="shared" si="127"/>
        <v>#REF!</v>
      </c>
      <c r="AK151" t="e">
        <f t="shared" si="128"/>
        <v>#REF!</v>
      </c>
      <c r="AN151" t="e">
        <f>Reflection!A151</f>
        <v>#REF!</v>
      </c>
      <c r="AO151" t="s">
        <v>13</v>
      </c>
      <c r="AP151" t="e">
        <f t="shared" si="129"/>
        <v>#REF!</v>
      </c>
      <c r="AQ151" t="e">
        <f t="shared" si="130"/>
        <v>#REF!</v>
      </c>
      <c r="AR151" t="e">
        <f t="shared" si="131"/>
        <v>#REF!</v>
      </c>
      <c r="AS151" t="e">
        <f t="shared" si="132"/>
        <v>#REF!</v>
      </c>
      <c r="AT151" t="e">
        <f t="shared" si="133"/>
        <v>#REF!</v>
      </c>
      <c r="AU151" t="e">
        <f t="shared" si="134"/>
        <v>#REF!</v>
      </c>
      <c r="AX151" t="e">
        <f>Reflection!A151</f>
        <v>#REF!</v>
      </c>
      <c r="AY151" t="s">
        <v>13</v>
      </c>
      <c r="AZ151" t="e">
        <f t="shared" si="135"/>
        <v>#REF!</v>
      </c>
      <c r="BA151" t="e">
        <f t="shared" si="136"/>
        <v>#REF!</v>
      </c>
      <c r="BB151" t="e">
        <f t="shared" si="137"/>
        <v>#REF!</v>
      </c>
      <c r="BC151" t="e">
        <f t="shared" si="138"/>
        <v>#REF!</v>
      </c>
      <c r="BD151" t="e">
        <f t="shared" si="139"/>
        <v>#REF!</v>
      </c>
      <c r="BE151" t="e">
        <f t="shared" si="140"/>
        <v>#REF!</v>
      </c>
      <c r="BH151" t="e">
        <f>Reflection!A151</f>
        <v>#REF!</v>
      </c>
      <c r="BI151" t="e">
        <f t="shared" si="141"/>
        <v>#REF!</v>
      </c>
      <c r="BJ151" t="e">
        <f t="shared" si="142"/>
        <v>#REF!</v>
      </c>
      <c r="BK151" t="e">
        <f t="shared" si="143"/>
        <v>#REF!</v>
      </c>
      <c r="BL151" t="e">
        <f t="shared" si="144"/>
        <v>#REF!</v>
      </c>
      <c r="BM151" t="e">
        <f t="shared" si="145"/>
        <v>#REF!</v>
      </c>
      <c r="BN151" t="e">
        <f t="shared" si="146"/>
        <v>#REF!</v>
      </c>
      <c r="BR151" t="e">
        <f>Reflection!A151</f>
        <v>#REF!</v>
      </c>
      <c r="BS151" t="s">
        <v>13</v>
      </c>
      <c r="BT151" t="e">
        <f t="shared" si="147"/>
        <v>#REF!</v>
      </c>
      <c r="BU151" t="e">
        <f t="shared" si="107"/>
        <v>#REF!</v>
      </c>
      <c r="BV151" t="e">
        <f t="shared" si="148"/>
        <v>#REF!</v>
      </c>
      <c r="BW151" t="e">
        <f t="shared" si="149"/>
        <v>#REF!</v>
      </c>
      <c r="BX151" t="e">
        <f t="shared" si="150"/>
        <v>#REF!</v>
      </c>
      <c r="BY151" t="e">
        <f t="shared" si="151"/>
        <v>#REF!</v>
      </c>
    </row>
    <row r="152" spans="1:77" x14ac:dyDescent="0.15">
      <c r="A152" t="e">
        <f>Reflection!A152</f>
        <v>#REF!</v>
      </c>
      <c r="B152" t="e">
        <f t="shared" si="104"/>
        <v>#REF!</v>
      </c>
      <c r="C152" t="e">
        <f t="shared" si="105"/>
        <v>#REF!</v>
      </c>
      <c r="D152" t="e">
        <f t="shared" si="108"/>
        <v>#REF!</v>
      </c>
      <c r="E152" t="e">
        <f t="shared" si="109"/>
        <v>#REF!</v>
      </c>
      <c r="F152" t="e">
        <f t="shared" si="110"/>
        <v>#REF!</v>
      </c>
      <c r="G152" t="e">
        <f t="shared" si="106"/>
        <v>#REF!</v>
      </c>
      <c r="J152" t="e">
        <f>Reflection!A152</f>
        <v>#REF!</v>
      </c>
      <c r="K152" t="s">
        <v>13</v>
      </c>
      <c r="L152" t="e">
        <f t="shared" si="111"/>
        <v>#REF!</v>
      </c>
      <c r="M152" t="e">
        <f t="shared" si="112"/>
        <v>#REF!</v>
      </c>
      <c r="N152" t="e">
        <f t="shared" si="113"/>
        <v>#REF!</v>
      </c>
      <c r="O152" t="e">
        <f t="shared" si="114"/>
        <v>#REF!</v>
      </c>
      <c r="P152" t="e">
        <f t="shared" si="115"/>
        <v>#REF!</v>
      </c>
      <c r="Q152" t="e">
        <f t="shared" si="116"/>
        <v>#REF!</v>
      </c>
      <c r="T152" t="e">
        <f>Reflection!A152</f>
        <v>#REF!</v>
      </c>
      <c r="U152" t="s">
        <v>13</v>
      </c>
      <c r="V152" t="e">
        <f t="shared" si="117"/>
        <v>#REF!</v>
      </c>
      <c r="W152" t="e">
        <f t="shared" si="118"/>
        <v>#REF!</v>
      </c>
      <c r="X152" t="e">
        <f t="shared" si="119"/>
        <v>#REF!</v>
      </c>
      <c r="Y152" t="e">
        <f t="shared" si="120"/>
        <v>#REF!</v>
      </c>
      <c r="Z152" t="e">
        <f t="shared" si="121"/>
        <v>#REF!</v>
      </c>
      <c r="AA152" t="e">
        <f t="shared" si="122"/>
        <v>#REF!</v>
      </c>
      <c r="AD152" t="e">
        <f>Reflection!A152</f>
        <v>#REF!</v>
      </c>
      <c r="AE152" t="s">
        <v>13</v>
      </c>
      <c r="AF152" t="e">
        <f t="shared" si="123"/>
        <v>#REF!</v>
      </c>
      <c r="AG152" t="e">
        <f t="shared" si="124"/>
        <v>#REF!</v>
      </c>
      <c r="AH152" t="e">
        <f t="shared" si="125"/>
        <v>#REF!</v>
      </c>
      <c r="AI152" t="e">
        <f t="shared" si="126"/>
        <v>#REF!</v>
      </c>
      <c r="AJ152" t="e">
        <f t="shared" si="127"/>
        <v>#REF!</v>
      </c>
      <c r="AK152" t="e">
        <f t="shared" si="128"/>
        <v>#REF!</v>
      </c>
      <c r="AN152" t="e">
        <f>Reflection!A152</f>
        <v>#REF!</v>
      </c>
      <c r="AO152" t="s">
        <v>13</v>
      </c>
      <c r="AP152" t="e">
        <f t="shared" si="129"/>
        <v>#REF!</v>
      </c>
      <c r="AQ152" t="e">
        <f t="shared" si="130"/>
        <v>#REF!</v>
      </c>
      <c r="AR152" t="e">
        <f t="shared" si="131"/>
        <v>#REF!</v>
      </c>
      <c r="AS152" t="e">
        <f t="shared" si="132"/>
        <v>#REF!</v>
      </c>
      <c r="AT152" t="e">
        <f t="shared" si="133"/>
        <v>#REF!</v>
      </c>
      <c r="AU152" t="e">
        <f t="shared" si="134"/>
        <v>#REF!</v>
      </c>
      <c r="AX152" t="e">
        <f>Reflection!A152</f>
        <v>#REF!</v>
      </c>
      <c r="AY152" t="s">
        <v>13</v>
      </c>
      <c r="AZ152" t="e">
        <f t="shared" si="135"/>
        <v>#REF!</v>
      </c>
      <c r="BA152" t="e">
        <f t="shared" si="136"/>
        <v>#REF!</v>
      </c>
      <c r="BB152" t="e">
        <f t="shared" si="137"/>
        <v>#REF!</v>
      </c>
      <c r="BC152" t="e">
        <f t="shared" si="138"/>
        <v>#REF!</v>
      </c>
      <c r="BD152" t="e">
        <f t="shared" si="139"/>
        <v>#REF!</v>
      </c>
      <c r="BE152" t="e">
        <f t="shared" si="140"/>
        <v>#REF!</v>
      </c>
      <c r="BH152" t="e">
        <f>Reflection!A152</f>
        <v>#REF!</v>
      </c>
      <c r="BI152" t="e">
        <f t="shared" si="141"/>
        <v>#REF!</v>
      </c>
      <c r="BJ152" t="e">
        <f t="shared" si="142"/>
        <v>#REF!</v>
      </c>
      <c r="BK152" t="e">
        <f t="shared" si="143"/>
        <v>#REF!</v>
      </c>
      <c r="BL152" t="e">
        <f t="shared" si="144"/>
        <v>#REF!</v>
      </c>
      <c r="BM152" t="e">
        <f t="shared" si="145"/>
        <v>#REF!</v>
      </c>
      <c r="BN152" t="e">
        <f t="shared" si="146"/>
        <v>#REF!</v>
      </c>
      <c r="BR152" t="e">
        <f>Reflection!A152</f>
        <v>#REF!</v>
      </c>
      <c r="BS152" t="s">
        <v>13</v>
      </c>
      <c r="BT152" t="e">
        <f t="shared" si="147"/>
        <v>#REF!</v>
      </c>
      <c r="BU152" t="e">
        <f t="shared" si="107"/>
        <v>#REF!</v>
      </c>
      <c r="BV152" t="e">
        <f t="shared" si="148"/>
        <v>#REF!</v>
      </c>
      <c r="BW152" t="e">
        <f t="shared" si="149"/>
        <v>#REF!</v>
      </c>
      <c r="BX152" t="e">
        <f t="shared" si="150"/>
        <v>#REF!</v>
      </c>
      <c r="BY152" t="e">
        <f t="shared" si="151"/>
        <v>#REF!</v>
      </c>
    </row>
    <row r="153" spans="1:77" x14ac:dyDescent="0.15">
      <c r="A153" t="e">
        <f>Reflection!A153</f>
        <v>#REF!</v>
      </c>
      <c r="B153" t="e">
        <f t="shared" si="104"/>
        <v>#REF!</v>
      </c>
      <c r="C153" t="e">
        <f t="shared" si="105"/>
        <v>#REF!</v>
      </c>
      <c r="D153" t="e">
        <f t="shared" si="108"/>
        <v>#REF!</v>
      </c>
      <c r="E153" t="e">
        <f t="shared" si="109"/>
        <v>#REF!</v>
      </c>
      <c r="F153" t="e">
        <f t="shared" si="110"/>
        <v>#REF!</v>
      </c>
      <c r="G153" t="e">
        <f t="shared" si="106"/>
        <v>#REF!</v>
      </c>
      <c r="J153" t="e">
        <f>Reflection!A153</f>
        <v>#REF!</v>
      </c>
      <c r="K153" t="s">
        <v>13</v>
      </c>
      <c r="L153" t="e">
        <f t="shared" si="111"/>
        <v>#REF!</v>
      </c>
      <c r="M153" t="e">
        <f t="shared" si="112"/>
        <v>#REF!</v>
      </c>
      <c r="N153" t="e">
        <f t="shared" si="113"/>
        <v>#REF!</v>
      </c>
      <c r="O153" t="e">
        <f t="shared" si="114"/>
        <v>#REF!</v>
      </c>
      <c r="P153" t="e">
        <f t="shared" si="115"/>
        <v>#REF!</v>
      </c>
      <c r="Q153" t="e">
        <f t="shared" si="116"/>
        <v>#REF!</v>
      </c>
      <c r="T153" t="e">
        <f>Reflection!A153</f>
        <v>#REF!</v>
      </c>
      <c r="U153" t="s">
        <v>13</v>
      </c>
      <c r="V153" t="e">
        <f t="shared" si="117"/>
        <v>#REF!</v>
      </c>
      <c r="W153" t="e">
        <f t="shared" si="118"/>
        <v>#REF!</v>
      </c>
      <c r="X153" t="e">
        <f t="shared" si="119"/>
        <v>#REF!</v>
      </c>
      <c r="Y153" t="e">
        <f t="shared" si="120"/>
        <v>#REF!</v>
      </c>
      <c r="Z153" t="e">
        <f t="shared" si="121"/>
        <v>#REF!</v>
      </c>
      <c r="AA153" t="e">
        <f t="shared" si="122"/>
        <v>#REF!</v>
      </c>
      <c r="AD153" t="e">
        <f>Reflection!A153</f>
        <v>#REF!</v>
      </c>
      <c r="AE153" t="s">
        <v>13</v>
      </c>
      <c r="AF153" t="e">
        <f t="shared" si="123"/>
        <v>#REF!</v>
      </c>
      <c r="AG153" t="e">
        <f t="shared" si="124"/>
        <v>#REF!</v>
      </c>
      <c r="AH153" t="e">
        <f t="shared" si="125"/>
        <v>#REF!</v>
      </c>
      <c r="AI153" t="e">
        <f t="shared" si="126"/>
        <v>#REF!</v>
      </c>
      <c r="AJ153" t="e">
        <f t="shared" si="127"/>
        <v>#REF!</v>
      </c>
      <c r="AK153" t="e">
        <f t="shared" si="128"/>
        <v>#REF!</v>
      </c>
      <c r="AN153" t="e">
        <f>Reflection!A153</f>
        <v>#REF!</v>
      </c>
      <c r="AO153" t="s">
        <v>13</v>
      </c>
      <c r="AP153" t="e">
        <f t="shared" si="129"/>
        <v>#REF!</v>
      </c>
      <c r="AQ153" t="e">
        <f t="shared" si="130"/>
        <v>#REF!</v>
      </c>
      <c r="AR153" t="e">
        <f t="shared" si="131"/>
        <v>#REF!</v>
      </c>
      <c r="AS153" t="e">
        <f t="shared" si="132"/>
        <v>#REF!</v>
      </c>
      <c r="AT153" t="e">
        <f t="shared" si="133"/>
        <v>#REF!</v>
      </c>
      <c r="AU153" t="e">
        <f t="shared" si="134"/>
        <v>#REF!</v>
      </c>
      <c r="AX153" t="e">
        <f>Reflection!A153</f>
        <v>#REF!</v>
      </c>
      <c r="AY153" t="s">
        <v>13</v>
      </c>
      <c r="AZ153" t="e">
        <f t="shared" si="135"/>
        <v>#REF!</v>
      </c>
      <c r="BA153" t="e">
        <f t="shared" si="136"/>
        <v>#REF!</v>
      </c>
      <c r="BB153" t="e">
        <f t="shared" si="137"/>
        <v>#REF!</v>
      </c>
      <c r="BC153" t="e">
        <f t="shared" si="138"/>
        <v>#REF!</v>
      </c>
      <c r="BD153" t="e">
        <f t="shared" si="139"/>
        <v>#REF!</v>
      </c>
      <c r="BE153" t="e">
        <f t="shared" si="140"/>
        <v>#REF!</v>
      </c>
      <c r="BH153" t="e">
        <f>Reflection!A153</f>
        <v>#REF!</v>
      </c>
      <c r="BI153" t="e">
        <f t="shared" si="141"/>
        <v>#REF!</v>
      </c>
      <c r="BJ153" t="e">
        <f t="shared" si="142"/>
        <v>#REF!</v>
      </c>
      <c r="BK153" t="e">
        <f t="shared" si="143"/>
        <v>#REF!</v>
      </c>
      <c r="BL153" t="e">
        <f t="shared" si="144"/>
        <v>#REF!</v>
      </c>
      <c r="BM153" t="e">
        <f t="shared" si="145"/>
        <v>#REF!</v>
      </c>
      <c r="BN153" t="e">
        <f t="shared" si="146"/>
        <v>#REF!</v>
      </c>
      <c r="BR153" t="e">
        <f>Reflection!A153</f>
        <v>#REF!</v>
      </c>
      <c r="BS153" t="s">
        <v>13</v>
      </c>
      <c r="BT153" t="e">
        <f t="shared" si="147"/>
        <v>#REF!</v>
      </c>
      <c r="BU153" t="e">
        <f t="shared" si="107"/>
        <v>#REF!</v>
      </c>
      <c r="BV153" t="e">
        <f t="shared" si="148"/>
        <v>#REF!</v>
      </c>
      <c r="BW153" t="e">
        <f t="shared" si="149"/>
        <v>#REF!</v>
      </c>
      <c r="BX153" t="e">
        <f t="shared" si="150"/>
        <v>#REF!</v>
      </c>
      <c r="BY153" t="e">
        <f t="shared" si="151"/>
        <v>#REF!</v>
      </c>
    </row>
    <row r="154" spans="1:77" x14ac:dyDescent="0.15">
      <c r="A154" t="e">
        <f>Reflection!A154</f>
        <v>#REF!</v>
      </c>
      <c r="B154" t="e">
        <f t="shared" si="104"/>
        <v>#REF!</v>
      </c>
      <c r="C154" t="e">
        <f t="shared" si="105"/>
        <v>#REF!</v>
      </c>
      <c r="D154" t="e">
        <f t="shared" si="108"/>
        <v>#REF!</v>
      </c>
      <c r="E154" t="e">
        <f t="shared" si="109"/>
        <v>#REF!</v>
      </c>
      <c r="F154" t="e">
        <f t="shared" si="110"/>
        <v>#REF!</v>
      </c>
      <c r="G154" t="e">
        <f t="shared" si="106"/>
        <v>#REF!</v>
      </c>
      <c r="J154" t="e">
        <f>Reflection!A154</f>
        <v>#REF!</v>
      </c>
      <c r="K154" t="s">
        <v>13</v>
      </c>
      <c r="L154" t="e">
        <f t="shared" si="111"/>
        <v>#REF!</v>
      </c>
      <c r="M154" t="e">
        <f t="shared" si="112"/>
        <v>#REF!</v>
      </c>
      <c r="N154" t="e">
        <f t="shared" si="113"/>
        <v>#REF!</v>
      </c>
      <c r="O154" t="e">
        <f t="shared" si="114"/>
        <v>#REF!</v>
      </c>
      <c r="P154" t="e">
        <f t="shared" si="115"/>
        <v>#REF!</v>
      </c>
      <c r="Q154" t="e">
        <f t="shared" si="116"/>
        <v>#REF!</v>
      </c>
      <c r="T154" t="e">
        <f>Reflection!A154</f>
        <v>#REF!</v>
      </c>
      <c r="U154" t="s">
        <v>13</v>
      </c>
      <c r="V154" t="e">
        <f t="shared" si="117"/>
        <v>#REF!</v>
      </c>
      <c r="W154" t="e">
        <f t="shared" si="118"/>
        <v>#REF!</v>
      </c>
      <c r="X154" t="e">
        <f t="shared" si="119"/>
        <v>#REF!</v>
      </c>
      <c r="Y154" t="e">
        <f t="shared" si="120"/>
        <v>#REF!</v>
      </c>
      <c r="Z154" t="e">
        <f t="shared" si="121"/>
        <v>#REF!</v>
      </c>
      <c r="AA154" t="e">
        <f t="shared" si="122"/>
        <v>#REF!</v>
      </c>
      <c r="AD154" t="e">
        <f>Reflection!A154</f>
        <v>#REF!</v>
      </c>
      <c r="AE154" t="s">
        <v>13</v>
      </c>
      <c r="AF154" t="e">
        <f t="shared" si="123"/>
        <v>#REF!</v>
      </c>
      <c r="AG154" t="e">
        <f t="shared" si="124"/>
        <v>#REF!</v>
      </c>
      <c r="AH154" t="e">
        <f t="shared" si="125"/>
        <v>#REF!</v>
      </c>
      <c r="AI154" t="e">
        <f t="shared" si="126"/>
        <v>#REF!</v>
      </c>
      <c r="AJ154" t="e">
        <f t="shared" si="127"/>
        <v>#REF!</v>
      </c>
      <c r="AK154" t="e">
        <f t="shared" si="128"/>
        <v>#REF!</v>
      </c>
      <c r="AN154" t="e">
        <f>Reflection!A154</f>
        <v>#REF!</v>
      </c>
      <c r="AO154" t="s">
        <v>13</v>
      </c>
      <c r="AP154" t="e">
        <f t="shared" si="129"/>
        <v>#REF!</v>
      </c>
      <c r="AQ154" t="e">
        <f t="shared" si="130"/>
        <v>#REF!</v>
      </c>
      <c r="AR154" t="e">
        <f t="shared" si="131"/>
        <v>#REF!</v>
      </c>
      <c r="AS154" t="e">
        <f t="shared" si="132"/>
        <v>#REF!</v>
      </c>
      <c r="AT154" t="e">
        <f t="shared" si="133"/>
        <v>#REF!</v>
      </c>
      <c r="AU154" t="e">
        <f t="shared" si="134"/>
        <v>#REF!</v>
      </c>
      <c r="AX154" t="e">
        <f>Reflection!A154</f>
        <v>#REF!</v>
      </c>
      <c r="AY154" t="s">
        <v>13</v>
      </c>
      <c r="AZ154" t="e">
        <f t="shared" si="135"/>
        <v>#REF!</v>
      </c>
      <c r="BA154" t="e">
        <f t="shared" si="136"/>
        <v>#REF!</v>
      </c>
      <c r="BB154" t="e">
        <f t="shared" si="137"/>
        <v>#REF!</v>
      </c>
      <c r="BC154" t="e">
        <f t="shared" si="138"/>
        <v>#REF!</v>
      </c>
      <c r="BD154" t="e">
        <f t="shared" si="139"/>
        <v>#REF!</v>
      </c>
      <c r="BE154" t="e">
        <f t="shared" si="140"/>
        <v>#REF!</v>
      </c>
      <c r="BH154" t="e">
        <f>Reflection!A154</f>
        <v>#REF!</v>
      </c>
      <c r="BI154" t="e">
        <f t="shared" si="141"/>
        <v>#REF!</v>
      </c>
      <c r="BJ154" t="e">
        <f t="shared" si="142"/>
        <v>#REF!</v>
      </c>
      <c r="BK154" t="e">
        <f t="shared" si="143"/>
        <v>#REF!</v>
      </c>
      <c r="BL154" t="e">
        <f t="shared" si="144"/>
        <v>#REF!</v>
      </c>
      <c r="BM154" t="e">
        <f t="shared" si="145"/>
        <v>#REF!</v>
      </c>
      <c r="BN154" t="e">
        <f t="shared" si="146"/>
        <v>#REF!</v>
      </c>
      <c r="BR154" t="e">
        <f>Reflection!A154</f>
        <v>#REF!</v>
      </c>
      <c r="BS154" t="s">
        <v>13</v>
      </c>
      <c r="BT154" t="e">
        <f t="shared" si="147"/>
        <v>#REF!</v>
      </c>
      <c r="BU154" t="e">
        <f t="shared" si="107"/>
        <v>#REF!</v>
      </c>
      <c r="BV154" t="e">
        <f t="shared" si="148"/>
        <v>#REF!</v>
      </c>
      <c r="BW154" t="e">
        <f t="shared" si="149"/>
        <v>#REF!</v>
      </c>
      <c r="BX154" t="e">
        <f t="shared" si="150"/>
        <v>#REF!</v>
      </c>
      <c r="BY154" t="e">
        <f t="shared" si="151"/>
        <v>#REF!</v>
      </c>
    </row>
    <row r="155" spans="1:77" x14ac:dyDescent="0.15">
      <c r="A155" t="e">
        <f>Reflection!A155</f>
        <v>#REF!</v>
      </c>
      <c r="B155" t="e">
        <f t="shared" si="104"/>
        <v>#REF!</v>
      </c>
      <c r="C155" t="e">
        <f t="shared" si="105"/>
        <v>#REF!</v>
      </c>
      <c r="D155" t="e">
        <f t="shared" si="108"/>
        <v>#REF!</v>
      </c>
      <c r="E155" t="e">
        <f t="shared" si="109"/>
        <v>#REF!</v>
      </c>
      <c r="F155" t="e">
        <f t="shared" si="110"/>
        <v>#REF!</v>
      </c>
      <c r="G155" t="e">
        <f t="shared" si="106"/>
        <v>#REF!</v>
      </c>
      <c r="J155" t="e">
        <f>Reflection!A155</f>
        <v>#REF!</v>
      </c>
      <c r="K155" t="s">
        <v>13</v>
      </c>
      <c r="L155" t="e">
        <f t="shared" si="111"/>
        <v>#REF!</v>
      </c>
      <c r="M155" t="e">
        <f t="shared" si="112"/>
        <v>#REF!</v>
      </c>
      <c r="N155" t="e">
        <f t="shared" si="113"/>
        <v>#REF!</v>
      </c>
      <c r="O155" t="e">
        <f t="shared" si="114"/>
        <v>#REF!</v>
      </c>
      <c r="P155" t="e">
        <f t="shared" si="115"/>
        <v>#REF!</v>
      </c>
      <c r="Q155" t="e">
        <f t="shared" si="116"/>
        <v>#REF!</v>
      </c>
      <c r="T155" t="e">
        <f>Reflection!A155</f>
        <v>#REF!</v>
      </c>
      <c r="U155" t="s">
        <v>13</v>
      </c>
      <c r="V155" t="e">
        <f t="shared" si="117"/>
        <v>#REF!</v>
      </c>
      <c r="W155" t="e">
        <f t="shared" si="118"/>
        <v>#REF!</v>
      </c>
      <c r="X155" t="e">
        <f t="shared" si="119"/>
        <v>#REF!</v>
      </c>
      <c r="Y155" t="e">
        <f t="shared" si="120"/>
        <v>#REF!</v>
      </c>
      <c r="Z155" t="e">
        <f t="shared" si="121"/>
        <v>#REF!</v>
      </c>
      <c r="AA155" t="e">
        <f t="shared" si="122"/>
        <v>#REF!</v>
      </c>
      <c r="AD155" t="e">
        <f>Reflection!A155</f>
        <v>#REF!</v>
      </c>
      <c r="AE155" t="s">
        <v>13</v>
      </c>
      <c r="AF155" t="e">
        <f t="shared" si="123"/>
        <v>#REF!</v>
      </c>
      <c r="AG155" t="e">
        <f t="shared" si="124"/>
        <v>#REF!</v>
      </c>
      <c r="AH155" t="e">
        <f t="shared" si="125"/>
        <v>#REF!</v>
      </c>
      <c r="AI155" t="e">
        <f t="shared" si="126"/>
        <v>#REF!</v>
      </c>
      <c r="AJ155" t="e">
        <f t="shared" si="127"/>
        <v>#REF!</v>
      </c>
      <c r="AK155" t="e">
        <f t="shared" si="128"/>
        <v>#REF!</v>
      </c>
      <c r="AN155" t="e">
        <f>Reflection!A155</f>
        <v>#REF!</v>
      </c>
      <c r="AO155" t="s">
        <v>13</v>
      </c>
      <c r="AP155" t="e">
        <f t="shared" si="129"/>
        <v>#REF!</v>
      </c>
      <c r="AQ155" t="e">
        <f t="shared" si="130"/>
        <v>#REF!</v>
      </c>
      <c r="AR155" t="e">
        <f t="shared" si="131"/>
        <v>#REF!</v>
      </c>
      <c r="AS155" t="e">
        <f t="shared" si="132"/>
        <v>#REF!</v>
      </c>
      <c r="AT155" t="e">
        <f t="shared" si="133"/>
        <v>#REF!</v>
      </c>
      <c r="AU155" t="e">
        <f t="shared" si="134"/>
        <v>#REF!</v>
      </c>
      <c r="AX155" t="e">
        <f>Reflection!A155</f>
        <v>#REF!</v>
      </c>
      <c r="AY155" t="s">
        <v>13</v>
      </c>
      <c r="AZ155" t="e">
        <f t="shared" si="135"/>
        <v>#REF!</v>
      </c>
      <c r="BA155" t="e">
        <f t="shared" si="136"/>
        <v>#REF!</v>
      </c>
      <c r="BB155" t="e">
        <f t="shared" si="137"/>
        <v>#REF!</v>
      </c>
      <c r="BC155" t="e">
        <f t="shared" si="138"/>
        <v>#REF!</v>
      </c>
      <c r="BD155" t="e">
        <f t="shared" si="139"/>
        <v>#REF!</v>
      </c>
      <c r="BE155" t="e">
        <f t="shared" si="140"/>
        <v>#REF!</v>
      </c>
      <c r="BH155" t="e">
        <f>Reflection!A155</f>
        <v>#REF!</v>
      </c>
      <c r="BI155" t="e">
        <f t="shared" si="141"/>
        <v>#REF!</v>
      </c>
      <c r="BJ155" t="e">
        <f t="shared" si="142"/>
        <v>#REF!</v>
      </c>
      <c r="BK155" t="e">
        <f t="shared" si="143"/>
        <v>#REF!</v>
      </c>
      <c r="BL155" t="e">
        <f t="shared" si="144"/>
        <v>#REF!</v>
      </c>
      <c r="BM155" t="e">
        <f t="shared" si="145"/>
        <v>#REF!</v>
      </c>
      <c r="BN155" t="e">
        <f t="shared" si="146"/>
        <v>#REF!</v>
      </c>
      <c r="BR155" t="e">
        <f>Reflection!A155</f>
        <v>#REF!</v>
      </c>
      <c r="BS155" t="s">
        <v>13</v>
      </c>
      <c r="BT155" t="e">
        <f t="shared" si="147"/>
        <v>#REF!</v>
      </c>
      <c r="BU155" t="e">
        <f t="shared" si="107"/>
        <v>#REF!</v>
      </c>
      <c r="BV155" t="e">
        <f t="shared" si="148"/>
        <v>#REF!</v>
      </c>
      <c r="BW155" t="e">
        <f t="shared" si="149"/>
        <v>#REF!</v>
      </c>
      <c r="BX155" t="e">
        <f t="shared" si="150"/>
        <v>#REF!</v>
      </c>
      <c r="BY155" t="e">
        <f t="shared" si="151"/>
        <v>#REF!</v>
      </c>
    </row>
    <row r="156" spans="1:77" x14ac:dyDescent="0.15">
      <c r="A156" t="e">
        <f>Reflection!A156</f>
        <v>#REF!</v>
      </c>
      <c r="B156" t="e">
        <f t="shared" si="104"/>
        <v>#REF!</v>
      </c>
      <c r="C156" t="e">
        <f t="shared" si="105"/>
        <v>#REF!</v>
      </c>
      <c r="D156" t="e">
        <f t="shared" si="108"/>
        <v>#REF!</v>
      </c>
      <c r="E156" t="e">
        <f t="shared" si="109"/>
        <v>#REF!</v>
      </c>
      <c r="F156" t="e">
        <f t="shared" si="110"/>
        <v>#REF!</v>
      </c>
      <c r="G156" t="e">
        <f t="shared" si="106"/>
        <v>#REF!</v>
      </c>
      <c r="J156" t="e">
        <f>Reflection!A156</f>
        <v>#REF!</v>
      </c>
      <c r="K156" t="s">
        <v>13</v>
      </c>
      <c r="L156" t="e">
        <f t="shared" si="111"/>
        <v>#REF!</v>
      </c>
      <c r="M156" t="e">
        <f t="shared" si="112"/>
        <v>#REF!</v>
      </c>
      <c r="N156" t="e">
        <f t="shared" si="113"/>
        <v>#REF!</v>
      </c>
      <c r="O156" t="e">
        <f t="shared" si="114"/>
        <v>#REF!</v>
      </c>
      <c r="P156" t="e">
        <f t="shared" si="115"/>
        <v>#REF!</v>
      </c>
      <c r="Q156" t="e">
        <f t="shared" si="116"/>
        <v>#REF!</v>
      </c>
      <c r="T156" t="e">
        <f>Reflection!A156</f>
        <v>#REF!</v>
      </c>
      <c r="U156" t="s">
        <v>13</v>
      </c>
      <c r="V156" t="e">
        <f t="shared" si="117"/>
        <v>#REF!</v>
      </c>
      <c r="W156" t="e">
        <f t="shared" si="118"/>
        <v>#REF!</v>
      </c>
      <c r="X156" t="e">
        <f t="shared" si="119"/>
        <v>#REF!</v>
      </c>
      <c r="Y156" t="e">
        <f t="shared" si="120"/>
        <v>#REF!</v>
      </c>
      <c r="Z156" t="e">
        <f t="shared" si="121"/>
        <v>#REF!</v>
      </c>
      <c r="AA156" t="e">
        <f t="shared" si="122"/>
        <v>#REF!</v>
      </c>
      <c r="AD156" t="e">
        <f>Reflection!A156</f>
        <v>#REF!</v>
      </c>
      <c r="AE156" t="s">
        <v>13</v>
      </c>
      <c r="AF156" t="e">
        <f t="shared" si="123"/>
        <v>#REF!</v>
      </c>
      <c r="AG156" t="e">
        <f t="shared" si="124"/>
        <v>#REF!</v>
      </c>
      <c r="AH156" t="e">
        <f t="shared" si="125"/>
        <v>#REF!</v>
      </c>
      <c r="AI156" t="e">
        <f t="shared" si="126"/>
        <v>#REF!</v>
      </c>
      <c r="AJ156" t="e">
        <f t="shared" si="127"/>
        <v>#REF!</v>
      </c>
      <c r="AK156" t="e">
        <f t="shared" si="128"/>
        <v>#REF!</v>
      </c>
      <c r="AN156" t="e">
        <f>Reflection!A156</f>
        <v>#REF!</v>
      </c>
      <c r="AO156" t="s">
        <v>13</v>
      </c>
      <c r="AP156" t="e">
        <f t="shared" si="129"/>
        <v>#REF!</v>
      </c>
      <c r="AQ156" t="e">
        <f t="shared" si="130"/>
        <v>#REF!</v>
      </c>
      <c r="AR156" t="e">
        <f t="shared" si="131"/>
        <v>#REF!</v>
      </c>
      <c r="AS156" t="e">
        <f t="shared" si="132"/>
        <v>#REF!</v>
      </c>
      <c r="AT156" t="e">
        <f t="shared" si="133"/>
        <v>#REF!</v>
      </c>
      <c r="AU156" t="e">
        <f t="shared" si="134"/>
        <v>#REF!</v>
      </c>
      <c r="AX156" t="e">
        <f>Reflection!A156</f>
        <v>#REF!</v>
      </c>
      <c r="AY156" t="s">
        <v>13</v>
      </c>
      <c r="AZ156" t="e">
        <f t="shared" si="135"/>
        <v>#REF!</v>
      </c>
      <c r="BA156" t="e">
        <f t="shared" si="136"/>
        <v>#REF!</v>
      </c>
      <c r="BB156" t="e">
        <f t="shared" si="137"/>
        <v>#REF!</v>
      </c>
      <c r="BC156" t="e">
        <f t="shared" si="138"/>
        <v>#REF!</v>
      </c>
      <c r="BD156" t="e">
        <f t="shared" si="139"/>
        <v>#REF!</v>
      </c>
      <c r="BE156" t="e">
        <f t="shared" si="140"/>
        <v>#REF!</v>
      </c>
      <c r="BH156" t="e">
        <f>Reflection!A156</f>
        <v>#REF!</v>
      </c>
      <c r="BI156" t="e">
        <f t="shared" si="141"/>
        <v>#REF!</v>
      </c>
      <c r="BJ156" t="e">
        <f t="shared" si="142"/>
        <v>#REF!</v>
      </c>
      <c r="BK156" t="e">
        <f t="shared" si="143"/>
        <v>#REF!</v>
      </c>
      <c r="BL156" t="e">
        <f t="shared" si="144"/>
        <v>#REF!</v>
      </c>
      <c r="BM156" t="e">
        <f t="shared" si="145"/>
        <v>#REF!</v>
      </c>
      <c r="BN156" t="e">
        <f t="shared" si="146"/>
        <v>#REF!</v>
      </c>
      <c r="BR156" t="e">
        <f>Reflection!A156</f>
        <v>#REF!</v>
      </c>
      <c r="BS156" t="s">
        <v>13</v>
      </c>
      <c r="BT156" t="e">
        <f t="shared" si="147"/>
        <v>#REF!</v>
      </c>
      <c r="BU156" t="e">
        <f t="shared" si="107"/>
        <v>#REF!</v>
      </c>
      <c r="BV156" t="e">
        <f t="shared" si="148"/>
        <v>#REF!</v>
      </c>
      <c r="BW156" t="e">
        <f t="shared" si="149"/>
        <v>#REF!</v>
      </c>
      <c r="BX156" t="e">
        <f t="shared" si="150"/>
        <v>#REF!</v>
      </c>
      <c r="BY156" t="e">
        <f t="shared" si="151"/>
        <v>#REF!</v>
      </c>
    </row>
    <row r="157" spans="1:77" x14ac:dyDescent="0.15">
      <c r="A157" t="e">
        <f>Reflection!A157</f>
        <v>#REF!</v>
      </c>
      <c r="B157" t="e">
        <f t="shared" si="104"/>
        <v>#REF!</v>
      </c>
      <c r="C157" t="e">
        <f t="shared" si="105"/>
        <v>#REF!</v>
      </c>
      <c r="D157" t="e">
        <f t="shared" si="108"/>
        <v>#REF!</v>
      </c>
      <c r="E157" t="e">
        <f t="shared" si="109"/>
        <v>#REF!</v>
      </c>
      <c r="F157" t="e">
        <f t="shared" si="110"/>
        <v>#REF!</v>
      </c>
      <c r="G157" t="e">
        <f t="shared" si="106"/>
        <v>#REF!</v>
      </c>
      <c r="J157" t="e">
        <f>Reflection!A157</f>
        <v>#REF!</v>
      </c>
      <c r="K157" t="s">
        <v>13</v>
      </c>
      <c r="L157" t="e">
        <f t="shared" si="111"/>
        <v>#REF!</v>
      </c>
      <c r="M157" t="e">
        <f t="shared" si="112"/>
        <v>#REF!</v>
      </c>
      <c r="N157" t="e">
        <f t="shared" si="113"/>
        <v>#REF!</v>
      </c>
      <c r="O157" t="e">
        <f t="shared" si="114"/>
        <v>#REF!</v>
      </c>
      <c r="P157" t="e">
        <f t="shared" si="115"/>
        <v>#REF!</v>
      </c>
      <c r="Q157" t="e">
        <f t="shared" si="116"/>
        <v>#REF!</v>
      </c>
      <c r="T157" t="e">
        <f>Reflection!A157</f>
        <v>#REF!</v>
      </c>
      <c r="U157" t="s">
        <v>13</v>
      </c>
      <c r="V157" t="e">
        <f t="shared" si="117"/>
        <v>#REF!</v>
      </c>
      <c r="W157" t="e">
        <f t="shared" si="118"/>
        <v>#REF!</v>
      </c>
      <c r="X157" t="e">
        <f t="shared" si="119"/>
        <v>#REF!</v>
      </c>
      <c r="Y157" t="e">
        <f t="shared" si="120"/>
        <v>#REF!</v>
      </c>
      <c r="Z157" t="e">
        <f t="shared" si="121"/>
        <v>#REF!</v>
      </c>
      <c r="AA157" t="e">
        <f t="shared" si="122"/>
        <v>#REF!</v>
      </c>
      <c r="AD157" t="e">
        <f>Reflection!A157</f>
        <v>#REF!</v>
      </c>
      <c r="AE157" t="s">
        <v>13</v>
      </c>
      <c r="AF157" t="e">
        <f t="shared" si="123"/>
        <v>#REF!</v>
      </c>
      <c r="AG157" t="e">
        <f t="shared" si="124"/>
        <v>#REF!</v>
      </c>
      <c r="AH157" t="e">
        <f t="shared" si="125"/>
        <v>#REF!</v>
      </c>
      <c r="AI157" t="e">
        <f t="shared" si="126"/>
        <v>#REF!</v>
      </c>
      <c r="AJ157" t="e">
        <f t="shared" si="127"/>
        <v>#REF!</v>
      </c>
      <c r="AK157" t="e">
        <f t="shared" si="128"/>
        <v>#REF!</v>
      </c>
      <c r="AN157" t="e">
        <f>Reflection!A157</f>
        <v>#REF!</v>
      </c>
      <c r="AO157" t="s">
        <v>13</v>
      </c>
      <c r="AP157" t="e">
        <f t="shared" si="129"/>
        <v>#REF!</v>
      </c>
      <c r="AQ157" t="e">
        <f t="shared" si="130"/>
        <v>#REF!</v>
      </c>
      <c r="AR157" t="e">
        <f t="shared" si="131"/>
        <v>#REF!</v>
      </c>
      <c r="AS157" t="e">
        <f t="shared" si="132"/>
        <v>#REF!</v>
      </c>
      <c r="AT157" t="e">
        <f t="shared" si="133"/>
        <v>#REF!</v>
      </c>
      <c r="AU157" t="e">
        <f t="shared" si="134"/>
        <v>#REF!</v>
      </c>
      <c r="AX157" t="e">
        <f>Reflection!A157</f>
        <v>#REF!</v>
      </c>
      <c r="AY157" t="s">
        <v>13</v>
      </c>
      <c r="AZ157" t="e">
        <f t="shared" si="135"/>
        <v>#REF!</v>
      </c>
      <c r="BA157" t="e">
        <f t="shared" si="136"/>
        <v>#REF!</v>
      </c>
      <c r="BB157" t="e">
        <f t="shared" si="137"/>
        <v>#REF!</v>
      </c>
      <c r="BC157" t="e">
        <f t="shared" si="138"/>
        <v>#REF!</v>
      </c>
      <c r="BD157" t="e">
        <f t="shared" si="139"/>
        <v>#REF!</v>
      </c>
      <c r="BE157" t="e">
        <f t="shared" si="140"/>
        <v>#REF!</v>
      </c>
      <c r="BH157" t="e">
        <f>Reflection!A157</f>
        <v>#REF!</v>
      </c>
      <c r="BI157" t="e">
        <f t="shared" si="141"/>
        <v>#REF!</v>
      </c>
      <c r="BJ157" t="e">
        <f t="shared" si="142"/>
        <v>#REF!</v>
      </c>
      <c r="BK157" t="e">
        <f t="shared" si="143"/>
        <v>#REF!</v>
      </c>
      <c r="BL157" t="e">
        <f t="shared" si="144"/>
        <v>#REF!</v>
      </c>
      <c r="BM157" t="e">
        <f t="shared" si="145"/>
        <v>#REF!</v>
      </c>
      <c r="BN157" t="e">
        <f t="shared" si="146"/>
        <v>#REF!</v>
      </c>
      <c r="BR157" t="e">
        <f>Reflection!A157</f>
        <v>#REF!</v>
      </c>
      <c r="BS157" t="s">
        <v>13</v>
      </c>
      <c r="BT157" t="e">
        <f t="shared" si="147"/>
        <v>#REF!</v>
      </c>
      <c r="BU157" t="e">
        <f t="shared" si="107"/>
        <v>#REF!</v>
      </c>
      <c r="BV157" t="e">
        <f t="shared" si="148"/>
        <v>#REF!</v>
      </c>
      <c r="BW157" t="e">
        <f t="shared" si="149"/>
        <v>#REF!</v>
      </c>
      <c r="BX157" t="e">
        <f t="shared" si="150"/>
        <v>#REF!</v>
      </c>
      <c r="BY157" t="e">
        <f t="shared" si="151"/>
        <v>#REF!</v>
      </c>
    </row>
    <row r="158" spans="1:77" x14ac:dyDescent="0.15">
      <c r="A158" t="e">
        <f>Reflection!A158</f>
        <v>#REF!</v>
      </c>
      <c r="B158" t="e">
        <f t="shared" si="104"/>
        <v>#REF!</v>
      </c>
      <c r="C158" t="e">
        <f t="shared" si="105"/>
        <v>#REF!</v>
      </c>
      <c r="D158" t="e">
        <f t="shared" si="108"/>
        <v>#REF!</v>
      </c>
      <c r="E158" t="e">
        <f t="shared" si="109"/>
        <v>#REF!</v>
      </c>
      <c r="F158" t="e">
        <f t="shared" si="110"/>
        <v>#REF!</v>
      </c>
      <c r="G158" t="e">
        <f t="shared" si="106"/>
        <v>#REF!</v>
      </c>
      <c r="J158" t="e">
        <f>Reflection!A158</f>
        <v>#REF!</v>
      </c>
      <c r="K158" t="s">
        <v>13</v>
      </c>
      <c r="L158" t="e">
        <f t="shared" si="111"/>
        <v>#REF!</v>
      </c>
      <c r="M158" t="e">
        <f t="shared" si="112"/>
        <v>#REF!</v>
      </c>
      <c r="N158" t="e">
        <f t="shared" si="113"/>
        <v>#REF!</v>
      </c>
      <c r="O158" t="e">
        <f t="shared" si="114"/>
        <v>#REF!</v>
      </c>
      <c r="P158" t="e">
        <f t="shared" si="115"/>
        <v>#REF!</v>
      </c>
      <c r="Q158" t="e">
        <f t="shared" si="116"/>
        <v>#REF!</v>
      </c>
      <c r="T158" t="e">
        <f>Reflection!A158</f>
        <v>#REF!</v>
      </c>
      <c r="U158" t="s">
        <v>13</v>
      </c>
      <c r="V158" t="e">
        <f t="shared" si="117"/>
        <v>#REF!</v>
      </c>
      <c r="W158" t="e">
        <f t="shared" si="118"/>
        <v>#REF!</v>
      </c>
      <c r="X158" t="e">
        <f t="shared" si="119"/>
        <v>#REF!</v>
      </c>
      <c r="Y158" t="e">
        <f t="shared" si="120"/>
        <v>#REF!</v>
      </c>
      <c r="Z158" t="e">
        <f t="shared" si="121"/>
        <v>#REF!</v>
      </c>
      <c r="AA158" t="e">
        <f t="shared" si="122"/>
        <v>#REF!</v>
      </c>
      <c r="AD158" t="e">
        <f>Reflection!A158</f>
        <v>#REF!</v>
      </c>
      <c r="AE158" t="s">
        <v>13</v>
      </c>
      <c r="AF158" t="e">
        <f t="shared" si="123"/>
        <v>#REF!</v>
      </c>
      <c r="AG158" t="e">
        <f t="shared" si="124"/>
        <v>#REF!</v>
      </c>
      <c r="AH158" t="e">
        <f t="shared" si="125"/>
        <v>#REF!</v>
      </c>
      <c r="AI158" t="e">
        <f t="shared" si="126"/>
        <v>#REF!</v>
      </c>
      <c r="AJ158" t="e">
        <f t="shared" si="127"/>
        <v>#REF!</v>
      </c>
      <c r="AK158" t="e">
        <f t="shared" si="128"/>
        <v>#REF!</v>
      </c>
      <c r="AN158" t="e">
        <f>Reflection!A158</f>
        <v>#REF!</v>
      </c>
      <c r="AO158" t="s">
        <v>13</v>
      </c>
      <c r="AP158" t="e">
        <f t="shared" si="129"/>
        <v>#REF!</v>
      </c>
      <c r="AQ158" t="e">
        <f t="shared" si="130"/>
        <v>#REF!</v>
      </c>
      <c r="AR158" t="e">
        <f t="shared" si="131"/>
        <v>#REF!</v>
      </c>
      <c r="AS158" t="e">
        <f t="shared" si="132"/>
        <v>#REF!</v>
      </c>
      <c r="AT158" t="e">
        <f t="shared" si="133"/>
        <v>#REF!</v>
      </c>
      <c r="AU158" t="e">
        <f t="shared" si="134"/>
        <v>#REF!</v>
      </c>
      <c r="AX158" t="e">
        <f>Reflection!A158</f>
        <v>#REF!</v>
      </c>
      <c r="AY158" t="s">
        <v>13</v>
      </c>
      <c r="AZ158" t="e">
        <f t="shared" si="135"/>
        <v>#REF!</v>
      </c>
      <c r="BA158" t="e">
        <f t="shared" si="136"/>
        <v>#REF!</v>
      </c>
      <c r="BB158" t="e">
        <f t="shared" si="137"/>
        <v>#REF!</v>
      </c>
      <c r="BC158" t="e">
        <f t="shared" si="138"/>
        <v>#REF!</v>
      </c>
      <c r="BD158" t="e">
        <f t="shared" si="139"/>
        <v>#REF!</v>
      </c>
      <c r="BE158" t="e">
        <f t="shared" si="140"/>
        <v>#REF!</v>
      </c>
      <c r="BH158" t="e">
        <f>Reflection!A158</f>
        <v>#REF!</v>
      </c>
      <c r="BI158" t="e">
        <f t="shared" si="141"/>
        <v>#REF!</v>
      </c>
      <c r="BJ158" t="e">
        <f t="shared" si="142"/>
        <v>#REF!</v>
      </c>
      <c r="BK158" t="e">
        <f t="shared" si="143"/>
        <v>#REF!</v>
      </c>
      <c r="BL158" t="e">
        <f t="shared" si="144"/>
        <v>#REF!</v>
      </c>
      <c r="BM158" t="e">
        <f t="shared" si="145"/>
        <v>#REF!</v>
      </c>
      <c r="BN158" t="e">
        <f t="shared" si="146"/>
        <v>#REF!</v>
      </c>
      <c r="BR158" t="e">
        <f>Reflection!A158</f>
        <v>#REF!</v>
      </c>
      <c r="BS158" t="s">
        <v>13</v>
      </c>
      <c r="BT158" t="e">
        <f t="shared" si="147"/>
        <v>#REF!</v>
      </c>
      <c r="BU158" t="e">
        <f t="shared" si="107"/>
        <v>#REF!</v>
      </c>
      <c r="BV158" t="e">
        <f t="shared" si="148"/>
        <v>#REF!</v>
      </c>
      <c r="BW158" t="e">
        <f t="shared" si="149"/>
        <v>#REF!</v>
      </c>
      <c r="BX158" t="e">
        <f t="shared" si="150"/>
        <v>#REF!</v>
      </c>
      <c r="BY158" t="e">
        <f t="shared" si="151"/>
        <v>#REF!</v>
      </c>
    </row>
    <row r="159" spans="1:77" x14ac:dyDescent="0.15">
      <c r="A159" t="e">
        <f>Reflection!A159</f>
        <v>#REF!</v>
      </c>
      <c r="B159" t="e">
        <f t="shared" si="104"/>
        <v>#REF!</v>
      </c>
      <c r="C159" t="e">
        <f t="shared" si="105"/>
        <v>#REF!</v>
      </c>
      <c r="D159" t="e">
        <f t="shared" si="108"/>
        <v>#REF!</v>
      </c>
      <c r="E159" t="e">
        <f t="shared" si="109"/>
        <v>#REF!</v>
      </c>
      <c r="F159" t="e">
        <f t="shared" si="110"/>
        <v>#REF!</v>
      </c>
      <c r="G159" t="e">
        <f t="shared" si="106"/>
        <v>#REF!</v>
      </c>
      <c r="J159" t="e">
        <f>Reflection!A159</f>
        <v>#REF!</v>
      </c>
      <c r="K159" t="s">
        <v>13</v>
      </c>
      <c r="L159" t="e">
        <f t="shared" si="111"/>
        <v>#REF!</v>
      </c>
      <c r="M159" t="e">
        <f t="shared" si="112"/>
        <v>#REF!</v>
      </c>
      <c r="N159" t="e">
        <f t="shared" si="113"/>
        <v>#REF!</v>
      </c>
      <c r="O159" t="e">
        <f t="shared" si="114"/>
        <v>#REF!</v>
      </c>
      <c r="P159" t="e">
        <f t="shared" si="115"/>
        <v>#REF!</v>
      </c>
      <c r="Q159" t="e">
        <f t="shared" si="116"/>
        <v>#REF!</v>
      </c>
      <c r="T159" t="e">
        <f>Reflection!A159</f>
        <v>#REF!</v>
      </c>
      <c r="U159" t="s">
        <v>13</v>
      </c>
      <c r="V159" t="e">
        <f t="shared" si="117"/>
        <v>#REF!</v>
      </c>
      <c r="W159" t="e">
        <f t="shared" si="118"/>
        <v>#REF!</v>
      </c>
      <c r="X159" t="e">
        <f t="shared" si="119"/>
        <v>#REF!</v>
      </c>
      <c r="Y159" t="e">
        <f t="shared" si="120"/>
        <v>#REF!</v>
      </c>
      <c r="Z159" t="e">
        <f t="shared" si="121"/>
        <v>#REF!</v>
      </c>
      <c r="AA159" t="e">
        <f t="shared" si="122"/>
        <v>#REF!</v>
      </c>
      <c r="AD159" t="e">
        <f>Reflection!A159</f>
        <v>#REF!</v>
      </c>
      <c r="AE159" t="s">
        <v>13</v>
      </c>
      <c r="AF159" t="e">
        <f t="shared" si="123"/>
        <v>#REF!</v>
      </c>
      <c r="AG159" t="e">
        <f t="shared" si="124"/>
        <v>#REF!</v>
      </c>
      <c r="AH159" t="e">
        <f t="shared" si="125"/>
        <v>#REF!</v>
      </c>
      <c r="AI159" t="e">
        <f t="shared" si="126"/>
        <v>#REF!</v>
      </c>
      <c r="AJ159" t="e">
        <f t="shared" si="127"/>
        <v>#REF!</v>
      </c>
      <c r="AK159" t="e">
        <f t="shared" si="128"/>
        <v>#REF!</v>
      </c>
      <c r="AN159" t="e">
        <f>Reflection!A159</f>
        <v>#REF!</v>
      </c>
      <c r="AO159" t="s">
        <v>13</v>
      </c>
      <c r="AP159" t="e">
        <f t="shared" si="129"/>
        <v>#REF!</v>
      </c>
      <c r="AQ159" t="e">
        <f t="shared" si="130"/>
        <v>#REF!</v>
      </c>
      <c r="AR159" t="e">
        <f t="shared" si="131"/>
        <v>#REF!</v>
      </c>
      <c r="AS159" t="e">
        <f t="shared" si="132"/>
        <v>#REF!</v>
      </c>
      <c r="AT159" t="e">
        <f t="shared" si="133"/>
        <v>#REF!</v>
      </c>
      <c r="AU159" t="e">
        <f t="shared" si="134"/>
        <v>#REF!</v>
      </c>
      <c r="AX159" t="e">
        <f>Reflection!A159</f>
        <v>#REF!</v>
      </c>
      <c r="AY159" t="s">
        <v>13</v>
      </c>
      <c r="AZ159" t="e">
        <f t="shared" si="135"/>
        <v>#REF!</v>
      </c>
      <c r="BA159" t="e">
        <f t="shared" si="136"/>
        <v>#REF!</v>
      </c>
      <c r="BB159" t="e">
        <f t="shared" si="137"/>
        <v>#REF!</v>
      </c>
      <c r="BC159" t="e">
        <f t="shared" si="138"/>
        <v>#REF!</v>
      </c>
      <c r="BD159" t="e">
        <f t="shared" si="139"/>
        <v>#REF!</v>
      </c>
      <c r="BE159" t="e">
        <f t="shared" si="140"/>
        <v>#REF!</v>
      </c>
      <c r="BH159" t="e">
        <f>Reflection!A159</f>
        <v>#REF!</v>
      </c>
      <c r="BI159" t="e">
        <f t="shared" si="141"/>
        <v>#REF!</v>
      </c>
      <c r="BJ159" t="e">
        <f t="shared" si="142"/>
        <v>#REF!</v>
      </c>
      <c r="BK159" t="e">
        <f t="shared" si="143"/>
        <v>#REF!</v>
      </c>
      <c r="BL159" t="e">
        <f t="shared" si="144"/>
        <v>#REF!</v>
      </c>
      <c r="BM159" t="e">
        <f t="shared" si="145"/>
        <v>#REF!</v>
      </c>
      <c r="BN159" t="e">
        <f t="shared" si="146"/>
        <v>#REF!</v>
      </c>
      <c r="BR159" t="e">
        <f>Reflection!A159</f>
        <v>#REF!</v>
      </c>
      <c r="BS159" t="s">
        <v>13</v>
      </c>
      <c r="BT159" t="e">
        <f t="shared" si="147"/>
        <v>#REF!</v>
      </c>
      <c r="BU159" t="e">
        <f t="shared" si="107"/>
        <v>#REF!</v>
      </c>
      <c r="BV159" t="e">
        <f t="shared" si="148"/>
        <v>#REF!</v>
      </c>
      <c r="BW159" t="e">
        <f t="shared" si="149"/>
        <v>#REF!</v>
      </c>
      <c r="BX159" t="e">
        <f t="shared" si="150"/>
        <v>#REF!</v>
      </c>
      <c r="BY159" t="e">
        <f t="shared" si="151"/>
        <v>#REF!</v>
      </c>
    </row>
    <row r="160" spans="1:77" x14ac:dyDescent="0.15">
      <c r="A160" t="e">
        <f>Reflection!A160</f>
        <v>#REF!</v>
      </c>
      <c r="B160" t="e">
        <f t="shared" si="104"/>
        <v>#REF!</v>
      </c>
      <c r="C160" t="e">
        <f t="shared" si="105"/>
        <v>#REF!</v>
      </c>
      <c r="D160" t="e">
        <f t="shared" si="108"/>
        <v>#REF!</v>
      </c>
      <c r="E160" t="e">
        <f t="shared" si="109"/>
        <v>#REF!</v>
      </c>
      <c r="F160" t="e">
        <f t="shared" si="110"/>
        <v>#REF!</v>
      </c>
      <c r="G160" t="e">
        <f t="shared" si="106"/>
        <v>#REF!</v>
      </c>
      <c r="J160" t="e">
        <f>Reflection!A160</f>
        <v>#REF!</v>
      </c>
      <c r="K160" t="s">
        <v>13</v>
      </c>
      <c r="L160" t="e">
        <f t="shared" si="111"/>
        <v>#REF!</v>
      </c>
      <c r="M160" t="e">
        <f t="shared" si="112"/>
        <v>#REF!</v>
      </c>
      <c r="N160" t="e">
        <f t="shared" si="113"/>
        <v>#REF!</v>
      </c>
      <c r="O160" t="e">
        <f t="shared" si="114"/>
        <v>#REF!</v>
      </c>
      <c r="P160" t="e">
        <f t="shared" si="115"/>
        <v>#REF!</v>
      </c>
      <c r="Q160" t="e">
        <f t="shared" si="116"/>
        <v>#REF!</v>
      </c>
      <c r="T160" t="e">
        <f>Reflection!A160</f>
        <v>#REF!</v>
      </c>
      <c r="U160" t="s">
        <v>13</v>
      </c>
      <c r="V160" t="e">
        <f t="shared" si="117"/>
        <v>#REF!</v>
      </c>
      <c r="W160" t="e">
        <f t="shared" si="118"/>
        <v>#REF!</v>
      </c>
      <c r="X160" t="e">
        <f t="shared" si="119"/>
        <v>#REF!</v>
      </c>
      <c r="Y160" t="e">
        <f t="shared" si="120"/>
        <v>#REF!</v>
      </c>
      <c r="Z160" t="e">
        <f t="shared" si="121"/>
        <v>#REF!</v>
      </c>
      <c r="AA160" t="e">
        <f t="shared" si="122"/>
        <v>#REF!</v>
      </c>
      <c r="AD160" t="e">
        <f>Reflection!A160</f>
        <v>#REF!</v>
      </c>
      <c r="AE160" t="s">
        <v>13</v>
      </c>
      <c r="AF160" t="e">
        <f t="shared" si="123"/>
        <v>#REF!</v>
      </c>
      <c r="AG160" t="e">
        <f t="shared" si="124"/>
        <v>#REF!</v>
      </c>
      <c r="AH160" t="e">
        <f t="shared" si="125"/>
        <v>#REF!</v>
      </c>
      <c r="AI160" t="e">
        <f t="shared" si="126"/>
        <v>#REF!</v>
      </c>
      <c r="AJ160" t="e">
        <f t="shared" si="127"/>
        <v>#REF!</v>
      </c>
      <c r="AK160" t="e">
        <f t="shared" si="128"/>
        <v>#REF!</v>
      </c>
      <c r="AN160" t="e">
        <f>Reflection!A160</f>
        <v>#REF!</v>
      </c>
      <c r="AO160" t="s">
        <v>13</v>
      </c>
      <c r="AP160" t="e">
        <f t="shared" si="129"/>
        <v>#REF!</v>
      </c>
      <c r="AQ160" t="e">
        <f t="shared" si="130"/>
        <v>#REF!</v>
      </c>
      <c r="AR160" t="e">
        <f t="shared" si="131"/>
        <v>#REF!</v>
      </c>
      <c r="AS160" t="e">
        <f t="shared" si="132"/>
        <v>#REF!</v>
      </c>
      <c r="AT160" t="e">
        <f t="shared" si="133"/>
        <v>#REF!</v>
      </c>
      <c r="AU160" t="e">
        <f t="shared" si="134"/>
        <v>#REF!</v>
      </c>
      <c r="AX160" t="e">
        <f>Reflection!A160</f>
        <v>#REF!</v>
      </c>
      <c r="AY160" t="s">
        <v>13</v>
      </c>
      <c r="AZ160" t="e">
        <f t="shared" si="135"/>
        <v>#REF!</v>
      </c>
      <c r="BA160" t="e">
        <f t="shared" si="136"/>
        <v>#REF!</v>
      </c>
      <c r="BB160" t="e">
        <f t="shared" si="137"/>
        <v>#REF!</v>
      </c>
      <c r="BC160" t="e">
        <f t="shared" si="138"/>
        <v>#REF!</v>
      </c>
      <c r="BD160" t="e">
        <f t="shared" si="139"/>
        <v>#REF!</v>
      </c>
      <c r="BE160" t="e">
        <f t="shared" si="140"/>
        <v>#REF!</v>
      </c>
      <c r="BH160" t="e">
        <f>Reflection!A160</f>
        <v>#REF!</v>
      </c>
      <c r="BI160" t="e">
        <f t="shared" si="141"/>
        <v>#REF!</v>
      </c>
      <c r="BJ160" t="e">
        <f t="shared" si="142"/>
        <v>#REF!</v>
      </c>
      <c r="BK160" t="e">
        <f t="shared" si="143"/>
        <v>#REF!</v>
      </c>
      <c r="BL160" t="e">
        <f t="shared" si="144"/>
        <v>#REF!</v>
      </c>
      <c r="BM160" t="e">
        <f t="shared" si="145"/>
        <v>#REF!</v>
      </c>
      <c r="BN160" t="e">
        <f t="shared" si="146"/>
        <v>#REF!</v>
      </c>
      <c r="BR160" t="e">
        <f>Reflection!A160</f>
        <v>#REF!</v>
      </c>
      <c r="BS160" t="s">
        <v>13</v>
      </c>
      <c r="BT160" t="e">
        <f t="shared" si="147"/>
        <v>#REF!</v>
      </c>
      <c r="BU160" t="e">
        <f t="shared" si="107"/>
        <v>#REF!</v>
      </c>
      <c r="BV160" t="e">
        <f t="shared" si="148"/>
        <v>#REF!</v>
      </c>
      <c r="BW160" t="e">
        <f t="shared" si="149"/>
        <v>#REF!</v>
      </c>
      <c r="BX160" t="e">
        <f t="shared" si="150"/>
        <v>#REF!</v>
      </c>
      <c r="BY160" t="e">
        <f t="shared" si="151"/>
        <v>#REF!</v>
      </c>
    </row>
    <row r="161" spans="1:77" x14ac:dyDescent="0.15">
      <c r="A161" t="e">
        <f>Reflection!A161</f>
        <v>#REF!</v>
      </c>
      <c r="B161" t="e">
        <f t="shared" si="104"/>
        <v>#REF!</v>
      </c>
      <c r="C161" t="e">
        <f t="shared" si="105"/>
        <v>#REF!</v>
      </c>
      <c r="D161" t="e">
        <f t="shared" si="108"/>
        <v>#REF!</v>
      </c>
      <c r="E161" t="e">
        <f t="shared" si="109"/>
        <v>#REF!</v>
      </c>
      <c r="F161" t="e">
        <f t="shared" si="110"/>
        <v>#REF!</v>
      </c>
      <c r="G161" t="e">
        <f t="shared" si="106"/>
        <v>#REF!</v>
      </c>
      <c r="J161" t="e">
        <f>Reflection!A161</f>
        <v>#REF!</v>
      </c>
      <c r="K161" t="s">
        <v>13</v>
      </c>
      <c r="L161" t="e">
        <f t="shared" si="111"/>
        <v>#REF!</v>
      </c>
      <c r="M161" t="e">
        <f t="shared" si="112"/>
        <v>#REF!</v>
      </c>
      <c r="N161" t="e">
        <f t="shared" si="113"/>
        <v>#REF!</v>
      </c>
      <c r="O161" t="e">
        <f t="shared" si="114"/>
        <v>#REF!</v>
      </c>
      <c r="P161" t="e">
        <f t="shared" si="115"/>
        <v>#REF!</v>
      </c>
      <c r="Q161" t="e">
        <f t="shared" si="116"/>
        <v>#REF!</v>
      </c>
      <c r="T161" t="e">
        <f>Reflection!A161</f>
        <v>#REF!</v>
      </c>
      <c r="U161" t="s">
        <v>13</v>
      </c>
      <c r="V161" t="e">
        <f t="shared" si="117"/>
        <v>#REF!</v>
      </c>
      <c r="W161" t="e">
        <f t="shared" si="118"/>
        <v>#REF!</v>
      </c>
      <c r="X161" t="e">
        <f t="shared" si="119"/>
        <v>#REF!</v>
      </c>
      <c r="Y161" t="e">
        <f t="shared" si="120"/>
        <v>#REF!</v>
      </c>
      <c r="Z161" t="e">
        <f t="shared" si="121"/>
        <v>#REF!</v>
      </c>
      <c r="AA161" t="e">
        <f t="shared" si="122"/>
        <v>#REF!</v>
      </c>
      <c r="AD161" t="e">
        <f>Reflection!A161</f>
        <v>#REF!</v>
      </c>
      <c r="AE161" t="s">
        <v>13</v>
      </c>
      <c r="AF161" t="e">
        <f t="shared" si="123"/>
        <v>#REF!</v>
      </c>
      <c r="AG161" t="e">
        <f t="shared" si="124"/>
        <v>#REF!</v>
      </c>
      <c r="AH161" t="e">
        <f t="shared" si="125"/>
        <v>#REF!</v>
      </c>
      <c r="AI161" t="e">
        <f t="shared" si="126"/>
        <v>#REF!</v>
      </c>
      <c r="AJ161" t="e">
        <f t="shared" si="127"/>
        <v>#REF!</v>
      </c>
      <c r="AK161" t="e">
        <f t="shared" si="128"/>
        <v>#REF!</v>
      </c>
      <c r="AN161" t="e">
        <f>Reflection!A161</f>
        <v>#REF!</v>
      </c>
      <c r="AO161" t="s">
        <v>13</v>
      </c>
      <c r="AP161" t="e">
        <f t="shared" si="129"/>
        <v>#REF!</v>
      </c>
      <c r="AQ161" t="e">
        <f t="shared" si="130"/>
        <v>#REF!</v>
      </c>
      <c r="AR161" t="e">
        <f t="shared" si="131"/>
        <v>#REF!</v>
      </c>
      <c r="AS161" t="e">
        <f t="shared" si="132"/>
        <v>#REF!</v>
      </c>
      <c r="AT161" t="e">
        <f t="shared" si="133"/>
        <v>#REF!</v>
      </c>
      <c r="AU161" t="e">
        <f t="shared" si="134"/>
        <v>#REF!</v>
      </c>
      <c r="AX161" t="e">
        <f>Reflection!A161</f>
        <v>#REF!</v>
      </c>
      <c r="AY161" t="s">
        <v>13</v>
      </c>
      <c r="AZ161" t="e">
        <f t="shared" si="135"/>
        <v>#REF!</v>
      </c>
      <c r="BA161" t="e">
        <f t="shared" si="136"/>
        <v>#REF!</v>
      </c>
      <c r="BB161" t="e">
        <f t="shared" si="137"/>
        <v>#REF!</v>
      </c>
      <c r="BC161" t="e">
        <f t="shared" si="138"/>
        <v>#REF!</v>
      </c>
      <c r="BD161" t="e">
        <f t="shared" si="139"/>
        <v>#REF!</v>
      </c>
      <c r="BE161" t="e">
        <f t="shared" si="140"/>
        <v>#REF!</v>
      </c>
      <c r="BH161" t="e">
        <f>Reflection!A161</f>
        <v>#REF!</v>
      </c>
      <c r="BI161" t="e">
        <f t="shared" si="141"/>
        <v>#REF!</v>
      </c>
      <c r="BJ161" t="e">
        <f t="shared" si="142"/>
        <v>#REF!</v>
      </c>
      <c r="BK161" t="e">
        <f t="shared" si="143"/>
        <v>#REF!</v>
      </c>
      <c r="BL161" t="e">
        <f t="shared" si="144"/>
        <v>#REF!</v>
      </c>
      <c r="BM161" t="e">
        <f t="shared" si="145"/>
        <v>#REF!</v>
      </c>
      <c r="BN161" t="e">
        <f t="shared" si="146"/>
        <v>#REF!</v>
      </c>
      <c r="BR161" t="e">
        <f>Reflection!A161</f>
        <v>#REF!</v>
      </c>
      <c r="BS161" t="s">
        <v>13</v>
      </c>
      <c r="BT161" t="e">
        <f t="shared" si="147"/>
        <v>#REF!</v>
      </c>
      <c r="BU161" t="e">
        <f t="shared" si="107"/>
        <v>#REF!</v>
      </c>
      <c r="BV161" t="e">
        <f t="shared" si="148"/>
        <v>#REF!</v>
      </c>
      <c r="BW161" t="e">
        <f t="shared" si="149"/>
        <v>#REF!</v>
      </c>
      <c r="BX161" t="e">
        <f t="shared" si="150"/>
        <v>#REF!</v>
      </c>
      <c r="BY161" t="e">
        <f t="shared" si="151"/>
        <v>#REF!</v>
      </c>
    </row>
    <row r="162" spans="1:77" x14ac:dyDescent="0.15">
      <c r="A162" t="e">
        <f>Reflection!A162</f>
        <v>#REF!</v>
      </c>
      <c r="B162" t="e">
        <f t="shared" si="104"/>
        <v>#REF!</v>
      </c>
      <c r="C162" t="e">
        <f t="shared" si="105"/>
        <v>#REF!</v>
      </c>
      <c r="D162" t="e">
        <f t="shared" si="108"/>
        <v>#REF!</v>
      </c>
      <c r="E162" t="e">
        <f t="shared" si="109"/>
        <v>#REF!</v>
      </c>
      <c r="F162" t="e">
        <f t="shared" si="110"/>
        <v>#REF!</v>
      </c>
      <c r="G162" t="e">
        <f t="shared" si="106"/>
        <v>#REF!</v>
      </c>
      <c r="J162" t="e">
        <f>Reflection!A162</f>
        <v>#REF!</v>
      </c>
      <c r="K162" t="s">
        <v>13</v>
      </c>
      <c r="L162" t="e">
        <f t="shared" si="111"/>
        <v>#REF!</v>
      </c>
      <c r="M162" t="e">
        <f t="shared" si="112"/>
        <v>#REF!</v>
      </c>
      <c r="N162" t="e">
        <f t="shared" si="113"/>
        <v>#REF!</v>
      </c>
      <c r="O162" t="e">
        <f t="shared" si="114"/>
        <v>#REF!</v>
      </c>
      <c r="P162" t="e">
        <f t="shared" si="115"/>
        <v>#REF!</v>
      </c>
      <c r="Q162" t="e">
        <f t="shared" si="116"/>
        <v>#REF!</v>
      </c>
      <c r="T162" t="e">
        <f>Reflection!A162</f>
        <v>#REF!</v>
      </c>
      <c r="U162" t="s">
        <v>13</v>
      </c>
      <c r="V162" t="e">
        <f t="shared" si="117"/>
        <v>#REF!</v>
      </c>
      <c r="W162" t="e">
        <f t="shared" si="118"/>
        <v>#REF!</v>
      </c>
      <c r="X162" t="e">
        <f t="shared" si="119"/>
        <v>#REF!</v>
      </c>
      <c r="Y162" t="e">
        <f t="shared" si="120"/>
        <v>#REF!</v>
      </c>
      <c r="Z162" t="e">
        <f t="shared" si="121"/>
        <v>#REF!</v>
      </c>
      <c r="AA162" t="e">
        <f t="shared" si="122"/>
        <v>#REF!</v>
      </c>
      <c r="AD162" t="e">
        <f>Reflection!A162</f>
        <v>#REF!</v>
      </c>
      <c r="AE162" t="s">
        <v>13</v>
      </c>
      <c r="AF162" t="e">
        <f t="shared" si="123"/>
        <v>#REF!</v>
      </c>
      <c r="AG162" t="e">
        <f t="shared" si="124"/>
        <v>#REF!</v>
      </c>
      <c r="AH162" t="e">
        <f t="shared" si="125"/>
        <v>#REF!</v>
      </c>
      <c r="AI162" t="e">
        <f t="shared" si="126"/>
        <v>#REF!</v>
      </c>
      <c r="AJ162" t="e">
        <f t="shared" si="127"/>
        <v>#REF!</v>
      </c>
      <c r="AK162" t="e">
        <f t="shared" si="128"/>
        <v>#REF!</v>
      </c>
      <c r="AN162" t="e">
        <f>Reflection!A162</f>
        <v>#REF!</v>
      </c>
      <c r="AO162" t="s">
        <v>13</v>
      </c>
      <c r="AP162" t="e">
        <f t="shared" si="129"/>
        <v>#REF!</v>
      </c>
      <c r="AQ162" t="e">
        <f t="shared" si="130"/>
        <v>#REF!</v>
      </c>
      <c r="AR162" t="e">
        <f t="shared" si="131"/>
        <v>#REF!</v>
      </c>
      <c r="AS162" t="e">
        <f t="shared" si="132"/>
        <v>#REF!</v>
      </c>
      <c r="AT162" t="e">
        <f t="shared" si="133"/>
        <v>#REF!</v>
      </c>
      <c r="AU162" t="e">
        <f t="shared" si="134"/>
        <v>#REF!</v>
      </c>
      <c r="AX162" t="e">
        <f>Reflection!A162</f>
        <v>#REF!</v>
      </c>
      <c r="AY162" t="s">
        <v>13</v>
      </c>
      <c r="AZ162" t="e">
        <f t="shared" si="135"/>
        <v>#REF!</v>
      </c>
      <c r="BA162" t="e">
        <f t="shared" si="136"/>
        <v>#REF!</v>
      </c>
      <c r="BB162" t="e">
        <f t="shared" si="137"/>
        <v>#REF!</v>
      </c>
      <c r="BC162" t="e">
        <f t="shared" si="138"/>
        <v>#REF!</v>
      </c>
      <c r="BD162" t="e">
        <f t="shared" si="139"/>
        <v>#REF!</v>
      </c>
      <c r="BE162" t="e">
        <f t="shared" si="140"/>
        <v>#REF!</v>
      </c>
      <c r="BH162" t="e">
        <f>Reflection!A162</f>
        <v>#REF!</v>
      </c>
      <c r="BI162" t="e">
        <f t="shared" si="141"/>
        <v>#REF!</v>
      </c>
      <c r="BJ162" t="e">
        <f t="shared" si="142"/>
        <v>#REF!</v>
      </c>
      <c r="BK162" t="e">
        <f t="shared" si="143"/>
        <v>#REF!</v>
      </c>
      <c r="BL162" t="e">
        <f t="shared" si="144"/>
        <v>#REF!</v>
      </c>
      <c r="BM162" t="e">
        <f t="shared" si="145"/>
        <v>#REF!</v>
      </c>
      <c r="BN162" t="e">
        <f t="shared" si="146"/>
        <v>#REF!</v>
      </c>
      <c r="BR162" t="e">
        <f>Reflection!A162</f>
        <v>#REF!</v>
      </c>
      <c r="BS162" t="s">
        <v>13</v>
      </c>
      <c r="BT162" t="e">
        <f t="shared" si="147"/>
        <v>#REF!</v>
      </c>
      <c r="BU162" t="e">
        <f t="shared" si="107"/>
        <v>#REF!</v>
      </c>
      <c r="BV162" t="e">
        <f t="shared" si="148"/>
        <v>#REF!</v>
      </c>
      <c r="BW162" t="e">
        <f t="shared" si="149"/>
        <v>#REF!</v>
      </c>
      <c r="BX162" t="e">
        <f t="shared" si="150"/>
        <v>#REF!</v>
      </c>
      <c r="BY162" t="e">
        <f t="shared" si="151"/>
        <v>#REF!</v>
      </c>
    </row>
    <row r="163" spans="1:77" x14ac:dyDescent="0.15">
      <c r="A163" t="e">
        <f>Reflection!A163</f>
        <v>#REF!</v>
      </c>
      <c r="B163" t="e">
        <f t="shared" ref="B163:B194" si="152">IMSUM(4.1,IMDIV((78.4-4.1),IMSUM(IMPRODUCT($C$1,2*PI()*A163*0.0000000000083),1)))</f>
        <v>#REF!</v>
      </c>
      <c r="C163" t="e">
        <f t="shared" ref="C163:C194" si="153">IMPRODUCT(IMPRODUCT(B163,$C$1),2*PI()*A163*0.000000000008854)</f>
        <v>#REF!</v>
      </c>
      <c r="D163" t="e">
        <f t="shared" si="108"/>
        <v>#REF!</v>
      </c>
      <c r="E163" t="e">
        <f t="shared" si="109"/>
        <v>#REF!</v>
      </c>
      <c r="F163" t="e">
        <f t="shared" si="110"/>
        <v>#REF!</v>
      </c>
      <c r="G163" t="e">
        <f t="shared" ref="G163:G194" si="154">IMAGINARY(C163)</f>
        <v>#REF!</v>
      </c>
      <c r="J163" t="e">
        <f>Reflection!A163</f>
        <v>#REF!</v>
      </c>
      <c r="K163" t="s">
        <v>13</v>
      </c>
      <c r="L163" t="e">
        <f t="shared" si="111"/>
        <v>#REF!</v>
      </c>
      <c r="M163" t="e">
        <f t="shared" si="112"/>
        <v>#REF!</v>
      </c>
      <c r="N163" t="e">
        <f t="shared" si="113"/>
        <v>#REF!</v>
      </c>
      <c r="O163" t="e">
        <f t="shared" si="114"/>
        <v>#REF!</v>
      </c>
      <c r="P163" t="e">
        <f t="shared" si="115"/>
        <v>#REF!</v>
      </c>
      <c r="Q163" t="e">
        <f t="shared" si="116"/>
        <v>#REF!</v>
      </c>
      <c r="T163" t="e">
        <f>Reflection!A163</f>
        <v>#REF!</v>
      </c>
      <c r="U163" t="s">
        <v>13</v>
      </c>
      <c r="V163" t="e">
        <f t="shared" si="117"/>
        <v>#REF!</v>
      </c>
      <c r="W163" t="e">
        <f t="shared" si="118"/>
        <v>#REF!</v>
      </c>
      <c r="X163" t="e">
        <f t="shared" si="119"/>
        <v>#REF!</v>
      </c>
      <c r="Y163" t="e">
        <f t="shared" si="120"/>
        <v>#REF!</v>
      </c>
      <c r="Z163" t="e">
        <f t="shared" si="121"/>
        <v>#REF!</v>
      </c>
      <c r="AA163" t="e">
        <f t="shared" si="122"/>
        <v>#REF!</v>
      </c>
      <c r="AD163" t="e">
        <f>Reflection!A163</f>
        <v>#REF!</v>
      </c>
      <c r="AE163" t="s">
        <v>13</v>
      </c>
      <c r="AF163" t="e">
        <f t="shared" si="123"/>
        <v>#REF!</v>
      </c>
      <c r="AG163" t="e">
        <f t="shared" si="124"/>
        <v>#REF!</v>
      </c>
      <c r="AH163" t="e">
        <f t="shared" si="125"/>
        <v>#REF!</v>
      </c>
      <c r="AI163" t="e">
        <f t="shared" si="126"/>
        <v>#REF!</v>
      </c>
      <c r="AJ163" t="e">
        <f t="shared" si="127"/>
        <v>#REF!</v>
      </c>
      <c r="AK163" t="e">
        <f t="shared" si="128"/>
        <v>#REF!</v>
      </c>
      <c r="AN163" t="e">
        <f>Reflection!A163</f>
        <v>#REF!</v>
      </c>
      <c r="AO163" t="s">
        <v>13</v>
      </c>
      <c r="AP163" t="e">
        <f t="shared" si="129"/>
        <v>#REF!</v>
      </c>
      <c r="AQ163" t="e">
        <f t="shared" si="130"/>
        <v>#REF!</v>
      </c>
      <c r="AR163" t="e">
        <f t="shared" si="131"/>
        <v>#REF!</v>
      </c>
      <c r="AS163" t="e">
        <f t="shared" si="132"/>
        <v>#REF!</v>
      </c>
      <c r="AT163" t="e">
        <f t="shared" si="133"/>
        <v>#REF!</v>
      </c>
      <c r="AU163" t="e">
        <f t="shared" si="134"/>
        <v>#REF!</v>
      </c>
      <c r="AX163" t="e">
        <f>Reflection!A163</f>
        <v>#REF!</v>
      </c>
      <c r="AY163" t="s">
        <v>13</v>
      </c>
      <c r="AZ163" t="e">
        <f t="shared" si="135"/>
        <v>#REF!</v>
      </c>
      <c r="BA163" t="e">
        <f t="shared" si="136"/>
        <v>#REF!</v>
      </c>
      <c r="BB163" t="e">
        <f t="shared" si="137"/>
        <v>#REF!</v>
      </c>
      <c r="BC163" t="e">
        <f t="shared" si="138"/>
        <v>#REF!</v>
      </c>
      <c r="BD163" t="e">
        <f t="shared" si="139"/>
        <v>#REF!</v>
      </c>
      <c r="BE163" t="e">
        <f t="shared" si="140"/>
        <v>#REF!</v>
      </c>
      <c r="BH163" t="e">
        <f>Reflection!A163</f>
        <v>#REF!</v>
      </c>
      <c r="BI163" t="e">
        <f t="shared" si="141"/>
        <v>#REF!</v>
      </c>
      <c r="BJ163" t="e">
        <f t="shared" si="142"/>
        <v>#REF!</v>
      </c>
      <c r="BK163" t="e">
        <f t="shared" si="143"/>
        <v>#REF!</v>
      </c>
      <c r="BL163" t="e">
        <f t="shared" si="144"/>
        <v>#REF!</v>
      </c>
      <c r="BM163" t="e">
        <f t="shared" si="145"/>
        <v>#REF!</v>
      </c>
      <c r="BN163" t="e">
        <f t="shared" si="146"/>
        <v>#REF!</v>
      </c>
      <c r="BR163" t="e">
        <f>Reflection!A163</f>
        <v>#REF!</v>
      </c>
      <c r="BS163" t="s">
        <v>13</v>
      </c>
      <c r="BT163" t="e">
        <f t="shared" si="147"/>
        <v>#REF!</v>
      </c>
      <c r="BU163" t="e">
        <f t="shared" ref="BU163:BU194" si="155">IMPRODUCT(IMPRODUCT(BT163,BS163),2*PI()*BR163*0.000000000008854)</f>
        <v>#REF!</v>
      </c>
      <c r="BV163" t="e">
        <f t="shared" si="148"/>
        <v>#REF!</v>
      </c>
      <c r="BW163" t="e">
        <f t="shared" si="149"/>
        <v>#REF!</v>
      </c>
      <c r="BX163" t="e">
        <f t="shared" si="150"/>
        <v>#REF!</v>
      </c>
      <c r="BY163" t="e">
        <f t="shared" si="151"/>
        <v>#REF!</v>
      </c>
    </row>
    <row r="164" spans="1:77" x14ac:dyDescent="0.15">
      <c r="A164" t="e">
        <f>Reflection!A164</f>
        <v>#REF!</v>
      </c>
      <c r="B164" t="e">
        <f t="shared" si="152"/>
        <v>#REF!</v>
      </c>
      <c r="C164" t="e">
        <f t="shared" si="153"/>
        <v>#REF!</v>
      </c>
      <c r="D164" t="e">
        <f t="shared" si="108"/>
        <v>#REF!</v>
      </c>
      <c r="E164" t="e">
        <f t="shared" si="109"/>
        <v>#REF!</v>
      </c>
      <c r="F164" t="e">
        <f t="shared" si="110"/>
        <v>#REF!</v>
      </c>
      <c r="G164" t="e">
        <f t="shared" si="154"/>
        <v>#REF!</v>
      </c>
      <c r="J164" t="e">
        <f>Reflection!A164</f>
        <v>#REF!</v>
      </c>
      <c r="K164" t="s">
        <v>13</v>
      </c>
      <c r="L164" t="e">
        <f t="shared" si="111"/>
        <v>#REF!</v>
      </c>
      <c r="M164" t="e">
        <f t="shared" si="112"/>
        <v>#REF!</v>
      </c>
      <c r="N164" t="e">
        <f t="shared" si="113"/>
        <v>#REF!</v>
      </c>
      <c r="O164" t="e">
        <f t="shared" si="114"/>
        <v>#REF!</v>
      </c>
      <c r="P164" t="e">
        <f t="shared" si="115"/>
        <v>#REF!</v>
      </c>
      <c r="Q164" t="e">
        <f t="shared" si="116"/>
        <v>#REF!</v>
      </c>
      <c r="T164" t="e">
        <f>Reflection!A164</f>
        <v>#REF!</v>
      </c>
      <c r="U164" t="s">
        <v>13</v>
      </c>
      <c r="V164" t="e">
        <f t="shared" si="117"/>
        <v>#REF!</v>
      </c>
      <c r="W164" t="e">
        <f t="shared" si="118"/>
        <v>#REF!</v>
      </c>
      <c r="X164" t="e">
        <f t="shared" si="119"/>
        <v>#REF!</v>
      </c>
      <c r="Y164" t="e">
        <f t="shared" si="120"/>
        <v>#REF!</v>
      </c>
      <c r="Z164" t="e">
        <f t="shared" si="121"/>
        <v>#REF!</v>
      </c>
      <c r="AA164" t="e">
        <f t="shared" si="122"/>
        <v>#REF!</v>
      </c>
      <c r="AD164" t="e">
        <f>Reflection!A164</f>
        <v>#REF!</v>
      </c>
      <c r="AE164" t="s">
        <v>13</v>
      </c>
      <c r="AF164" t="e">
        <f t="shared" si="123"/>
        <v>#REF!</v>
      </c>
      <c r="AG164" t="e">
        <f t="shared" si="124"/>
        <v>#REF!</v>
      </c>
      <c r="AH164" t="e">
        <f t="shared" si="125"/>
        <v>#REF!</v>
      </c>
      <c r="AI164" t="e">
        <f t="shared" si="126"/>
        <v>#REF!</v>
      </c>
      <c r="AJ164" t="e">
        <f t="shared" si="127"/>
        <v>#REF!</v>
      </c>
      <c r="AK164" t="e">
        <f t="shared" si="128"/>
        <v>#REF!</v>
      </c>
      <c r="AN164" t="e">
        <f>Reflection!A164</f>
        <v>#REF!</v>
      </c>
      <c r="AO164" t="s">
        <v>13</v>
      </c>
      <c r="AP164" t="e">
        <f t="shared" si="129"/>
        <v>#REF!</v>
      </c>
      <c r="AQ164" t="e">
        <f t="shared" si="130"/>
        <v>#REF!</v>
      </c>
      <c r="AR164" t="e">
        <f t="shared" si="131"/>
        <v>#REF!</v>
      </c>
      <c r="AS164" t="e">
        <f t="shared" si="132"/>
        <v>#REF!</v>
      </c>
      <c r="AT164" t="e">
        <f t="shared" si="133"/>
        <v>#REF!</v>
      </c>
      <c r="AU164" t="e">
        <f t="shared" si="134"/>
        <v>#REF!</v>
      </c>
      <c r="AX164" t="e">
        <f>Reflection!A164</f>
        <v>#REF!</v>
      </c>
      <c r="AY164" t="s">
        <v>13</v>
      </c>
      <c r="AZ164" t="e">
        <f t="shared" si="135"/>
        <v>#REF!</v>
      </c>
      <c r="BA164" t="e">
        <f t="shared" si="136"/>
        <v>#REF!</v>
      </c>
      <c r="BB164" t="e">
        <f t="shared" si="137"/>
        <v>#REF!</v>
      </c>
      <c r="BC164" t="e">
        <f t="shared" si="138"/>
        <v>#REF!</v>
      </c>
      <c r="BD164" t="e">
        <f t="shared" si="139"/>
        <v>#REF!</v>
      </c>
      <c r="BE164" t="e">
        <f t="shared" si="140"/>
        <v>#REF!</v>
      </c>
      <c r="BH164" t="e">
        <f>Reflection!A164</f>
        <v>#REF!</v>
      </c>
      <c r="BI164" t="e">
        <f t="shared" si="141"/>
        <v>#REF!</v>
      </c>
      <c r="BJ164" t="e">
        <f t="shared" si="142"/>
        <v>#REF!</v>
      </c>
      <c r="BK164" t="e">
        <f t="shared" si="143"/>
        <v>#REF!</v>
      </c>
      <c r="BL164" t="e">
        <f t="shared" si="144"/>
        <v>#REF!</v>
      </c>
      <c r="BM164" t="e">
        <f t="shared" si="145"/>
        <v>#REF!</v>
      </c>
      <c r="BN164" t="e">
        <f t="shared" si="146"/>
        <v>#REF!</v>
      </c>
      <c r="BR164" t="e">
        <f>Reflection!A164</f>
        <v>#REF!</v>
      </c>
      <c r="BS164" t="s">
        <v>13</v>
      </c>
      <c r="BT164" t="e">
        <f t="shared" si="147"/>
        <v>#REF!</v>
      </c>
      <c r="BU164" t="e">
        <f t="shared" si="155"/>
        <v>#REF!</v>
      </c>
      <c r="BV164" t="e">
        <f t="shared" si="148"/>
        <v>#REF!</v>
      </c>
      <c r="BW164" t="e">
        <f t="shared" si="149"/>
        <v>#REF!</v>
      </c>
      <c r="BX164" t="e">
        <f t="shared" si="150"/>
        <v>#REF!</v>
      </c>
      <c r="BY164" t="e">
        <f t="shared" si="151"/>
        <v>#REF!</v>
      </c>
    </row>
    <row r="165" spans="1:77" x14ac:dyDescent="0.15">
      <c r="A165" t="e">
        <f>Reflection!A165</f>
        <v>#REF!</v>
      </c>
      <c r="B165" t="e">
        <f t="shared" si="152"/>
        <v>#REF!</v>
      </c>
      <c r="C165" t="e">
        <f t="shared" si="153"/>
        <v>#REF!</v>
      </c>
      <c r="D165" t="e">
        <f t="shared" si="108"/>
        <v>#REF!</v>
      </c>
      <c r="E165" t="e">
        <f t="shared" si="109"/>
        <v>#REF!</v>
      </c>
      <c r="F165" t="e">
        <f t="shared" si="110"/>
        <v>#REF!</v>
      </c>
      <c r="G165" t="e">
        <f t="shared" si="154"/>
        <v>#REF!</v>
      </c>
      <c r="J165" t="e">
        <f>Reflection!A165</f>
        <v>#REF!</v>
      </c>
      <c r="K165" t="s">
        <v>13</v>
      </c>
      <c r="L165" t="e">
        <f t="shared" si="111"/>
        <v>#REF!</v>
      </c>
      <c r="M165" t="e">
        <f t="shared" si="112"/>
        <v>#REF!</v>
      </c>
      <c r="N165" t="e">
        <f t="shared" si="113"/>
        <v>#REF!</v>
      </c>
      <c r="O165" t="e">
        <f t="shared" si="114"/>
        <v>#REF!</v>
      </c>
      <c r="P165" t="e">
        <f t="shared" si="115"/>
        <v>#REF!</v>
      </c>
      <c r="Q165" t="e">
        <f t="shared" si="116"/>
        <v>#REF!</v>
      </c>
      <c r="T165" t="e">
        <f>Reflection!A165</f>
        <v>#REF!</v>
      </c>
      <c r="U165" t="s">
        <v>13</v>
      </c>
      <c r="V165" t="e">
        <f t="shared" si="117"/>
        <v>#REF!</v>
      </c>
      <c r="W165" t="e">
        <f t="shared" si="118"/>
        <v>#REF!</v>
      </c>
      <c r="X165" t="e">
        <f t="shared" si="119"/>
        <v>#REF!</v>
      </c>
      <c r="Y165" t="e">
        <f t="shared" si="120"/>
        <v>#REF!</v>
      </c>
      <c r="Z165" t="e">
        <f t="shared" si="121"/>
        <v>#REF!</v>
      </c>
      <c r="AA165" t="e">
        <f t="shared" si="122"/>
        <v>#REF!</v>
      </c>
      <c r="AD165" t="e">
        <f>Reflection!A165</f>
        <v>#REF!</v>
      </c>
      <c r="AE165" t="s">
        <v>13</v>
      </c>
      <c r="AF165" t="e">
        <f t="shared" si="123"/>
        <v>#REF!</v>
      </c>
      <c r="AG165" t="e">
        <f t="shared" si="124"/>
        <v>#REF!</v>
      </c>
      <c r="AH165" t="e">
        <f t="shared" si="125"/>
        <v>#REF!</v>
      </c>
      <c r="AI165" t="e">
        <f t="shared" si="126"/>
        <v>#REF!</v>
      </c>
      <c r="AJ165" t="e">
        <f t="shared" si="127"/>
        <v>#REF!</v>
      </c>
      <c r="AK165" t="e">
        <f t="shared" si="128"/>
        <v>#REF!</v>
      </c>
      <c r="AN165" t="e">
        <f>Reflection!A165</f>
        <v>#REF!</v>
      </c>
      <c r="AO165" t="s">
        <v>13</v>
      </c>
      <c r="AP165" t="e">
        <f t="shared" si="129"/>
        <v>#REF!</v>
      </c>
      <c r="AQ165" t="e">
        <f t="shared" si="130"/>
        <v>#REF!</v>
      </c>
      <c r="AR165" t="e">
        <f t="shared" si="131"/>
        <v>#REF!</v>
      </c>
      <c r="AS165" t="e">
        <f t="shared" si="132"/>
        <v>#REF!</v>
      </c>
      <c r="AT165" t="e">
        <f t="shared" si="133"/>
        <v>#REF!</v>
      </c>
      <c r="AU165" t="e">
        <f t="shared" si="134"/>
        <v>#REF!</v>
      </c>
      <c r="AX165" t="e">
        <f>Reflection!A165</f>
        <v>#REF!</v>
      </c>
      <c r="AY165" t="s">
        <v>13</v>
      </c>
      <c r="AZ165" t="e">
        <f t="shared" si="135"/>
        <v>#REF!</v>
      </c>
      <c r="BA165" t="e">
        <f t="shared" si="136"/>
        <v>#REF!</v>
      </c>
      <c r="BB165" t="e">
        <f t="shared" si="137"/>
        <v>#REF!</v>
      </c>
      <c r="BC165" t="e">
        <f t="shared" si="138"/>
        <v>#REF!</v>
      </c>
      <c r="BD165" t="e">
        <f t="shared" si="139"/>
        <v>#REF!</v>
      </c>
      <c r="BE165" t="e">
        <f t="shared" si="140"/>
        <v>#REF!</v>
      </c>
      <c r="BH165" t="e">
        <f>Reflection!A165</f>
        <v>#REF!</v>
      </c>
      <c r="BI165" t="e">
        <f t="shared" si="141"/>
        <v>#REF!</v>
      </c>
      <c r="BJ165" t="e">
        <f t="shared" si="142"/>
        <v>#REF!</v>
      </c>
      <c r="BK165" t="e">
        <f t="shared" si="143"/>
        <v>#REF!</v>
      </c>
      <c r="BL165" t="e">
        <f t="shared" si="144"/>
        <v>#REF!</v>
      </c>
      <c r="BM165" t="e">
        <f t="shared" si="145"/>
        <v>#REF!</v>
      </c>
      <c r="BN165" t="e">
        <f t="shared" si="146"/>
        <v>#REF!</v>
      </c>
      <c r="BR165" t="e">
        <f>Reflection!A165</f>
        <v>#REF!</v>
      </c>
      <c r="BS165" t="s">
        <v>13</v>
      </c>
      <c r="BT165" t="e">
        <f t="shared" si="147"/>
        <v>#REF!</v>
      </c>
      <c r="BU165" t="e">
        <f t="shared" si="155"/>
        <v>#REF!</v>
      </c>
      <c r="BV165" t="e">
        <f t="shared" si="148"/>
        <v>#REF!</v>
      </c>
      <c r="BW165" t="e">
        <f t="shared" si="149"/>
        <v>#REF!</v>
      </c>
      <c r="BX165" t="e">
        <f t="shared" si="150"/>
        <v>#REF!</v>
      </c>
      <c r="BY165" t="e">
        <f t="shared" si="151"/>
        <v>#REF!</v>
      </c>
    </row>
    <row r="166" spans="1:77" x14ac:dyDescent="0.15">
      <c r="A166" t="e">
        <f>Reflection!A166</f>
        <v>#REF!</v>
      </c>
      <c r="B166" t="e">
        <f t="shared" si="152"/>
        <v>#REF!</v>
      </c>
      <c r="C166" t="e">
        <f t="shared" si="153"/>
        <v>#REF!</v>
      </c>
      <c r="D166" t="e">
        <f t="shared" si="108"/>
        <v>#REF!</v>
      </c>
      <c r="E166" t="e">
        <f t="shared" si="109"/>
        <v>#REF!</v>
      </c>
      <c r="F166" t="e">
        <f t="shared" si="110"/>
        <v>#REF!</v>
      </c>
      <c r="G166" t="e">
        <f t="shared" si="154"/>
        <v>#REF!</v>
      </c>
      <c r="J166" t="e">
        <f>Reflection!A166</f>
        <v>#REF!</v>
      </c>
      <c r="K166" t="s">
        <v>13</v>
      </c>
      <c r="L166" t="e">
        <f t="shared" si="111"/>
        <v>#REF!</v>
      </c>
      <c r="M166" t="e">
        <f t="shared" si="112"/>
        <v>#REF!</v>
      </c>
      <c r="N166" t="e">
        <f t="shared" si="113"/>
        <v>#REF!</v>
      </c>
      <c r="O166" t="e">
        <f t="shared" si="114"/>
        <v>#REF!</v>
      </c>
      <c r="P166" t="e">
        <f t="shared" si="115"/>
        <v>#REF!</v>
      </c>
      <c r="Q166" t="e">
        <f t="shared" si="116"/>
        <v>#REF!</v>
      </c>
      <c r="T166" t="e">
        <f>Reflection!A166</f>
        <v>#REF!</v>
      </c>
      <c r="U166" t="s">
        <v>13</v>
      </c>
      <c r="V166" t="e">
        <f t="shared" si="117"/>
        <v>#REF!</v>
      </c>
      <c r="W166" t="e">
        <f t="shared" si="118"/>
        <v>#REF!</v>
      </c>
      <c r="X166" t="e">
        <f t="shared" si="119"/>
        <v>#REF!</v>
      </c>
      <c r="Y166" t="e">
        <f t="shared" si="120"/>
        <v>#REF!</v>
      </c>
      <c r="Z166" t="e">
        <f t="shared" si="121"/>
        <v>#REF!</v>
      </c>
      <c r="AA166" t="e">
        <f t="shared" si="122"/>
        <v>#REF!</v>
      </c>
      <c r="AD166" t="e">
        <f>Reflection!A166</f>
        <v>#REF!</v>
      </c>
      <c r="AE166" t="s">
        <v>13</v>
      </c>
      <c r="AF166" t="e">
        <f t="shared" si="123"/>
        <v>#REF!</v>
      </c>
      <c r="AG166" t="e">
        <f t="shared" si="124"/>
        <v>#REF!</v>
      </c>
      <c r="AH166" t="e">
        <f t="shared" si="125"/>
        <v>#REF!</v>
      </c>
      <c r="AI166" t="e">
        <f t="shared" si="126"/>
        <v>#REF!</v>
      </c>
      <c r="AJ166" t="e">
        <f t="shared" si="127"/>
        <v>#REF!</v>
      </c>
      <c r="AK166" t="e">
        <f t="shared" si="128"/>
        <v>#REF!</v>
      </c>
      <c r="AN166" t="e">
        <f>Reflection!A166</f>
        <v>#REF!</v>
      </c>
      <c r="AO166" t="s">
        <v>13</v>
      </c>
      <c r="AP166" t="e">
        <f t="shared" si="129"/>
        <v>#REF!</v>
      </c>
      <c r="AQ166" t="e">
        <f t="shared" si="130"/>
        <v>#REF!</v>
      </c>
      <c r="AR166" t="e">
        <f t="shared" si="131"/>
        <v>#REF!</v>
      </c>
      <c r="AS166" t="e">
        <f t="shared" si="132"/>
        <v>#REF!</v>
      </c>
      <c r="AT166" t="e">
        <f t="shared" si="133"/>
        <v>#REF!</v>
      </c>
      <c r="AU166" t="e">
        <f t="shared" si="134"/>
        <v>#REF!</v>
      </c>
      <c r="AX166" t="e">
        <f>Reflection!A166</f>
        <v>#REF!</v>
      </c>
      <c r="AY166" t="s">
        <v>13</v>
      </c>
      <c r="AZ166" t="e">
        <f t="shared" si="135"/>
        <v>#REF!</v>
      </c>
      <c r="BA166" t="e">
        <f t="shared" si="136"/>
        <v>#REF!</v>
      </c>
      <c r="BB166" t="e">
        <f t="shared" si="137"/>
        <v>#REF!</v>
      </c>
      <c r="BC166" t="e">
        <f t="shared" si="138"/>
        <v>#REF!</v>
      </c>
      <c r="BD166" t="e">
        <f t="shared" si="139"/>
        <v>#REF!</v>
      </c>
      <c r="BE166" t="e">
        <f t="shared" si="140"/>
        <v>#REF!</v>
      </c>
      <c r="BH166" t="e">
        <f>Reflection!A166</f>
        <v>#REF!</v>
      </c>
      <c r="BI166" t="e">
        <f t="shared" si="141"/>
        <v>#REF!</v>
      </c>
      <c r="BJ166" t="e">
        <f t="shared" si="142"/>
        <v>#REF!</v>
      </c>
      <c r="BK166" t="e">
        <f t="shared" si="143"/>
        <v>#REF!</v>
      </c>
      <c r="BL166" t="e">
        <f t="shared" si="144"/>
        <v>#REF!</v>
      </c>
      <c r="BM166" t="e">
        <f t="shared" si="145"/>
        <v>#REF!</v>
      </c>
      <c r="BN166" t="e">
        <f t="shared" si="146"/>
        <v>#REF!</v>
      </c>
      <c r="BR166" t="e">
        <f>Reflection!A166</f>
        <v>#REF!</v>
      </c>
      <c r="BS166" t="s">
        <v>13</v>
      </c>
      <c r="BT166" t="e">
        <f t="shared" si="147"/>
        <v>#REF!</v>
      </c>
      <c r="BU166" t="e">
        <f t="shared" si="155"/>
        <v>#REF!</v>
      </c>
      <c r="BV166" t="e">
        <f t="shared" si="148"/>
        <v>#REF!</v>
      </c>
      <c r="BW166" t="e">
        <f t="shared" si="149"/>
        <v>#REF!</v>
      </c>
      <c r="BX166" t="e">
        <f t="shared" si="150"/>
        <v>#REF!</v>
      </c>
      <c r="BY166" t="e">
        <f t="shared" si="151"/>
        <v>#REF!</v>
      </c>
    </row>
    <row r="167" spans="1:77" x14ac:dyDescent="0.15">
      <c r="A167" t="e">
        <f>Reflection!A167</f>
        <v>#REF!</v>
      </c>
      <c r="B167" t="e">
        <f t="shared" si="152"/>
        <v>#REF!</v>
      </c>
      <c r="C167" t="e">
        <f t="shared" si="153"/>
        <v>#REF!</v>
      </c>
      <c r="D167" t="e">
        <f t="shared" si="108"/>
        <v>#REF!</v>
      </c>
      <c r="E167" t="e">
        <f t="shared" si="109"/>
        <v>#REF!</v>
      </c>
      <c r="F167" t="e">
        <f t="shared" si="110"/>
        <v>#REF!</v>
      </c>
      <c r="G167" t="e">
        <f t="shared" si="154"/>
        <v>#REF!</v>
      </c>
      <c r="J167" t="e">
        <f>Reflection!A167</f>
        <v>#REF!</v>
      </c>
      <c r="K167" t="s">
        <v>13</v>
      </c>
      <c r="L167" t="e">
        <f t="shared" si="111"/>
        <v>#REF!</v>
      </c>
      <c r="M167" t="e">
        <f t="shared" si="112"/>
        <v>#REF!</v>
      </c>
      <c r="N167" t="e">
        <f t="shared" si="113"/>
        <v>#REF!</v>
      </c>
      <c r="O167" t="e">
        <f t="shared" si="114"/>
        <v>#REF!</v>
      </c>
      <c r="P167" t="e">
        <f t="shared" si="115"/>
        <v>#REF!</v>
      </c>
      <c r="Q167" t="e">
        <f t="shared" si="116"/>
        <v>#REF!</v>
      </c>
      <c r="T167" t="e">
        <f>Reflection!A167</f>
        <v>#REF!</v>
      </c>
      <c r="U167" t="s">
        <v>13</v>
      </c>
      <c r="V167" t="e">
        <f t="shared" si="117"/>
        <v>#REF!</v>
      </c>
      <c r="W167" t="e">
        <f t="shared" si="118"/>
        <v>#REF!</v>
      </c>
      <c r="X167" t="e">
        <f t="shared" si="119"/>
        <v>#REF!</v>
      </c>
      <c r="Y167" t="e">
        <f t="shared" si="120"/>
        <v>#REF!</v>
      </c>
      <c r="Z167" t="e">
        <f t="shared" si="121"/>
        <v>#REF!</v>
      </c>
      <c r="AA167" t="e">
        <f t="shared" si="122"/>
        <v>#REF!</v>
      </c>
      <c r="AD167" t="e">
        <f>Reflection!A167</f>
        <v>#REF!</v>
      </c>
      <c r="AE167" t="s">
        <v>13</v>
      </c>
      <c r="AF167" t="e">
        <f t="shared" si="123"/>
        <v>#REF!</v>
      </c>
      <c r="AG167" t="e">
        <f t="shared" si="124"/>
        <v>#REF!</v>
      </c>
      <c r="AH167" t="e">
        <f t="shared" si="125"/>
        <v>#REF!</v>
      </c>
      <c r="AI167" t="e">
        <f t="shared" si="126"/>
        <v>#REF!</v>
      </c>
      <c r="AJ167" t="e">
        <f t="shared" si="127"/>
        <v>#REF!</v>
      </c>
      <c r="AK167" t="e">
        <f t="shared" si="128"/>
        <v>#REF!</v>
      </c>
      <c r="AN167" t="e">
        <f>Reflection!A167</f>
        <v>#REF!</v>
      </c>
      <c r="AO167" t="s">
        <v>13</v>
      </c>
      <c r="AP167" t="e">
        <f t="shared" si="129"/>
        <v>#REF!</v>
      </c>
      <c r="AQ167" t="e">
        <f t="shared" si="130"/>
        <v>#REF!</v>
      </c>
      <c r="AR167" t="e">
        <f t="shared" si="131"/>
        <v>#REF!</v>
      </c>
      <c r="AS167" t="e">
        <f t="shared" si="132"/>
        <v>#REF!</v>
      </c>
      <c r="AT167" t="e">
        <f t="shared" si="133"/>
        <v>#REF!</v>
      </c>
      <c r="AU167" t="e">
        <f t="shared" si="134"/>
        <v>#REF!</v>
      </c>
      <c r="AX167" t="e">
        <f>Reflection!A167</f>
        <v>#REF!</v>
      </c>
      <c r="AY167" t="s">
        <v>13</v>
      </c>
      <c r="AZ167" t="e">
        <f t="shared" si="135"/>
        <v>#REF!</v>
      </c>
      <c r="BA167" t="e">
        <f t="shared" si="136"/>
        <v>#REF!</v>
      </c>
      <c r="BB167" t="e">
        <f t="shared" si="137"/>
        <v>#REF!</v>
      </c>
      <c r="BC167" t="e">
        <f t="shared" si="138"/>
        <v>#REF!</v>
      </c>
      <c r="BD167" t="e">
        <f t="shared" si="139"/>
        <v>#REF!</v>
      </c>
      <c r="BE167" t="e">
        <f t="shared" si="140"/>
        <v>#REF!</v>
      </c>
      <c r="BH167" t="e">
        <f>Reflection!A167</f>
        <v>#REF!</v>
      </c>
      <c r="BI167" t="e">
        <f t="shared" si="141"/>
        <v>#REF!</v>
      </c>
      <c r="BJ167" t="e">
        <f t="shared" si="142"/>
        <v>#REF!</v>
      </c>
      <c r="BK167" t="e">
        <f t="shared" si="143"/>
        <v>#REF!</v>
      </c>
      <c r="BL167" t="e">
        <f t="shared" si="144"/>
        <v>#REF!</v>
      </c>
      <c r="BM167" t="e">
        <f t="shared" si="145"/>
        <v>#REF!</v>
      </c>
      <c r="BN167" t="e">
        <f t="shared" si="146"/>
        <v>#REF!</v>
      </c>
      <c r="BR167" t="e">
        <f>Reflection!A167</f>
        <v>#REF!</v>
      </c>
      <c r="BS167" t="s">
        <v>13</v>
      </c>
      <c r="BT167" t="e">
        <f t="shared" si="147"/>
        <v>#REF!</v>
      </c>
      <c r="BU167" t="e">
        <f t="shared" si="155"/>
        <v>#REF!</v>
      </c>
      <c r="BV167" t="e">
        <f t="shared" si="148"/>
        <v>#REF!</v>
      </c>
      <c r="BW167" t="e">
        <f t="shared" si="149"/>
        <v>#REF!</v>
      </c>
      <c r="BX167" t="e">
        <f t="shared" si="150"/>
        <v>#REF!</v>
      </c>
      <c r="BY167" t="e">
        <f t="shared" si="151"/>
        <v>#REF!</v>
      </c>
    </row>
    <row r="168" spans="1:77" x14ac:dyDescent="0.15">
      <c r="A168" t="e">
        <f>Reflection!A168</f>
        <v>#REF!</v>
      </c>
      <c r="B168" t="e">
        <f t="shared" si="152"/>
        <v>#REF!</v>
      </c>
      <c r="C168" t="e">
        <f t="shared" si="153"/>
        <v>#REF!</v>
      </c>
      <c r="D168" t="e">
        <f t="shared" si="108"/>
        <v>#REF!</v>
      </c>
      <c r="E168" t="e">
        <f t="shared" si="109"/>
        <v>#REF!</v>
      </c>
      <c r="F168" t="e">
        <f t="shared" si="110"/>
        <v>#REF!</v>
      </c>
      <c r="G168" t="e">
        <f t="shared" si="154"/>
        <v>#REF!</v>
      </c>
      <c r="J168" t="e">
        <f>Reflection!A168</f>
        <v>#REF!</v>
      </c>
      <c r="K168" t="s">
        <v>13</v>
      </c>
      <c r="L168" t="e">
        <f t="shared" si="111"/>
        <v>#REF!</v>
      </c>
      <c r="M168" t="e">
        <f t="shared" si="112"/>
        <v>#REF!</v>
      </c>
      <c r="N168" t="e">
        <f t="shared" si="113"/>
        <v>#REF!</v>
      </c>
      <c r="O168" t="e">
        <f t="shared" si="114"/>
        <v>#REF!</v>
      </c>
      <c r="P168" t="e">
        <f t="shared" si="115"/>
        <v>#REF!</v>
      </c>
      <c r="Q168" t="e">
        <f t="shared" si="116"/>
        <v>#REF!</v>
      </c>
      <c r="T168" t="e">
        <f>Reflection!A168</f>
        <v>#REF!</v>
      </c>
      <c r="U168" t="s">
        <v>13</v>
      </c>
      <c r="V168" t="e">
        <f t="shared" si="117"/>
        <v>#REF!</v>
      </c>
      <c r="W168" t="e">
        <f t="shared" si="118"/>
        <v>#REF!</v>
      </c>
      <c r="X168" t="e">
        <f t="shared" si="119"/>
        <v>#REF!</v>
      </c>
      <c r="Y168" t="e">
        <f t="shared" si="120"/>
        <v>#REF!</v>
      </c>
      <c r="Z168" t="e">
        <f t="shared" si="121"/>
        <v>#REF!</v>
      </c>
      <c r="AA168" t="e">
        <f t="shared" si="122"/>
        <v>#REF!</v>
      </c>
      <c r="AD168" t="e">
        <f>Reflection!A168</f>
        <v>#REF!</v>
      </c>
      <c r="AE168" t="s">
        <v>13</v>
      </c>
      <c r="AF168" t="e">
        <f t="shared" si="123"/>
        <v>#REF!</v>
      </c>
      <c r="AG168" t="e">
        <f t="shared" si="124"/>
        <v>#REF!</v>
      </c>
      <c r="AH168" t="e">
        <f t="shared" si="125"/>
        <v>#REF!</v>
      </c>
      <c r="AI168" t="e">
        <f t="shared" si="126"/>
        <v>#REF!</v>
      </c>
      <c r="AJ168" t="e">
        <f t="shared" si="127"/>
        <v>#REF!</v>
      </c>
      <c r="AK168" t="e">
        <f t="shared" si="128"/>
        <v>#REF!</v>
      </c>
      <c r="AN168" t="e">
        <f>Reflection!A168</f>
        <v>#REF!</v>
      </c>
      <c r="AO168" t="s">
        <v>13</v>
      </c>
      <c r="AP168" t="e">
        <f t="shared" si="129"/>
        <v>#REF!</v>
      </c>
      <c r="AQ168" t="e">
        <f t="shared" si="130"/>
        <v>#REF!</v>
      </c>
      <c r="AR168" t="e">
        <f t="shared" si="131"/>
        <v>#REF!</v>
      </c>
      <c r="AS168" t="e">
        <f t="shared" si="132"/>
        <v>#REF!</v>
      </c>
      <c r="AT168" t="e">
        <f t="shared" si="133"/>
        <v>#REF!</v>
      </c>
      <c r="AU168" t="e">
        <f t="shared" si="134"/>
        <v>#REF!</v>
      </c>
      <c r="AX168" t="e">
        <f>Reflection!A168</f>
        <v>#REF!</v>
      </c>
      <c r="AY168" t="s">
        <v>13</v>
      </c>
      <c r="AZ168" t="e">
        <f t="shared" si="135"/>
        <v>#REF!</v>
      </c>
      <c r="BA168" t="e">
        <f t="shared" si="136"/>
        <v>#REF!</v>
      </c>
      <c r="BB168" t="e">
        <f t="shared" si="137"/>
        <v>#REF!</v>
      </c>
      <c r="BC168" t="e">
        <f t="shared" si="138"/>
        <v>#REF!</v>
      </c>
      <c r="BD168" t="e">
        <f t="shared" si="139"/>
        <v>#REF!</v>
      </c>
      <c r="BE168" t="e">
        <f t="shared" si="140"/>
        <v>#REF!</v>
      </c>
      <c r="BH168" t="e">
        <f>Reflection!A168</f>
        <v>#REF!</v>
      </c>
      <c r="BI168" t="e">
        <f t="shared" si="141"/>
        <v>#REF!</v>
      </c>
      <c r="BJ168" t="e">
        <f t="shared" si="142"/>
        <v>#REF!</v>
      </c>
      <c r="BK168" t="e">
        <f t="shared" si="143"/>
        <v>#REF!</v>
      </c>
      <c r="BL168" t="e">
        <f t="shared" si="144"/>
        <v>#REF!</v>
      </c>
      <c r="BM168" t="e">
        <f t="shared" si="145"/>
        <v>#REF!</v>
      </c>
      <c r="BN168" t="e">
        <f t="shared" si="146"/>
        <v>#REF!</v>
      </c>
      <c r="BR168" t="e">
        <f>Reflection!A168</f>
        <v>#REF!</v>
      </c>
      <c r="BS168" t="s">
        <v>13</v>
      </c>
      <c r="BT168" t="e">
        <f t="shared" si="147"/>
        <v>#REF!</v>
      </c>
      <c r="BU168" t="e">
        <f t="shared" si="155"/>
        <v>#REF!</v>
      </c>
      <c r="BV168" t="e">
        <f t="shared" si="148"/>
        <v>#REF!</v>
      </c>
      <c r="BW168" t="e">
        <f t="shared" si="149"/>
        <v>#REF!</v>
      </c>
      <c r="BX168" t="e">
        <f t="shared" si="150"/>
        <v>#REF!</v>
      </c>
      <c r="BY168" t="e">
        <f t="shared" si="151"/>
        <v>#REF!</v>
      </c>
    </row>
    <row r="169" spans="1:77" x14ac:dyDescent="0.15">
      <c r="A169" t="e">
        <f>Reflection!A169</f>
        <v>#REF!</v>
      </c>
      <c r="B169" t="e">
        <f t="shared" si="152"/>
        <v>#REF!</v>
      </c>
      <c r="C169" t="e">
        <f t="shared" si="153"/>
        <v>#REF!</v>
      </c>
      <c r="D169" t="e">
        <f t="shared" si="108"/>
        <v>#REF!</v>
      </c>
      <c r="E169" t="e">
        <f t="shared" si="109"/>
        <v>#REF!</v>
      </c>
      <c r="F169" t="e">
        <f t="shared" si="110"/>
        <v>#REF!</v>
      </c>
      <c r="G169" t="e">
        <f t="shared" si="154"/>
        <v>#REF!</v>
      </c>
      <c r="J169" t="e">
        <f>Reflection!A169</f>
        <v>#REF!</v>
      </c>
      <c r="K169" t="s">
        <v>13</v>
      </c>
      <c r="L169" t="e">
        <f t="shared" si="111"/>
        <v>#REF!</v>
      </c>
      <c r="M169" t="e">
        <f t="shared" si="112"/>
        <v>#REF!</v>
      </c>
      <c r="N169" t="e">
        <f t="shared" si="113"/>
        <v>#REF!</v>
      </c>
      <c r="O169" t="e">
        <f t="shared" si="114"/>
        <v>#REF!</v>
      </c>
      <c r="P169" t="e">
        <f t="shared" si="115"/>
        <v>#REF!</v>
      </c>
      <c r="Q169" t="e">
        <f t="shared" si="116"/>
        <v>#REF!</v>
      </c>
      <c r="T169" t="e">
        <f>Reflection!A169</f>
        <v>#REF!</v>
      </c>
      <c r="U169" t="s">
        <v>13</v>
      </c>
      <c r="V169" t="e">
        <f t="shared" si="117"/>
        <v>#REF!</v>
      </c>
      <c r="W169" t="e">
        <f t="shared" si="118"/>
        <v>#REF!</v>
      </c>
      <c r="X169" t="e">
        <f t="shared" si="119"/>
        <v>#REF!</v>
      </c>
      <c r="Y169" t="e">
        <f t="shared" si="120"/>
        <v>#REF!</v>
      </c>
      <c r="Z169" t="e">
        <f t="shared" si="121"/>
        <v>#REF!</v>
      </c>
      <c r="AA169" t="e">
        <f t="shared" si="122"/>
        <v>#REF!</v>
      </c>
      <c r="AD169" t="e">
        <f>Reflection!A169</f>
        <v>#REF!</v>
      </c>
      <c r="AE169" t="s">
        <v>13</v>
      </c>
      <c r="AF169" t="e">
        <f t="shared" si="123"/>
        <v>#REF!</v>
      </c>
      <c r="AG169" t="e">
        <f t="shared" si="124"/>
        <v>#REF!</v>
      </c>
      <c r="AH169" t="e">
        <f t="shared" si="125"/>
        <v>#REF!</v>
      </c>
      <c r="AI169" t="e">
        <f t="shared" si="126"/>
        <v>#REF!</v>
      </c>
      <c r="AJ169" t="e">
        <f t="shared" si="127"/>
        <v>#REF!</v>
      </c>
      <c r="AK169" t="e">
        <f t="shared" si="128"/>
        <v>#REF!</v>
      </c>
      <c r="AN169" t="e">
        <f>Reflection!A169</f>
        <v>#REF!</v>
      </c>
      <c r="AO169" t="s">
        <v>13</v>
      </c>
      <c r="AP169" t="e">
        <f t="shared" si="129"/>
        <v>#REF!</v>
      </c>
      <c r="AQ169" t="e">
        <f t="shared" si="130"/>
        <v>#REF!</v>
      </c>
      <c r="AR169" t="e">
        <f t="shared" si="131"/>
        <v>#REF!</v>
      </c>
      <c r="AS169" t="e">
        <f t="shared" si="132"/>
        <v>#REF!</v>
      </c>
      <c r="AT169" t="e">
        <f t="shared" si="133"/>
        <v>#REF!</v>
      </c>
      <c r="AU169" t="e">
        <f t="shared" si="134"/>
        <v>#REF!</v>
      </c>
      <c r="AX169" t="e">
        <f>Reflection!A169</f>
        <v>#REF!</v>
      </c>
      <c r="AY169" t="s">
        <v>13</v>
      </c>
      <c r="AZ169" t="e">
        <f t="shared" si="135"/>
        <v>#REF!</v>
      </c>
      <c r="BA169" t="e">
        <f t="shared" si="136"/>
        <v>#REF!</v>
      </c>
      <c r="BB169" t="e">
        <f t="shared" si="137"/>
        <v>#REF!</v>
      </c>
      <c r="BC169" t="e">
        <f t="shared" si="138"/>
        <v>#REF!</v>
      </c>
      <c r="BD169" t="e">
        <f t="shared" si="139"/>
        <v>#REF!</v>
      </c>
      <c r="BE169" t="e">
        <f t="shared" si="140"/>
        <v>#REF!</v>
      </c>
      <c r="BH169" t="e">
        <f>Reflection!A169</f>
        <v>#REF!</v>
      </c>
      <c r="BI169" t="e">
        <f t="shared" si="141"/>
        <v>#REF!</v>
      </c>
      <c r="BJ169" t="e">
        <f t="shared" si="142"/>
        <v>#REF!</v>
      </c>
      <c r="BK169" t="e">
        <f t="shared" si="143"/>
        <v>#REF!</v>
      </c>
      <c r="BL169" t="e">
        <f t="shared" si="144"/>
        <v>#REF!</v>
      </c>
      <c r="BM169" t="e">
        <f t="shared" si="145"/>
        <v>#REF!</v>
      </c>
      <c r="BN169" t="e">
        <f t="shared" si="146"/>
        <v>#REF!</v>
      </c>
      <c r="BR169" t="e">
        <f>Reflection!A169</f>
        <v>#REF!</v>
      </c>
      <c r="BS169" t="s">
        <v>13</v>
      </c>
      <c r="BT169" t="e">
        <f t="shared" si="147"/>
        <v>#REF!</v>
      </c>
      <c r="BU169" t="e">
        <f t="shared" si="155"/>
        <v>#REF!</v>
      </c>
      <c r="BV169" t="e">
        <f t="shared" si="148"/>
        <v>#REF!</v>
      </c>
      <c r="BW169" t="e">
        <f t="shared" si="149"/>
        <v>#REF!</v>
      </c>
      <c r="BX169" t="e">
        <f t="shared" si="150"/>
        <v>#REF!</v>
      </c>
      <c r="BY169" t="e">
        <f t="shared" si="151"/>
        <v>#REF!</v>
      </c>
    </row>
    <row r="170" spans="1:77" x14ac:dyDescent="0.15">
      <c r="A170" t="e">
        <f>Reflection!A170</f>
        <v>#REF!</v>
      </c>
      <c r="B170" t="e">
        <f t="shared" si="152"/>
        <v>#REF!</v>
      </c>
      <c r="C170" t="e">
        <f t="shared" si="153"/>
        <v>#REF!</v>
      </c>
      <c r="D170" t="e">
        <f t="shared" si="108"/>
        <v>#REF!</v>
      </c>
      <c r="E170" t="e">
        <f t="shared" si="109"/>
        <v>#REF!</v>
      </c>
      <c r="F170" t="e">
        <f t="shared" si="110"/>
        <v>#REF!</v>
      </c>
      <c r="G170" t="e">
        <f t="shared" si="154"/>
        <v>#REF!</v>
      </c>
      <c r="J170" t="e">
        <f>Reflection!A170</f>
        <v>#REF!</v>
      </c>
      <c r="K170" t="s">
        <v>13</v>
      </c>
      <c r="L170" t="e">
        <f t="shared" si="111"/>
        <v>#REF!</v>
      </c>
      <c r="M170" t="e">
        <f t="shared" si="112"/>
        <v>#REF!</v>
      </c>
      <c r="N170" t="e">
        <f t="shared" si="113"/>
        <v>#REF!</v>
      </c>
      <c r="O170" t="e">
        <f t="shared" si="114"/>
        <v>#REF!</v>
      </c>
      <c r="P170" t="e">
        <f t="shared" si="115"/>
        <v>#REF!</v>
      </c>
      <c r="Q170" t="e">
        <f t="shared" si="116"/>
        <v>#REF!</v>
      </c>
      <c r="T170" t="e">
        <f>Reflection!A170</f>
        <v>#REF!</v>
      </c>
      <c r="U170" t="s">
        <v>13</v>
      </c>
      <c r="V170" t="e">
        <f t="shared" si="117"/>
        <v>#REF!</v>
      </c>
      <c r="W170" t="e">
        <f t="shared" si="118"/>
        <v>#REF!</v>
      </c>
      <c r="X170" t="e">
        <f t="shared" si="119"/>
        <v>#REF!</v>
      </c>
      <c r="Y170" t="e">
        <f t="shared" si="120"/>
        <v>#REF!</v>
      </c>
      <c r="Z170" t="e">
        <f t="shared" si="121"/>
        <v>#REF!</v>
      </c>
      <c r="AA170" t="e">
        <f t="shared" si="122"/>
        <v>#REF!</v>
      </c>
      <c r="AD170" t="e">
        <f>Reflection!A170</f>
        <v>#REF!</v>
      </c>
      <c r="AE170" t="s">
        <v>13</v>
      </c>
      <c r="AF170" t="e">
        <f t="shared" si="123"/>
        <v>#REF!</v>
      </c>
      <c r="AG170" t="e">
        <f t="shared" si="124"/>
        <v>#REF!</v>
      </c>
      <c r="AH170" t="e">
        <f t="shared" si="125"/>
        <v>#REF!</v>
      </c>
      <c r="AI170" t="e">
        <f t="shared" si="126"/>
        <v>#REF!</v>
      </c>
      <c r="AJ170" t="e">
        <f t="shared" si="127"/>
        <v>#REF!</v>
      </c>
      <c r="AK170" t="e">
        <f t="shared" si="128"/>
        <v>#REF!</v>
      </c>
      <c r="AN170" t="e">
        <f>Reflection!A170</f>
        <v>#REF!</v>
      </c>
      <c r="AO170" t="s">
        <v>13</v>
      </c>
      <c r="AP170" t="e">
        <f t="shared" si="129"/>
        <v>#REF!</v>
      </c>
      <c r="AQ170" t="e">
        <f t="shared" si="130"/>
        <v>#REF!</v>
      </c>
      <c r="AR170" t="e">
        <f t="shared" si="131"/>
        <v>#REF!</v>
      </c>
      <c r="AS170" t="e">
        <f t="shared" si="132"/>
        <v>#REF!</v>
      </c>
      <c r="AT170" t="e">
        <f t="shared" si="133"/>
        <v>#REF!</v>
      </c>
      <c r="AU170" t="e">
        <f t="shared" si="134"/>
        <v>#REF!</v>
      </c>
      <c r="AX170" t="e">
        <f>Reflection!A170</f>
        <v>#REF!</v>
      </c>
      <c r="AY170" t="s">
        <v>13</v>
      </c>
      <c r="AZ170" t="e">
        <f t="shared" si="135"/>
        <v>#REF!</v>
      </c>
      <c r="BA170" t="e">
        <f t="shared" si="136"/>
        <v>#REF!</v>
      </c>
      <c r="BB170" t="e">
        <f t="shared" si="137"/>
        <v>#REF!</v>
      </c>
      <c r="BC170" t="e">
        <f t="shared" si="138"/>
        <v>#REF!</v>
      </c>
      <c r="BD170" t="e">
        <f t="shared" si="139"/>
        <v>#REF!</v>
      </c>
      <c r="BE170" t="e">
        <f t="shared" si="140"/>
        <v>#REF!</v>
      </c>
      <c r="BH170" t="e">
        <f>Reflection!A170</f>
        <v>#REF!</v>
      </c>
      <c r="BI170" t="e">
        <f t="shared" si="141"/>
        <v>#REF!</v>
      </c>
      <c r="BJ170" t="e">
        <f t="shared" si="142"/>
        <v>#REF!</v>
      </c>
      <c r="BK170" t="e">
        <f t="shared" si="143"/>
        <v>#REF!</v>
      </c>
      <c r="BL170" t="e">
        <f t="shared" si="144"/>
        <v>#REF!</v>
      </c>
      <c r="BM170" t="e">
        <f t="shared" si="145"/>
        <v>#REF!</v>
      </c>
      <c r="BN170" t="e">
        <f t="shared" si="146"/>
        <v>#REF!</v>
      </c>
      <c r="BR170" t="e">
        <f>Reflection!A170</f>
        <v>#REF!</v>
      </c>
      <c r="BS170" t="s">
        <v>13</v>
      </c>
      <c r="BT170" t="e">
        <f t="shared" si="147"/>
        <v>#REF!</v>
      </c>
      <c r="BU170" t="e">
        <f t="shared" si="155"/>
        <v>#REF!</v>
      </c>
      <c r="BV170" t="e">
        <f t="shared" si="148"/>
        <v>#REF!</v>
      </c>
      <c r="BW170" t="e">
        <f t="shared" si="149"/>
        <v>#REF!</v>
      </c>
      <c r="BX170" t="e">
        <f t="shared" si="150"/>
        <v>#REF!</v>
      </c>
      <c r="BY170" t="e">
        <f t="shared" si="151"/>
        <v>#REF!</v>
      </c>
    </row>
    <row r="171" spans="1:77" x14ac:dyDescent="0.15">
      <c r="A171" t="e">
        <f>Reflection!A171</f>
        <v>#REF!</v>
      </c>
      <c r="B171" t="e">
        <f t="shared" si="152"/>
        <v>#REF!</v>
      </c>
      <c r="C171" t="e">
        <f t="shared" si="153"/>
        <v>#REF!</v>
      </c>
      <c r="D171" t="e">
        <f t="shared" si="108"/>
        <v>#REF!</v>
      </c>
      <c r="E171" t="e">
        <f t="shared" si="109"/>
        <v>#REF!</v>
      </c>
      <c r="F171" t="e">
        <f t="shared" si="110"/>
        <v>#REF!</v>
      </c>
      <c r="G171" t="e">
        <f t="shared" si="154"/>
        <v>#REF!</v>
      </c>
      <c r="J171" t="e">
        <f>Reflection!A171</f>
        <v>#REF!</v>
      </c>
      <c r="K171" t="s">
        <v>13</v>
      </c>
      <c r="L171" t="e">
        <f t="shared" si="111"/>
        <v>#REF!</v>
      </c>
      <c r="M171" t="e">
        <f t="shared" si="112"/>
        <v>#REF!</v>
      </c>
      <c r="N171" t="e">
        <f t="shared" si="113"/>
        <v>#REF!</v>
      </c>
      <c r="O171" t="e">
        <f t="shared" si="114"/>
        <v>#REF!</v>
      </c>
      <c r="P171" t="e">
        <f t="shared" si="115"/>
        <v>#REF!</v>
      </c>
      <c r="Q171" t="e">
        <f t="shared" si="116"/>
        <v>#REF!</v>
      </c>
      <c r="T171" t="e">
        <f>Reflection!A171</f>
        <v>#REF!</v>
      </c>
      <c r="U171" t="s">
        <v>13</v>
      </c>
      <c r="V171" t="e">
        <f t="shared" si="117"/>
        <v>#REF!</v>
      </c>
      <c r="W171" t="e">
        <f t="shared" si="118"/>
        <v>#REF!</v>
      </c>
      <c r="X171" t="e">
        <f t="shared" si="119"/>
        <v>#REF!</v>
      </c>
      <c r="Y171" t="e">
        <f t="shared" si="120"/>
        <v>#REF!</v>
      </c>
      <c r="Z171" t="e">
        <f t="shared" si="121"/>
        <v>#REF!</v>
      </c>
      <c r="AA171" t="e">
        <f t="shared" si="122"/>
        <v>#REF!</v>
      </c>
      <c r="AD171" t="e">
        <f>Reflection!A171</f>
        <v>#REF!</v>
      </c>
      <c r="AE171" t="s">
        <v>13</v>
      </c>
      <c r="AF171" t="e">
        <f t="shared" si="123"/>
        <v>#REF!</v>
      </c>
      <c r="AG171" t="e">
        <f t="shared" si="124"/>
        <v>#REF!</v>
      </c>
      <c r="AH171" t="e">
        <f t="shared" si="125"/>
        <v>#REF!</v>
      </c>
      <c r="AI171" t="e">
        <f t="shared" si="126"/>
        <v>#REF!</v>
      </c>
      <c r="AJ171" t="e">
        <f t="shared" si="127"/>
        <v>#REF!</v>
      </c>
      <c r="AK171" t="e">
        <f t="shared" si="128"/>
        <v>#REF!</v>
      </c>
      <c r="AN171" t="e">
        <f>Reflection!A171</f>
        <v>#REF!</v>
      </c>
      <c r="AO171" t="s">
        <v>13</v>
      </c>
      <c r="AP171" t="e">
        <f t="shared" si="129"/>
        <v>#REF!</v>
      </c>
      <c r="AQ171" t="e">
        <f t="shared" si="130"/>
        <v>#REF!</v>
      </c>
      <c r="AR171" t="e">
        <f t="shared" si="131"/>
        <v>#REF!</v>
      </c>
      <c r="AS171" t="e">
        <f t="shared" si="132"/>
        <v>#REF!</v>
      </c>
      <c r="AT171" t="e">
        <f t="shared" si="133"/>
        <v>#REF!</v>
      </c>
      <c r="AU171" t="e">
        <f t="shared" si="134"/>
        <v>#REF!</v>
      </c>
      <c r="AX171" t="e">
        <f>Reflection!A171</f>
        <v>#REF!</v>
      </c>
      <c r="AY171" t="s">
        <v>13</v>
      </c>
      <c r="AZ171" t="e">
        <f t="shared" si="135"/>
        <v>#REF!</v>
      </c>
      <c r="BA171" t="e">
        <f t="shared" si="136"/>
        <v>#REF!</v>
      </c>
      <c r="BB171" t="e">
        <f t="shared" si="137"/>
        <v>#REF!</v>
      </c>
      <c r="BC171" t="e">
        <f t="shared" si="138"/>
        <v>#REF!</v>
      </c>
      <c r="BD171" t="e">
        <f t="shared" si="139"/>
        <v>#REF!</v>
      </c>
      <c r="BE171" t="e">
        <f t="shared" si="140"/>
        <v>#REF!</v>
      </c>
      <c r="BH171" t="e">
        <f>Reflection!A171</f>
        <v>#REF!</v>
      </c>
      <c r="BI171" t="e">
        <f t="shared" si="141"/>
        <v>#REF!</v>
      </c>
      <c r="BJ171" t="e">
        <f t="shared" si="142"/>
        <v>#REF!</v>
      </c>
      <c r="BK171" t="e">
        <f t="shared" si="143"/>
        <v>#REF!</v>
      </c>
      <c r="BL171" t="e">
        <f t="shared" si="144"/>
        <v>#REF!</v>
      </c>
      <c r="BM171" t="e">
        <f t="shared" si="145"/>
        <v>#REF!</v>
      </c>
      <c r="BN171" t="e">
        <f t="shared" si="146"/>
        <v>#REF!</v>
      </c>
      <c r="BR171" t="e">
        <f>Reflection!A171</f>
        <v>#REF!</v>
      </c>
      <c r="BS171" t="s">
        <v>13</v>
      </c>
      <c r="BT171" t="e">
        <f t="shared" si="147"/>
        <v>#REF!</v>
      </c>
      <c r="BU171" t="e">
        <f t="shared" si="155"/>
        <v>#REF!</v>
      </c>
      <c r="BV171" t="e">
        <f t="shared" si="148"/>
        <v>#REF!</v>
      </c>
      <c r="BW171" t="e">
        <f t="shared" si="149"/>
        <v>#REF!</v>
      </c>
      <c r="BX171" t="e">
        <f t="shared" si="150"/>
        <v>#REF!</v>
      </c>
      <c r="BY171" t="e">
        <f t="shared" si="151"/>
        <v>#REF!</v>
      </c>
    </row>
    <row r="172" spans="1:77" x14ac:dyDescent="0.15">
      <c r="A172" t="e">
        <f>Reflection!A172</f>
        <v>#REF!</v>
      </c>
      <c r="B172" t="e">
        <f t="shared" si="152"/>
        <v>#REF!</v>
      </c>
      <c r="C172" t="e">
        <f t="shared" si="153"/>
        <v>#REF!</v>
      </c>
      <c r="D172" t="e">
        <f t="shared" si="108"/>
        <v>#REF!</v>
      </c>
      <c r="E172" t="e">
        <f t="shared" si="109"/>
        <v>#REF!</v>
      </c>
      <c r="F172" t="e">
        <f t="shared" si="110"/>
        <v>#REF!</v>
      </c>
      <c r="G172" t="e">
        <f t="shared" si="154"/>
        <v>#REF!</v>
      </c>
      <c r="J172" t="e">
        <f>Reflection!A172</f>
        <v>#REF!</v>
      </c>
      <c r="K172" t="s">
        <v>13</v>
      </c>
      <c r="L172" t="e">
        <f t="shared" si="111"/>
        <v>#REF!</v>
      </c>
      <c r="M172" t="e">
        <f t="shared" si="112"/>
        <v>#REF!</v>
      </c>
      <c r="N172" t="e">
        <f t="shared" si="113"/>
        <v>#REF!</v>
      </c>
      <c r="O172" t="e">
        <f t="shared" si="114"/>
        <v>#REF!</v>
      </c>
      <c r="P172" t="e">
        <f t="shared" si="115"/>
        <v>#REF!</v>
      </c>
      <c r="Q172" t="e">
        <f t="shared" si="116"/>
        <v>#REF!</v>
      </c>
      <c r="T172" t="e">
        <f>Reflection!A172</f>
        <v>#REF!</v>
      </c>
      <c r="U172" t="s">
        <v>13</v>
      </c>
      <c r="V172" t="e">
        <f t="shared" si="117"/>
        <v>#REF!</v>
      </c>
      <c r="W172" t="e">
        <f t="shared" si="118"/>
        <v>#REF!</v>
      </c>
      <c r="X172" t="e">
        <f t="shared" si="119"/>
        <v>#REF!</v>
      </c>
      <c r="Y172" t="e">
        <f t="shared" si="120"/>
        <v>#REF!</v>
      </c>
      <c r="Z172" t="e">
        <f t="shared" si="121"/>
        <v>#REF!</v>
      </c>
      <c r="AA172" t="e">
        <f t="shared" si="122"/>
        <v>#REF!</v>
      </c>
      <c r="AD172" t="e">
        <f>Reflection!A172</f>
        <v>#REF!</v>
      </c>
      <c r="AE172" t="s">
        <v>13</v>
      </c>
      <c r="AF172" t="e">
        <f t="shared" si="123"/>
        <v>#REF!</v>
      </c>
      <c r="AG172" t="e">
        <f t="shared" si="124"/>
        <v>#REF!</v>
      </c>
      <c r="AH172" t="e">
        <f t="shared" si="125"/>
        <v>#REF!</v>
      </c>
      <c r="AI172" t="e">
        <f t="shared" si="126"/>
        <v>#REF!</v>
      </c>
      <c r="AJ172" t="e">
        <f t="shared" si="127"/>
        <v>#REF!</v>
      </c>
      <c r="AK172" t="e">
        <f t="shared" si="128"/>
        <v>#REF!</v>
      </c>
      <c r="AN172" t="e">
        <f>Reflection!A172</f>
        <v>#REF!</v>
      </c>
      <c r="AO172" t="s">
        <v>13</v>
      </c>
      <c r="AP172" t="e">
        <f t="shared" si="129"/>
        <v>#REF!</v>
      </c>
      <c r="AQ172" t="e">
        <f t="shared" si="130"/>
        <v>#REF!</v>
      </c>
      <c r="AR172" t="e">
        <f t="shared" si="131"/>
        <v>#REF!</v>
      </c>
      <c r="AS172" t="e">
        <f t="shared" si="132"/>
        <v>#REF!</v>
      </c>
      <c r="AT172" t="e">
        <f t="shared" si="133"/>
        <v>#REF!</v>
      </c>
      <c r="AU172" t="e">
        <f t="shared" si="134"/>
        <v>#REF!</v>
      </c>
      <c r="AX172" t="e">
        <f>Reflection!A172</f>
        <v>#REF!</v>
      </c>
      <c r="AY172" t="s">
        <v>13</v>
      </c>
      <c r="AZ172" t="e">
        <f t="shared" si="135"/>
        <v>#REF!</v>
      </c>
      <c r="BA172" t="e">
        <f t="shared" si="136"/>
        <v>#REF!</v>
      </c>
      <c r="BB172" t="e">
        <f t="shared" si="137"/>
        <v>#REF!</v>
      </c>
      <c r="BC172" t="e">
        <f t="shared" si="138"/>
        <v>#REF!</v>
      </c>
      <c r="BD172" t="e">
        <f t="shared" si="139"/>
        <v>#REF!</v>
      </c>
      <c r="BE172" t="e">
        <f t="shared" si="140"/>
        <v>#REF!</v>
      </c>
      <c r="BH172" t="e">
        <f>Reflection!A172</f>
        <v>#REF!</v>
      </c>
      <c r="BI172" t="e">
        <f t="shared" si="141"/>
        <v>#REF!</v>
      </c>
      <c r="BJ172" t="e">
        <f t="shared" si="142"/>
        <v>#REF!</v>
      </c>
      <c r="BK172" t="e">
        <f t="shared" si="143"/>
        <v>#REF!</v>
      </c>
      <c r="BL172" t="e">
        <f t="shared" si="144"/>
        <v>#REF!</v>
      </c>
      <c r="BM172" t="e">
        <f t="shared" si="145"/>
        <v>#REF!</v>
      </c>
      <c r="BN172" t="e">
        <f t="shared" si="146"/>
        <v>#REF!</v>
      </c>
      <c r="BR172" t="e">
        <f>Reflection!A172</f>
        <v>#REF!</v>
      </c>
      <c r="BS172" t="s">
        <v>13</v>
      </c>
      <c r="BT172" t="e">
        <f t="shared" si="147"/>
        <v>#REF!</v>
      </c>
      <c r="BU172" t="e">
        <f t="shared" si="155"/>
        <v>#REF!</v>
      </c>
      <c r="BV172" t="e">
        <f t="shared" si="148"/>
        <v>#REF!</v>
      </c>
      <c r="BW172" t="e">
        <f t="shared" si="149"/>
        <v>#REF!</v>
      </c>
      <c r="BX172" t="e">
        <f t="shared" si="150"/>
        <v>#REF!</v>
      </c>
      <c r="BY172" t="e">
        <f t="shared" si="151"/>
        <v>#REF!</v>
      </c>
    </row>
    <row r="173" spans="1:77" x14ac:dyDescent="0.15">
      <c r="A173" t="e">
        <f>Reflection!A173</f>
        <v>#REF!</v>
      </c>
      <c r="B173" t="e">
        <f t="shared" si="152"/>
        <v>#REF!</v>
      </c>
      <c r="C173" t="e">
        <f t="shared" si="153"/>
        <v>#REF!</v>
      </c>
      <c r="D173" t="e">
        <f t="shared" si="108"/>
        <v>#REF!</v>
      </c>
      <c r="E173" t="e">
        <f t="shared" si="109"/>
        <v>#REF!</v>
      </c>
      <c r="F173" t="e">
        <f t="shared" si="110"/>
        <v>#REF!</v>
      </c>
      <c r="G173" t="e">
        <f t="shared" si="154"/>
        <v>#REF!</v>
      </c>
      <c r="J173" t="e">
        <f>Reflection!A173</f>
        <v>#REF!</v>
      </c>
      <c r="K173" t="s">
        <v>13</v>
      </c>
      <c r="L173" t="e">
        <f t="shared" si="111"/>
        <v>#REF!</v>
      </c>
      <c r="M173" t="e">
        <f t="shared" si="112"/>
        <v>#REF!</v>
      </c>
      <c r="N173" t="e">
        <f t="shared" si="113"/>
        <v>#REF!</v>
      </c>
      <c r="O173" t="e">
        <f t="shared" si="114"/>
        <v>#REF!</v>
      </c>
      <c r="P173" t="e">
        <f t="shared" si="115"/>
        <v>#REF!</v>
      </c>
      <c r="Q173" t="e">
        <f t="shared" si="116"/>
        <v>#REF!</v>
      </c>
      <c r="T173" t="e">
        <f>Reflection!A173</f>
        <v>#REF!</v>
      </c>
      <c r="U173" t="s">
        <v>13</v>
      </c>
      <c r="V173" t="e">
        <f t="shared" si="117"/>
        <v>#REF!</v>
      </c>
      <c r="W173" t="e">
        <f t="shared" si="118"/>
        <v>#REF!</v>
      </c>
      <c r="X173" t="e">
        <f t="shared" si="119"/>
        <v>#REF!</v>
      </c>
      <c r="Y173" t="e">
        <f t="shared" si="120"/>
        <v>#REF!</v>
      </c>
      <c r="Z173" t="e">
        <f t="shared" si="121"/>
        <v>#REF!</v>
      </c>
      <c r="AA173" t="e">
        <f t="shared" si="122"/>
        <v>#REF!</v>
      </c>
      <c r="AD173" t="e">
        <f>Reflection!A173</f>
        <v>#REF!</v>
      </c>
      <c r="AE173" t="s">
        <v>13</v>
      </c>
      <c r="AF173" t="e">
        <f t="shared" si="123"/>
        <v>#REF!</v>
      </c>
      <c r="AG173" t="e">
        <f t="shared" si="124"/>
        <v>#REF!</v>
      </c>
      <c r="AH173" t="e">
        <f t="shared" si="125"/>
        <v>#REF!</v>
      </c>
      <c r="AI173" t="e">
        <f t="shared" si="126"/>
        <v>#REF!</v>
      </c>
      <c r="AJ173" t="e">
        <f t="shared" si="127"/>
        <v>#REF!</v>
      </c>
      <c r="AK173" t="e">
        <f t="shared" si="128"/>
        <v>#REF!</v>
      </c>
      <c r="AN173" t="e">
        <f>Reflection!A173</f>
        <v>#REF!</v>
      </c>
      <c r="AO173" t="s">
        <v>13</v>
      </c>
      <c r="AP173" t="e">
        <f t="shared" si="129"/>
        <v>#REF!</v>
      </c>
      <c r="AQ173" t="e">
        <f t="shared" si="130"/>
        <v>#REF!</v>
      </c>
      <c r="AR173" t="e">
        <f t="shared" si="131"/>
        <v>#REF!</v>
      </c>
      <c r="AS173" t="e">
        <f t="shared" si="132"/>
        <v>#REF!</v>
      </c>
      <c r="AT173" t="e">
        <f t="shared" si="133"/>
        <v>#REF!</v>
      </c>
      <c r="AU173" t="e">
        <f t="shared" si="134"/>
        <v>#REF!</v>
      </c>
      <c r="AX173" t="e">
        <f>Reflection!A173</f>
        <v>#REF!</v>
      </c>
      <c r="AY173" t="s">
        <v>13</v>
      </c>
      <c r="AZ173" t="e">
        <f t="shared" si="135"/>
        <v>#REF!</v>
      </c>
      <c r="BA173" t="e">
        <f t="shared" si="136"/>
        <v>#REF!</v>
      </c>
      <c r="BB173" t="e">
        <f t="shared" si="137"/>
        <v>#REF!</v>
      </c>
      <c r="BC173" t="e">
        <f t="shared" si="138"/>
        <v>#REF!</v>
      </c>
      <c r="BD173" t="e">
        <f t="shared" si="139"/>
        <v>#REF!</v>
      </c>
      <c r="BE173" t="e">
        <f t="shared" si="140"/>
        <v>#REF!</v>
      </c>
      <c r="BH173" t="e">
        <f>Reflection!A173</f>
        <v>#REF!</v>
      </c>
      <c r="BI173" t="e">
        <f t="shared" si="141"/>
        <v>#REF!</v>
      </c>
      <c r="BJ173" t="e">
        <f t="shared" si="142"/>
        <v>#REF!</v>
      </c>
      <c r="BK173" t="e">
        <f t="shared" si="143"/>
        <v>#REF!</v>
      </c>
      <c r="BL173" t="e">
        <f t="shared" si="144"/>
        <v>#REF!</v>
      </c>
      <c r="BM173" t="e">
        <f t="shared" si="145"/>
        <v>#REF!</v>
      </c>
      <c r="BN173" t="e">
        <f t="shared" si="146"/>
        <v>#REF!</v>
      </c>
      <c r="BR173" t="e">
        <f>Reflection!A173</f>
        <v>#REF!</v>
      </c>
      <c r="BS173" t="s">
        <v>13</v>
      </c>
      <c r="BT173" t="e">
        <f t="shared" si="147"/>
        <v>#REF!</v>
      </c>
      <c r="BU173" t="e">
        <f t="shared" si="155"/>
        <v>#REF!</v>
      </c>
      <c r="BV173" t="e">
        <f t="shared" si="148"/>
        <v>#REF!</v>
      </c>
      <c r="BW173" t="e">
        <f t="shared" si="149"/>
        <v>#REF!</v>
      </c>
      <c r="BX173" t="e">
        <f t="shared" si="150"/>
        <v>#REF!</v>
      </c>
      <c r="BY173" t="e">
        <f t="shared" si="151"/>
        <v>#REF!</v>
      </c>
    </row>
    <row r="174" spans="1:77" x14ac:dyDescent="0.15">
      <c r="A174" t="e">
        <f>Reflection!A174</f>
        <v>#REF!</v>
      </c>
      <c r="B174" t="e">
        <f t="shared" si="152"/>
        <v>#REF!</v>
      </c>
      <c r="C174" t="e">
        <f t="shared" si="153"/>
        <v>#REF!</v>
      </c>
      <c r="D174" t="e">
        <f t="shared" si="108"/>
        <v>#REF!</v>
      </c>
      <c r="E174" t="e">
        <f t="shared" si="109"/>
        <v>#REF!</v>
      </c>
      <c r="F174" t="e">
        <f t="shared" si="110"/>
        <v>#REF!</v>
      </c>
      <c r="G174" t="e">
        <f t="shared" si="154"/>
        <v>#REF!</v>
      </c>
      <c r="J174" t="e">
        <f>Reflection!A174</f>
        <v>#REF!</v>
      </c>
      <c r="K174" t="s">
        <v>13</v>
      </c>
      <c r="L174" t="e">
        <f t="shared" si="111"/>
        <v>#REF!</v>
      </c>
      <c r="M174" t="e">
        <f t="shared" si="112"/>
        <v>#REF!</v>
      </c>
      <c r="N174" t="e">
        <f t="shared" si="113"/>
        <v>#REF!</v>
      </c>
      <c r="O174" t="e">
        <f t="shared" si="114"/>
        <v>#REF!</v>
      </c>
      <c r="P174" t="e">
        <f t="shared" si="115"/>
        <v>#REF!</v>
      </c>
      <c r="Q174" t="e">
        <f t="shared" si="116"/>
        <v>#REF!</v>
      </c>
      <c r="T174" t="e">
        <f>Reflection!A174</f>
        <v>#REF!</v>
      </c>
      <c r="U174" t="s">
        <v>13</v>
      </c>
      <c r="V174" t="e">
        <f t="shared" si="117"/>
        <v>#REF!</v>
      </c>
      <c r="W174" t="e">
        <f t="shared" si="118"/>
        <v>#REF!</v>
      </c>
      <c r="X174" t="e">
        <f t="shared" si="119"/>
        <v>#REF!</v>
      </c>
      <c r="Y174" t="e">
        <f t="shared" si="120"/>
        <v>#REF!</v>
      </c>
      <c r="Z174" t="e">
        <f t="shared" si="121"/>
        <v>#REF!</v>
      </c>
      <c r="AA174" t="e">
        <f t="shared" si="122"/>
        <v>#REF!</v>
      </c>
      <c r="AD174" t="e">
        <f>Reflection!A174</f>
        <v>#REF!</v>
      </c>
      <c r="AE174" t="s">
        <v>13</v>
      </c>
      <c r="AF174" t="e">
        <f t="shared" si="123"/>
        <v>#REF!</v>
      </c>
      <c r="AG174" t="e">
        <f t="shared" si="124"/>
        <v>#REF!</v>
      </c>
      <c r="AH174" t="e">
        <f t="shared" si="125"/>
        <v>#REF!</v>
      </c>
      <c r="AI174" t="e">
        <f t="shared" si="126"/>
        <v>#REF!</v>
      </c>
      <c r="AJ174" t="e">
        <f t="shared" si="127"/>
        <v>#REF!</v>
      </c>
      <c r="AK174" t="e">
        <f t="shared" si="128"/>
        <v>#REF!</v>
      </c>
      <c r="AN174" t="e">
        <f>Reflection!A174</f>
        <v>#REF!</v>
      </c>
      <c r="AO174" t="s">
        <v>13</v>
      </c>
      <c r="AP174" t="e">
        <f t="shared" si="129"/>
        <v>#REF!</v>
      </c>
      <c r="AQ174" t="e">
        <f t="shared" si="130"/>
        <v>#REF!</v>
      </c>
      <c r="AR174" t="e">
        <f t="shared" si="131"/>
        <v>#REF!</v>
      </c>
      <c r="AS174" t="e">
        <f t="shared" si="132"/>
        <v>#REF!</v>
      </c>
      <c r="AT174" t="e">
        <f t="shared" si="133"/>
        <v>#REF!</v>
      </c>
      <c r="AU174" t="e">
        <f t="shared" si="134"/>
        <v>#REF!</v>
      </c>
      <c r="AX174" t="e">
        <f>Reflection!A174</f>
        <v>#REF!</v>
      </c>
      <c r="AY174" t="s">
        <v>13</v>
      </c>
      <c r="AZ174" t="e">
        <f t="shared" si="135"/>
        <v>#REF!</v>
      </c>
      <c r="BA174" t="e">
        <f t="shared" si="136"/>
        <v>#REF!</v>
      </c>
      <c r="BB174" t="e">
        <f t="shared" si="137"/>
        <v>#REF!</v>
      </c>
      <c r="BC174" t="e">
        <f t="shared" si="138"/>
        <v>#REF!</v>
      </c>
      <c r="BD174" t="e">
        <f t="shared" si="139"/>
        <v>#REF!</v>
      </c>
      <c r="BE174" t="e">
        <f t="shared" si="140"/>
        <v>#REF!</v>
      </c>
      <c r="BH174" t="e">
        <f>Reflection!A174</f>
        <v>#REF!</v>
      </c>
      <c r="BI174" t="e">
        <f t="shared" si="141"/>
        <v>#REF!</v>
      </c>
      <c r="BJ174" t="e">
        <f t="shared" si="142"/>
        <v>#REF!</v>
      </c>
      <c r="BK174" t="e">
        <f t="shared" si="143"/>
        <v>#REF!</v>
      </c>
      <c r="BL174" t="e">
        <f t="shared" si="144"/>
        <v>#REF!</v>
      </c>
      <c r="BM174" t="e">
        <f t="shared" si="145"/>
        <v>#REF!</v>
      </c>
      <c r="BN174" t="e">
        <f t="shared" si="146"/>
        <v>#REF!</v>
      </c>
      <c r="BR174" t="e">
        <f>Reflection!A174</f>
        <v>#REF!</v>
      </c>
      <c r="BS174" t="s">
        <v>13</v>
      </c>
      <c r="BT174" t="e">
        <f t="shared" si="147"/>
        <v>#REF!</v>
      </c>
      <c r="BU174" t="e">
        <f t="shared" si="155"/>
        <v>#REF!</v>
      </c>
      <c r="BV174" t="e">
        <f t="shared" si="148"/>
        <v>#REF!</v>
      </c>
      <c r="BW174" t="e">
        <f t="shared" si="149"/>
        <v>#REF!</v>
      </c>
      <c r="BX174" t="e">
        <f t="shared" si="150"/>
        <v>#REF!</v>
      </c>
      <c r="BY174" t="e">
        <f t="shared" si="151"/>
        <v>#REF!</v>
      </c>
    </row>
    <row r="175" spans="1:77" x14ac:dyDescent="0.15">
      <c r="A175" t="e">
        <f>Reflection!A175</f>
        <v>#REF!</v>
      </c>
      <c r="B175" t="e">
        <f t="shared" si="152"/>
        <v>#REF!</v>
      </c>
      <c r="C175" t="e">
        <f t="shared" si="153"/>
        <v>#REF!</v>
      </c>
      <c r="D175" t="e">
        <f t="shared" si="108"/>
        <v>#REF!</v>
      </c>
      <c r="E175" t="e">
        <f t="shared" si="109"/>
        <v>#REF!</v>
      </c>
      <c r="F175" t="e">
        <f t="shared" si="110"/>
        <v>#REF!</v>
      </c>
      <c r="G175" t="e">
        <f t="shared" si="154"/>
        <v>#REF!</v>
      </c>
      <c r="J175" t="e">
        <f>Reflection!A175</f>
        <v>#REF!</v>
      </c>
      <c r="K175" t="s">
        <v>13</v>
      </c>
      <c r="L175" t="e">
        <f t="shared" si="111"/>
        <v>#REF!</v>
      </c>
      <c r="M175" t="e">
        <f t="shared" si="112"/>
        <v>#REF!</v>
      </c>
      <c r="N175" t="e">
        <f t="shared" si="113"/>
        <v>#REF!</v>
      </c>
      <c r="O175" t="e">
        <f t="shared" si="114"/>
        <v>#REF!</v>
      </c>
      <c r="P175" t="e">
        <f t="shared" si="115"/>
        <v>#REF!</v>
      </c>
      <c r="Q175" t="e">
        <f t="shared" si="116"/>
        <v>#REF!</v>
      </c>
      <c r="T175" t="e">
        <f>Reflection!A175</f>
        <v>#REF!</v>
      </c>
      <c r="U175" t="s">
        <v>13</v>
      </c>
      <c r="V175" t="e">
        <f t="shared" si="117"/>
        <v>#REF!</v>
      </c>
      <c r="W175" t="e">
        <f t="shared" si="118"/>
        <v>#REF!</v>
      </c>
      <c r="X175" t="e">
        <f t="shared" si="119"/>
        <v>#REF!</v>
      </c>
      <c r="Y175" t="e">
        <f t="shared" si="120"/>
        <v>#REF!</v>
      </c>
      <c r="Z175" t="e">
        <f t="shared" si="121"/>
        <v>#REF!</v>
      </c>
      <c r="AA175" t="e">
        <f t="shared" si="122"/>
        <v>#REF!</v>
      </c>
      <c r="AD175" t="e">
        <f>Reflection!A175</f>
        <v>#REF!</v>
      </c>
      <c r="AE175" t="s">
        <v>13</v>
      </c>
      <c r="AF175" t="e">
        <f t="shared" si="123"/>
        <v>#REF!</v>
      </c>
      <c r="AG175" t="e">
        <f t="shared" si="124"/>
        <v>#REF!</v>
      </c>
      <c r="AH175" t="e">
        <f t="shared" si="125"/>
        <v>#REF!</v>
      </c>
      <c r="AI175" t="e">
        <f t="shared" si="126"/>
        <v>#REF!</v>
      </c>
      <c r="AJ175" t="e">
        <f t="shared" si="127"/>
        <v>#REF!</v>
      </c>
      <c r="AK175" t="e">
        <f t="shared" si="128"/>
        <v>#REF!</v>
      </c>
      <c r="AN175" t="e">
        <f>Reflection!A175</f>
        <v>#REF!</v>
      </c>
      <c r="AO175" t="s">
        <v>13</v>
      </c>
      <c r="AP175" t="e">
        <f t="shared" si="129"/>
        <v>#REF!</v>
      </c>
      <c r="AQ175" t="e">
        <f t="shared" si="130"/>
        <v>#REF!</v>
      </c>
      <c r="AR175" t="e">
        <f t="shared" si="131"/>
        <v>#REF!</v>
      </c>
      <c r="AS175" t="e">
        <f t="shared" si="132"/>
        <v>#REF!</v>
      </c>
      <c r="AT175" t="e">
        <f t="shared" si="133"/>
        <v>#REF!</v>
      </c>
      <c r="AU175" t="e">
        <f t="shared" si="134"/>
        <v>#REF!</v>
      </c>
      <c r="AX175" t="e">
        <f>Reflection!A175</f>
        <v>#REF!</v>
      </c>
      <c r="AY175" t="s">
        <v>13</v>
      </c>
      <c r="AZ175" t="e">
        <f t="shared" si="135"/>
        <v>#REF!</v>
      </c>
      <c r="BA175" t="e">
        <f t="shared" si="136"/>
        <v>#REF!</v>
      </c>
      <c r="BB175" t="e">
        <f t="shared" si="137"/>
        <v>#REF!</v>
      </c>
      <c r="BC175" t="e">
        <f t="shared" si="138"/>
        <v>#REF!</v>
      </c>
      <c r="BD175" t="e">
        <f t="shared" si="139"/>
        <v>#REF!</v>
      </c>
      <c r="BE175" t="e">
        <f t="shared" si="140"/>
        <v>#REF!</v>
      </c>
      <c r="BH175" t="e">
        <f>Reflection!A175</f>
        <v>#REF!</v>
      </c>
      <c r="BI175" t="e">
        <f t="shared" si="141"/>
        <v>#REF!</v>
      </c>
      <c r="BJ175" t="e">
        <f t="shared" si="142"/>
        <v>#REF!</v>
      </c>
      <c r="BK175" t="e">
        <f t="shared" si="143"/>
        <v>#REF!</v>
      </c>
      <c r="BL175" t="e">
        <f t="shared" si="144"/>
        <v>#REF!</v>
      </c>
      <c r="BM175" t="e">
        <f t="shared" si="145"/>
        <v>#REF!</v>
      </c>
      <c r="BN175" t="e">
        <f t="shared" si="146"/>
        <v>#REF!</v>
      </c>
      <c r="BR175" t="e">
        <f>Reflection!A175</f>
        <v>#REF!</v>
      </c>
      <c r="BS175" t="s">
        <v>13</v>
      </c>
      <c r="BT175" t="e">
        <f t="shared" si="147"/>
        <v>#REF!</v>
      </c>
      <c r="BU175" t="e">
        <f t="shared" si="155"/>
        <v>#REF!</v>
      </c>
      <c r="BV175" t="e">
        <f t="shared" si="148"/>
        <v>#REF!</v>
      </c>
      <c r="BW175" t="e">
        <f t="shared" si="149"/>
        <v>#REF!</v>
      </c>
      <c r="BX175" t="e">
        <f t="shared" si="150"/>
        <v>#REF!</v>
      </c>
      <c r="BY175" t="e">
        <f t="shared" si="151"/>
        <v>#REF!</v>
      </c>
    </row>
    <row r="176" spans="1:77" x14ac:dyDescent="0.15">
      <c r="A176" t="e">
        <f>Reflection!A176</f>
        <v>#REF!</v>
      </c>
      <c r="B176" t="e">
        <f t="shared" si="152"/>
        <v>#REF!</v>
      </c>
      <c r="C176" t="e">
        <f t="shared" si="153"/>
        <v>#REF!</v>
      </c>
      <c r="D176" t="e">
        <f t="shared" si="108"/>
        <v>#REF!</v>
      </c>
      <c r="E176" t="e">
        <f t="shared" si="109"/>
        <v>#REF!</v>
      </c>
      <c r="F176" t="e">
        <f t="shared" si="110"/>
        <v>#REF!</v>
      </c>
      <c r="G176" t="e">
        <f t="shared" si="154"/>
        <v>#REF!</v>
      </c>
      <c r="J176" t="e">
        <f>Reflection!A176</f>
        <v>#REF!</v>
      </c>
      <c r="K176" t="s">
        <v>13</v>
      </c>
      <c r="L176" t="e">
        <f t="shared" si="111"/>
        <v>#REF!</v>
      </c>
      <c r="M176" t="e">
        <f t="shared" si="112"/>
        <v>#REF!</v>
      </c>
      <c r="N176" t="e">
        <f t="shared" si="113"/>
        <v>#REF!</v>
      </c>
      <c r="O176" t="e">
        <f t="shared" si="114"/>
        <v>#REF!</v>
      </c>
      <c r="P176" t="e">
        <f t="shared" si="115"/>
        <v>#REF!</v>
      </c>
      <c r="Q176" t="e">
        <f t="shared" si="116"/>
        <v>#REF!</v>
      </c>
      <c r="T176" t="e">
        <f>Reflection!A176</f>
        <v>#REF!</v>
      </c>
      <c r="U176" t="s">
        <v>13</v>
      </c>
      <c r="V176" t="e">
        <f t="shared" si="117"/>
        <v>#REF!</v>
      </c>
      <c r="W176" t="e">
        <f t="shared" si="118"/>
        <v>#REF!</v>
      </c>
      <c r="X176" t="e">
        <f t="shared" si="119"/>
        <v>#REF!</v>
      </c>
      <c r="Y176" t="e">
        <f t="shared" si="120"/>
        <v>#REF!</v>
      </c>
      <c r="Z176" t="e">
        <f t="shared" si="121"/>
        <v>#REF!</v>
      </c>
      <c r="AA176" t="e">
        <f t="shared" si="122"/>
        <v>#REF!</v>
      </c>
      <c r="AD176" t="e">
        <f>Reflection!A176</f>
        <v>#REF!</v>
      </c>
      <c r="AE176" t="s">
        <v>13</v>
      </c>
      <c r="AF176" t="e">
        <f t="shared" si="123"/>
        <v>#REF!</v>
      </c>
      <c r="AG176" t="e">
        <f t="shared" si="124"/>
        <v>#REF!</v>
      </c>
      <c r="AH176" t="e">
        <f t="shared" si="125"/>
        <v>#REF!</v>
      </c>
      <c r="AI176" t="e">
        <f t="shared" si="126"/>
        <v>#REF!</v>
      </c>
      <c r="AJ176" t="e">
        <f t="shared" si="127"/>
        <v>#REF!</v>
      </c>
      <c r="AK176" t="e">
        <f t="shared" si="128"/>
        <v>#REF!</v>
      </c>
      <c r="AN176" t="e">
        <f>Reflection!A176</f>
        <v>#REF!</v>
      </c>
      <c r="AO176" t="s">
        <v>13</v>
      </c>
      <c r="AP176" t="e">
        <f t="shared" si="129"/>
        <v>#REF!</v>
      </c>
      <c r="AQ176" t="e">
        <f t="shared" si="130"/>
        <v>#REF!</v>
      </c>
      <c r="AR176" t="e">
        <f t="shared" si="131"/>
        <v>#REF!</v>
      </c>
      <c r="AS176" t="e">
        <f t="shared" si="132"/>
        <v>#REF!</v>
      </c>
      <c r="AT176" t="e">
        <f t="shared" si="133"/>
        <v>#REF!</v>
      </c>
      <c r="AU176" t="e">
        <f t="shared" si="134"/>
        <v>#REF!</v>
      </c>
      <c r="AX176" t="e">
        <f>Reflection!A176</f>
        <v>#REF!</v>
      </c>
      <c r="AY176" t="s">
        <v>13</v>
      </c>
      <c r="AZ176" t="e">
        <f t="shared" si="135"/>
        <v>#REF!</v>
      </c>
      <c r="BA176" t="e">
        <f t="shared" si="136"/>
        <v>#REF!</v>
      </c>
      <c r="BB176" t="e">
        <f t="shared" si="137"/>
        <v>#REF!</v>
      </c>
      <c r="BC176" t="e">
        <f t="shared" si="138"/>
        <v>#REF!</v>
      </c>
      <c r="BD176" t="e">
        <f t="shared" si="139"/>
        <v>#REF!</v>
      </c>
      <c r="BE176" t="e">
        <f t="shared" si="140"/>
        <v>#REF!</v>
      </c>
      <c r="BH176" t="e">
        <f>Reflection!A176</f>
        <v>#REF!</v>
      </c>
      <c r="BI176" t="e">
        <f t="shared" si="141"/>
        <v>#REF!</v>
      </c>
      <c r="BJ176" t="e">
        <f t="shared" si="142"/>
        <v>#REF!</v>
      </c>
      <c r="BK176" t="e">
        <f t="shared" si="143"/>
        <v>#REF!</v>
      </c>
      <c r="BL176" t="e">
        <f t="shared" si="144"/>
        <v>#REF!</v>
      </c>
      <c r="BM176" t="e">
        <f t="shared" si="145"/>
        <v>#REF!</v>
      </c>
      <c r="BN176" t="e">
        <f t="shared" si="146"/>
        <v>#REF!</v>
      </c>
      <c r="BR176" t="e">
        <f>Reflection!A176</f>
        <v>#REF!</v>
      </c>
      <c r="BS176" t="s">
        <v>13</v>
      </c>
      <c r="BT176" t="e">
        <f t="shared" si="147"/>
        <v>#REF!</v>
      </c>
      <c r="BU176" t="e">
        <f t="shared" si="155"/>
        <v>#REF!</v>
      </c>
      <c r="BV176" t="e">
        <f t="shared" si="148"/>
        <v>#REF!</v>
      </c>
      <c r="BW176" t="e">
        <f t="shared" si="149"/>
        <v>#REF!</v>
      </c>
      <c r="BX176" t="e">
        <f t="shared" si="150"/>
        <v>#REF!</v>
      </c>
      <c r="BY176" t="e">
        <f t="shared" si="151"/>
        <v>#REF!</v>
      </c>
    </row>
    <row r="177" spans="1:77" x14ac:dyDescent="0.15">
      <c r="A177" t="e">
        <f>Reflection!A177</f>
        <v>#REF!</v>
      </c>
      <c r="B177" t="e">
        <f t="shared" si="152"/>
        <v>#REF!</v>
      </c>
      <c r="C177" t="e">
        <f t="shared" si="153"/>
        <v>#REF!</v>
      </c>
      <c r="D177" t="e">
        <f t="shared" si="108"/>
        <v>#REF!</v>
      </c>
      <c r="E177" t="e">
        <f t="shared" si="109"/>
        <v>#REF!</v>
      </c>
      <c r="F177" t="e">
        <f t="shared" si="110"/>
        <v>#REF!</v>
      </c>
      <c r="G177" t="e">
        <f t="shared" si="154"/>
        <v>#REF!</v>
      </c>
      <c r="J177" t="e">
        <f>Reflection!A177</f>
        <v>#REF!</v>
      </c>
      <c r="K177" t="s">
        <v>13</v>
      </c>
      <c r="L177" t="e">
        <f t="shared" si="111"/>
        <v>#REF!</v>
      </c>
      <c r="M177" t="e">
        <f t="shared" si="112"/>
        <v>#REF!</v>
      </c>
      <c r="N177" t="e">
        <f t="shared" si="113"/>
        <v>#REF!</v>
      </c>
      <c r="O177" t="e">
        <f t="shared" si="114"/>
        <v>#REF!</v>
      </c>
      <c r="P177" t="e">
        <f t="shared" si="115"/>
        <v>#REF!</v>
      </c>
      <c r="Q177" t="e">
        <f t="shared" si="116"/>
        <v>#REF!</v>
      </c>
      <c r="T177" t="e">
        <f>Reflection!A177</f>
        <v>#REF!</v>
      </c>
      <c r="U177" t="s">
        <v>13</v>
      </c>
      <c r="V177" t="e">
        <f t="shared" si="117"/>
        <v>#REF!</v>
      </c>
      <c r="W177" t="e">
        <f t="shared" si="118"/>
        <v>#REF!</v>
      </c>
      <c r="X177" t="e">
        <f t="shared" si="119"/>
        <v>#REF!</v>
      </c>
      <c r="Y177" t="e">
        <f t="shared" si="120"/>
        <v>#REF!</v>
      </c>
      <c r="Z177" t="e">
        <f t="shared" si="121"/>
        <v>#REF!</v>
      </c>
      <c r="AA177" t="e">
        <f t="shared" si="122"/>
        <v>#REF!</v>
      </c>
      <c r="AD177" t="e">
        <f>Reflection!A177</f>
        <v>#REF!</v>
      </c>
      <c r="AE177" t="s">
        <v>13</v>
      </c>
      <c r="AF177" t="e">
        <f t="shared" si="123"/>
        <v>#REF!</v>
      </c>
      <c r="AG177" t="e">
        <f t="shared" si="124"/>
        <v>#REF!</v>
      </c>
      <c r="AH177" t="e">
        <f t="shared" si="125"/>
        <v>#REF!</v>
      </c>
      <c r="AI177" t="e">
        <f t="shared" si="126"/>
        <v>#REF!</v>
      </c>
      <c r="AJ177" t="e">
        <f t="shared" si="127"/>
        <v>#REF!</v>
      </c>
      <c r="AK177" t="e">
        <f t="shared" si="128"/>
        <v>#REF!</v>
      </c>
      <c r="AN177" t="e">
        <f>Reflection!A177</f>
        <v>#REF!</v>
      </c>
      <c r="AO177" t="s">
        <v>13</v>
      </c>
      <c r="AP177" t="e">
        <f t="shared" si="129"/>
        <v>#REF!</v>
      </c>
      <c r="AQ177" t="e">
        <f t="shared" si="130"/>
        <v>#REF!</v>
      </c>
      <c r="AR177" t="e">
        <f t="shared" si="131"/>
        <v>#REF!</v>
      </c>
      <c r="AS177" t="e">
        <f t="shared" si="132"/>
        <v>#REF!</v>
      </c>
      <c r="AT177" t="e">
        <f t="shared" si="133"/>
        <v>#REF!</v>
      </c>
      <c r="AU177" t="e">
        <f t="shared" si="134"/>
        <v>#REF!</v>
      </c>
      <c r="AX177" t="e">
        <f>Reflection!A177</f>
        <v>#REF!</v>
      </c>
      <c r="AY177" t="s">
        <v>13</v>
      </c>
      <c r="AZ177" t="e">
        <f t="shared" si="135"/>
        <v>#REF!</v>
      </c>
      <c r="BA177" t="e">
        <f t="shared" si="136"/>
        <v>#REF!</v>
      </c>
      <c r="BB177" t="e">
        <f t="shared" si="137"/>
        <v>#REF!</v>
      </c>
      <c r="BC177" t="e">
        <f t="shared" si="138"/>
        <v>#REF!</v>
      </c>
      <c r="BD177" t="e">
        <f t="shared" si="139"/>
        <v>#REF!</v>
      </c>
      <c r="BE177" t="e">
        <f t="shared" si="140"/>
        <v>#REF!</v>
      </c>
      <c r="BH177" t="e">
        <f>Reflection!A177</f>
        <v>#REF!</v>
      </c>
      <c r="BI177" t="e">
        <f t="shared" si="141"/>
        <v>#REF!</v>
      </c>
      <c r="BJ177" t="e">
        <f t="shared" si="142"/>
        <v>#REF!</v>
      </c>
      <c r="BK177" t="e">
        <f t="shared" si="143"/>
        <v>#REF!</v>
      </c>
      <c r="BL177" t="e">
        <f t="shared" si="144"/>
        <v>#REF!</v>
      </c>
      <c r="BM177" t="e">
        <f t="shared" si="145"/>
        <v>#REF!</v>
      </c>
      <c r="BN177" t="e">
        <f t="shared" si="146"/>
        <v>#REF!</v>
      </c>
      <c r="BR177" t="e">
        <f>Reflection!A177</f>
        <v>#REF!</v>
      </c>
      <c r="BS177" t="s">
        <v>13</v>
      </c>
      <c r="BT177" t="e">
        <f t="shared" si="147"/>
        <v>#REF!</v>
      </c>
      <c r="BU177" t="e">
        <f t="shared" si="155"/>
        <v>#REF!</v>
      </c>
      <c r="BV177" t="e">
        <f t="shared" si="148"/>
        <v>#REF!</v>
      </c>
      <c r="BW177" t="e">
        <f t="shared" si="149"/>
        <v>#REF!</v>
      </c>
      <c r="BX177" t="e">
        <f t="shared" si="150"/>
        <v>#REF!</v>
      </c>
      <c r="BY177" t="e">
        <f t="shared" si="151"/>
        <v>#REF!</v>
      </c>
    </row>
    <row r="178" spans="1:77" x14ac:dyDescent="0.15">
      <c r="A178" t="e">
        <f>Reflection!A178</f>
        <v>#REF!</v>
      </c>
      <c r="B178" t="e">
        <f t="shared" si="152"/>
        <v>#REF!</v>
      </c>
      <c r="C178" t="e">
        <f t="shared" si="153"/>
        <v>#REF!</v>
      </c>
      <c r="D178" t="e">
        <f t="shared" si="108"/>
        <v>#REF!</v>
      </c>
      <c r="E178" t="e">
        <f t="shared" si="109"/>
        <v>#REF!</v>
      </c>
      <c r="F178" t="e">
        <f t="shared" si="110"/>
        <v>#REF!</v>
      </c>
      <c r="G178" t="e">
        <f t="shared" si="154"/>
        <v>#REF!</v>
      </c>
      <c r="J178" t="e">
        <f>Reflection!A178</f>
        <v>#REF!</v>
      </c>
      <c r="K178" t="s">
        <v>13</v>
      </c>
      <c r="L178" t="e">
        <f t="shared" si="111"/>
        <v>#REF!</v>
      </c>
      <c r="M178" t="e">
        <f t="shared" si="112"/>
        <v>#REF!</v>
      </c>
      <c r="N178" t="e">
        <f t="shared" si="113"/>
        <v>#REF!</v>
      </c>
      <c r="O178" t="e">
        <f t="shared" si="114"/>
        <v>#REF!</v>
      </c>
      <c r="P178" t="e">
        <f t="shared" si="115"/>
        <v>#REF!</v>
      </c>
      <c r="Q178" t="e">
        <f t="shared" si="116"/>
        <v>#REF!</v>
      </c>
      <c r="T178" t="e">
        <f>Reflection!A178</f>
        <v>#REF!</v>
      </c>
      <c r="U178" t="s">
        <v>13</v>
      </c>
      <c r="V178" t="e">
        <f t="shared" si="117"/>
        <v>#REF!</v>
      </c>
      <c r="W178" t="e">
        <f t="shared" si="118"/>
        <v>#REF!</v>
      </c>
      <c r="X178" t="e">
        <f t="shared" si="119"/>
        <v>#REF!</v>
      </c>
      <c r="Y178" t="e">
        <f t="shared" si="120"/>
        <v>#REF!</v>
      </c>
      <c r="Z178" t="e">
        <f t="shared" si="121"/>
        <v>#REF!</v>
      </c>
      <c r="AA178" t="e">
        <f t="shared" si="122"/>
        <v>#REF!</v>
      </c>
      <c r="AD178" t="e">
        <f>Reflection!A178</f>
        <v>#REF!</v>
      </c>
      <c r="AE178" t="s">
        <v>13</v>
      </c>
      <c r="AF178" t="e">
        <f t="shared" si="123"/>
        <v>#REF!</v>
      </c>
      <c r="AG178" t="e">
        <f t="shared" si="124"/>
        <v>#REF!</v>
      </c>
      <c r="AH178" t="e">
        <f t="shared" si="125"/>
        <v>#REF!</v>
      </c>
      <c r="AI178" t="e">
        <f t="shared" si="126"/>
        <v>#REF!</v>
      </c>
      <c r="AJ178" t="e">
        <f t="shared" si="127"/>
        <v>#REF!</v>
      </c>
      <c r="AK178" t="e">
        <f t="shared" si="128"/>
        <v>#REF!</v>
      </c>
      <c r="AN178" t="e">
        <f>Reflection!A178</f>
        <v>#REF!</v>
      </c>
      <c r="AO178" t="s">
        <v>13</v>
      </c>
      <c r="AP178" t="e">
        <f t="shared" si="129"/>
        <v>#REF!</v>
      </c>
      <c r="AQ178" t="e">
        <f t="shared" si="130"/>
        <v>#REF!</v>
      </c>
      <c r="AR178" t="e">
        <f t="shared" si="131"/>
        <v>#REF!</v>
      </c>
      <c r="AS178" t="e">
        <f t="shared" si="132"/>
        <v>#REF!</v>
      </c>
      <c r="AT178" t="e">
        <f t="shared" si="133"/>
        <v>#REF!</v>
      </c>
      <c r="AU178" t="e">
        <f t="shared" si="134"/>
        <v>#REF!</v>
      </c>
      <c r="AX178" t="e">
        <f>Reflection!A178</f>
        <v>#REF!</v>
      </c>
      <c r="AY178" t="s">
        <v>13</v>
      </c>
      <c r="AZ178" t="e">
        <f t="shared" si="135"/>
        <v>#REF!</v>
      </c>
      <c r="BA178" t="e">
        <f t="shared" si="136"/>
        <v>#REF!</v>
      </c>
      <c r="BB178" t="e">
        <f t="shared" si="137"/>
        <v>#REF!</v>
      </c>
      <c r="BC178" t="e">
        <f t="shared" si="138"/>
        <v>#REF!</v>
      </c>
      <c r="BD178" t="e">
        <f t="shared" si="139"/>
        <v>#REF!</v>
      </c>
      <c r="BE178" t="e">
        <f t="shared" si="140"/>
        <v>#REF!</v>
      </c>
      <c r="BH178" t="e">
        <f>Reflection!A178</f>
        <v>#REF!</v>
      </c>
      <c r="BI178" t="e">
        <f t="shared" si="141"/>
        <v>#REF!</v>
      </c>
      <c r="BJ178" t="e">
        <f t="shared" si="142"/>
        <v>#REF!</v>
      </c>
      <c r="BK178" t="e">
        <f t="shared" si="143"/>
        <v>#REF!</v>
      </c>
      <c r="BL178" t="e">
        <f t="shared" si="144"/>
        <v>#REF!</v>
      </c>
      <c r="BM178" t="e">
        <f t="shared" si="145"/>
        <v>#REF!</v>
      </c>
      <c r="BN178" t="e">
        <f t="shared" si="146"/>
        <v>#REF!</v>
      </c>
      <c r="BR178" t="e">
        <f>Reflection!A178</f>
        <v>#REF!</v>
      </c>
      <c r="BS178" t="s">
        <v>13</v>
      </c>
      <c r="BT178" t="e">
        <f t="shared" si="147"/>
        <v>#REF!</v>
      </c>
      <c r="BU178" t="e">
        <f t="shared" si="155"/>
        <v>#REF!</v>
      </c>
      <c r="BV178" t="e">
        <f t="shared" si="148"/>
        <v>#REF!</v>
      </c>
      <c r="BW178" t="e">
        <f t="shared" si="149"/>
        <v>#REF!</v>
      </c>
      <c r="BX178" t="e">
        <f t="shared" si="150"/>
        <v>#REF!</v>
      </c>
      <c r="BY178" t="e">
        <f t="shared" si="151"/>
        <v>#REF!</v>
      </c>
    </row>
    <row r="179" spans="1:77" x14ac:dyDescent="0.15">
      <c r="A179" t="e">
        <f>Reflection!A179</f>
        <v>#REF!</v>
      </c>
      <c r="B179" t="e">
        <f t="shared" si="152"/>
        <v>#REF!</v>
      </c>
      <c r="C179" t="e">
        <f t="shared" si="153"/>
        <v>#REF!</v>
      </c>
      <c r="D179" t="e">
        <f t="shared" si="108"/>
        <v>#REF!</v>
      </c>
      <c r="E179" t="e">
        <f t="shared" si="109"/>
        <v>#REF!</v>
      </c>
      <c r="F179" t="e">
        <f t="shared" si="110"/>
        <v>#REF!</v>
      </c>
      <c r="G179" t="e">
        <f t="shared" si="154"/>
        <v>#REF!</v>
      </c>
      <c r="J179" t="e">
        <f>Reflection!A179</f>
        <v>#REF!</v>
      </c>
      <c r="K179" t="s">
        <v>13</v>
      </c>
      <c r="L179" t="e">
        <f t="shared" si="111"/>
        <v>#REF!</v>
      </c>
      <c r="M179" t="e">
        <f t="shared" si="112"/>
        <v>#REF!</v>
      </c>
      <c r="N179" t="e">
        <f t="shared" si="113"/>
        <v>#REF!</v>
      </c>
      <c r="O179" t="e">
        <f t="shared" si="114"/>
        <v>#REF!</v>
      </c>
      <c r="P179" t="e">
        <f t="shared" si="115"/>
        <v>#REF!</v>
      </c>
      <c r="Q179" t="e">
        <f t="shared" si="116"/>
        <v>#REF!</v>
      </c>
      <c r="T179" t="e">
        <f>Reflection!A179</f>
        <v>#REF!</v>
      </c>
      <c r="U179" t="s">
        <v>13</v>
      </c>
      <c r="V179" t="e">
        <f t="shared" si="117"/>
        <v>#REF!</v>
      </c>
      <c r="W179" t="e">
        <f t="shared" si="118"/>
        <v>#REF!</v>
      </c>
      <c r="X179" t="e">
        <f t="shared" si="119"/>
        <v>#REF!</v>
      </c>
      <c r="Y179" t="e">
        <f t="shared" si="120"/>
        <v>#REF!</v>
      </c>
      <c r="Z179" t="e">
        <f t="shared" si="121"/>
        <v>#REF!</v>
      </c>
      <c r="AA179" t="e">
        <f t="shared" si="122"/>
        <v>#REF!</v>
      </c>
      <c r="AD179" t="e">
        <f>Reflection!A179</f>
        <v>#REF!</v>
      </c>
      <c r="AE179" t="s">
        <v>13</v>
      </c>
      <c r="AF179" t="e">
        <f t="shared" si="123"/>
        <v>#REF!</v>
      </c>
      <c r="AG179" t="e">
        <f t="shared" si="124"/>
        <v>#REF!</v>
      </c>
      <c r="AH179" t="e">
        <f t="shared" si="125"/>
        <v>#REF!</v>
      </c>
      <c r="AI179" t="e">
        <f t="shared" si="126"/>
        <v>#REF!</v>
      </c>
      <c r="AJ179" t="e">
        <f t="shared" si="127"/>
        <v>#REF!</v>
      </c>
      <c r="AK179" t="e">
        <f t="shared" si="128"/>
        <v>#REF!</v>
      </c>
      <c r="AN179" t="e">
        <f>Reflection!A179</f>
        <v>#REF!</v>
      </c>
      <c r="AO179" t="s">
        <v>13</v>
      </c>
      <c r="AP179" t="e">
        <f t="shared" si="129"/>
        <v>#REF!</v>
      </c>
      <c r="AQ179" t="e">
        <f t="shared" si="130"/>
        <v>#REF!</v>
      </c>
      <c r="AR179" t="e">
        <f t="shared" si="131"/>
        <v>#REF!</v>
      </c>
      <c r="AS179" t="e">
        <f t="shared" si="132"/>
        <v>#REF!</v>
      </c>
      <c r="AT179" t="e">
        <f t="shared" si="133"/>
        <v>#REF!</v>
      </c>
      <c r="AU179" t="e">
        <f t="shared" si="134"/>
        <v>#REF!</v>
      </c>
      <c r="AX179" t="e">
        <f>Reflection!A179</f>
        <v>#REF!</v>
      </c>
      <c r="AY179" t="s">
        <v>13</v>
      </c>
      <c r="AZ179" t="e">
        <f t="shared" si="135"/>
        <v>#REF!</v>
      </c>
      <c r="BA179" t="e">
        <f t="shared" si="136"/>
        <v>#REF!</v>
      </c>
      <c r="BB179" t="e">
        <f t="shared" si="137"/>
        <v>#REF!</v>
      </c>
      <c r="BC179" t="e">
        <f t="shared" si="138"/>
        <v>#REF!</v>
      </c>
      <c r="BD179" t="e">
        <f t="shared" si="139"/>
        <v>#REF!</v>
      </c>
      <c r="BE179" t="e">
        <f t="shared" si="140"/>
        <v>#REF!</v>
      </c>
      <c r="BH179" t="e">
        <f>Reflection!A179</f>
        <v>#REF!</v>
      </c>
      <c r="BI179" t="e">
        <f t="shared" si="141"/>
        <v>#REF!</v>
      </c>
      <c r="BJ179" t="e">
        <f t="shared" si="142"/>
        <v>#REF!</v>
      </c>
      <c r="BK179" t="e">
        <f t="shared" si="143"/>
        <v>#REF!</v>
      </c>
      <c r="BL179" t="e">
        <f t="shared" si="144"/>
        <v>#REF!</v>
      </c>
      <c r="BM179" t="e">
        <f t="shared" si="145"/>
        <v>#REF!</v>
      </c>
      <c r="BN179" t="e">
        <f t="shared" si="146"/>
        <v>#REF!</v>
      </c>
      <c r="BR179" t="e">
        <f>Reflection!A179</f>
        <v>#REF!</v>
      </c>
      <c r="BS179" t="s">
        <v>13</v>
      </c>
      <c r="BT179" t="e">
        <f t="shared" si="147"/>
        <v>#REF!</v>
      </c>
      <c r="BU179" t="e">
        <f t="shared" si="155"/>
        <v>#REF!</v>
      </c>
      <c r="BV179" t="e">
        <f t="shared" si="148"/>
        <v>#REF!</v>
      </c>
      <c r="BW179" t="e">
        <f t="shared" si="149"/>
        <v>#REF!</v>
      </c>
      <c r="BX179" t="e">
        <f t="shared" si="150"/>
        <v>#REF!</v>
      </c>
      <c r="BY179" t="e">
        <f t="shared" si="151"/>
        <v>#REF!</v>
      </c>
    </row>
    <row r="180" spans="1:77" x14ac:dyDescent="0.15">
      <c r="A180" t="e">
        <f>Reflection!A180</f>
        <v>#REF!</v>
      </c>
      <c r="B180" t="e">
        <f t="shared" si="152"/>
        <v>#REF!</v>
      </c>
      <c r="C180" t="e">
        <f t="shared" si="153"/>
        <v>#REF!</v>
      </c>
      <c r="D180" t="e">
        <f t="shared" si="108"/>
        <v>#REF!</v>
      </c>
      <c r="E180" t="e">
        <f t="shared" si="109"/>
        <v>#REF!</v>
      </c>
      <c r="F180" t="e">
        <f t="shared" si="110"/>
        <v>#REF!</v>
      </c>
      <c r="G180" t="e">
        <f t="shared" si="154"/>
        <v>#REF!</v>
      </c>
      <c r="J180" t="e">
        <f>Reflection!A180</f>
        <v>#REF!</v>
      </c>
      <c r="K180" t="s">
        <v>13</v>
      </c>
      <c r="L180" t="e">
        <f t="shared" si="111"/>
        <v>#REF!</v>
      </c>
      <c r="M180" t="e">
        <f t="shared" si="112"/>
        <v>#REF!</v>
      </c>
      <c r="N180" t="e">
        <f t="shared" si="113"/>
        <v>#REF!</v>
      </c>
      <c r="O180" t="e">
        <f t="shared" si="114"/>
        <v>#REF!</v>
      </c>
      <c r="P180" t="e">
        <f t="shared" si="115"/>
        <v>#REF!</v>
      </c>
      <c r="Q180" t="e">
        <f t="shared" si="116"/>
        <v>#REF!</v>
      </c>
      <c r="T180" t="e">
        <f>Reflection!A180</f>
        <v>#REF!</v>
      </c>
      <c r="U180" t="s">
        <v>13</v>
      </c>
      <c r="V180" t="e">
        <f t="shared" si="117"/>
        <v>#REF!</v>
      </c>
      <c r="W180" t="e">
        <f t="shared" si="118"/>
        <v>#REF!</v>
      </c>
      <c r="X180" t="e">
        <f t="shared" si="119"/>
        <v>#REF!</v>
      </c>
      <c r="Y180" t="e">
        <f t="shared" si="120"/>
        <v>#REF!</v>
      </c>
      <c r="Z180" t="e">
        <f t="shared" si="121"/>
        <v>#REF!</v>
      </c>
      <c r="AA180" t="e">
        <f t="shared" si="122"/>
        <v>#REF!</v>
      </c>
      <c r="AD180" t="e">
        <f>Reflection!A180</f>
        <v>#REF!</v>
      </c>
      <c r="AE180" t="s">
        <v>13</v>
      </c>
      <c r="AF180" t="e">
        <f t="shared" si="123"/>
        <v>#REF!</v>
      </c>
      <c r="AG180" t="e">
        <f t="shared" si="124"/>
        <v>#REF!</v>
      </c>
      <c r="AH180" t="e">
        <f t="shared" si="125"/>
        <v>#REF!</v>
      </c>
      <c r="AI180" t="e">
        <f t="shared" si="126"/>
        <v>#REF!</v>
      </c>
      <c r="AJ180" t="e">
        <f t="shared" si="127"/>
        <v>#REF!</v>
      </c>
      <c r="AK180" t="e">
        <f t="shared" si="128"/>
        <v>#REF!</v>
      </c>
      <c r="AN180" t="e">
        <f>Reflection!A180</f>
        <v>#REF!</v>
      </c>
      <c r="AO180" t="s">
        <v>13</v>
      </c>
      <c r="AP180" t="e">
        <f t="shared" si="129"/>
        <v>#REF!</v>
      </c>
      <c r="AQ180" t="e">
        <f t="shared" si="130"/>
        <v>#REF!</v>
      </c>
      <c r="AR180" t="e">
        <f t="shared" si="131"/>
        <v>#REF!</v>
      </c>
      <c r="AS180" t="e">
        <f t="shared" si="132"/>
        <v>#REF!</v>
      </c>
      <c r="AT180" t="e">
        <f t="shared" si="133"/>
        <v>#REF!</v>
      </c>
      <c r="AU180" t="e">
        <f t="shared" si="134"/>
        <v>#REF!</v>
      </c>
      <c r="AX180" t="e">
        <f>Reflection!A180</f>
        <v>#REF!</v>
      </c>
      <c r="AY180" t="s">
        <v>13</v>
      </c>
      <c r="AZ180" t="e">
        <f t="shared" si="135"/>
        <v>#REF!</v>
      </c>
      <c r="BA180" t="e">
        <f t="shared" si="136"/>
        <v>#REF!</v>
      </c>
      <c r="BB180" t="e">
        <f t="shared" si="137"/>
        <v>#REF!</v>
      </c>
      <c r="BC180" t="e">
        <f t="shared" si="138"/>
        <v>#REF!</v>
      </c>
      <c r="BD180" t="e">
        <f t="shared" si="139"/>
        <v>#REF!</v>
      </c>
      <c r="BE180" t="e">
        <f t="shared" si="140"/>
        <v>#REF!</v>
      </c>
      <c r="BH180" t="e">
        <f>Reflection!A180</f>
        <v>#REF!</v>
      </c>
      <c r="BI180" t="e">
        <f t="shared" si="141"/>
        <v>#REF!</v>
      </c>
      <c r="BJ180" t="e">
        <f t="shared" si="142"/>
        <v>#REF!</v>
      </c>
      <c r="BK180" t="e">
        <f t="shared" si="143"/>
        <v>#REF!</v>
      </c>
      <c r="BL180" t="e">
        <f t="shared" si="144"/>
        <v>#REF!</v>
      </c>
      <c r="BM180" t="e">
        <f t="shared" si="145"/>
        <v>#REF!</v>
      </c>
      <c r="BN180" t="e">
        <f t="shared" si="146"/>
        <v>#REF!</v>
      </c>
      <c r="BR180" t="e">
        <f>Reflection!A180</f>
        <v>#REF!</v>
      </c>
      <c r="BS180" t="s">
        <v>13</v>
      </c>
      <c r="BT180" t="e">
        <f t="shared" si="147"/>
        <v>#REF!</v>
      </c>
      <c r="BU180" t="e">
        <f t="shared" si="155"/>
        <v>#REF!</v>
      </c>
      <c r="BV180" t="e">
        <f t="shared" si="148"/>
        <v>#REF!</v>
      </c>
      <c r="BW180" t="e">
        <f t="shared" si="149"/>
        <v>#REF!</v>
      </c>
      <c r="BX180" t="e">
        <f t="shared" si="150"/>
        <v>#REF!</v>
      </c>
      <c r="BY180" t="e">
        <f t="shared" si="151"/>
        <v>#REF!</v>
      </c>
    </row>
    <row r="181" spans="1:77" x14ac:dyDescent="0.15">
      <c r="A181" t="e">
        <f>Reflection!A181</f>
        <v>#REF!</v>
      </c>
      <c r="B181" t="e">
        <f t="shared" si="152"/>
        <v>#REF!</v>
      </c>
      <c r="C181" t="e">
        <f t="shared" si="153"/>
        <v>#REF!</v>
      </c>
      <c r="D181" t="e">
        <f t="shared" si="108"/>
        <v>#REF!</v>
      </c>
      <c r="E181" t="e">
        <f t="shared" si="109"/>
        <v>#REF!</v>
      </c>
      <c r="F181" t="e">
        <f t="shared" si="110"/>
        <v>#REF!</v>
      </c>
      <c r="G181" t="e">
        <f t="shared" si="154"/>
        <v>#REF!</v>
      </c>
      <c r="J181" t="e">
        <f>Reflection!A181</f>
        <v>#REF!</v>
      </c>
      <c r="K181" t="s">
        <v>13</v>
      </c>
      <c r="L181" t="e">
        <f t="shared" si="111"/>
        <v>#REF!</v>
      </c>
      <c r="M181" t="e">
        <f t="shared" si="112"/>
        <v>#REF!</v>
      </c>
      <c r="N181" t="e">
        <f t="shared" si="113"/>
        <v>#REF!</v>
      </c>
      <c r="O181" t="e">
        <f t="shared" si="114"/>
        <v>#REF!</v>
      </c>
      <c r="P181" t="e">
        <f t="shared" si="115"/>
        <v>#REF!</v>
      </c>
      <c r="Q181" t="e">
        <f t="shared" si="116"/>
        <v>#REF!</v>
      </c>
      <c r="T181" t="e">
        <f>Reflection!A181</f>
        <v>#REF!</v>
      </c>
      <c r="U181" t="s">
        <v>13</v>
      </c>
      <c r="V181" t="e">
        <f t="shared" si="117"/>
        <v>#REF!</v>
      </c>
      <c r="W181" t="e">
        <f t="shared" si="118"/>
        <v>#REF!</v>
      </c>
      <c r="X181" t="e">
        <f t="shared" si="119"/>
        <v>#REF!</v>
      </c>
      <c r="Y181" t="e">
        <f t="shared" si="120"/>
        <v>#REF!</v>
      </c>
      <c r="Z181" t="e">
        <f t="shared" si="121"/>
        <v>#REF!</v>
      </c>
      <c r="AA181" t="e">
        <f t="shared" si="122"/>
        <v>#REF!</v>
      </c>
      <c r="AD181" t="e">
        <f>Reflection!A181</f>
        <v>#REF!</v>
      </c>
      <c r="AE181" t="s">
        <v>13</v>
      </c>
      <c r="AF181" t="e">
        <f t="shared" si="123"/>
        <v>#REF!</v>
      </c>
      <c r="AG181" t="e">
        <f t="shared" si="124"/>
        <v>#REF!</v>
      </c>
      <c r="AH181" t="e">
        <f t="shared" si="125"/>
        <v>#REF!</v>
      </c>
      <c r="AI181" t="e">
        <f t="shared" si="126"/>
        <v>#REF!</v>
      </c>
      <c r="AJ181" t="e">
        <f t="shared" si="127"/>
        <v>#REF!</v>
      </c>
      <c r="AK181" t="e">
        <f t="shared" si="128"/>
        <v>#REF!</v>
      </c>
      <c r="AN181" t="e">
        <f>Reflection!A181</f>
        <v>#REF!</v>
      </c>
      <c r="AO181" t="s">
        <v>13</v>
      </c>
      <c r="AP181" t="e">
        <f t="shared" si="129"/>
        <v>#REF!</v>
      </c>
      <c r="AQ181" t="e">
        <f t="shared" si="130"/>
        <v>#REF!</v>
      </c>
      <c r="AR181" t="e">
        <f t="shared" si="131"/>
        <v>#REF!</v>
      </c>
      <c r="AS181" t="e">
        <f t="shared" si="132"/>
        <v>#REF!</v>
      </c>
      <c r="AT181" t="e">
        <f t="shared" si="133"/>
        <v>#REF!</v>
      </c>
      <c r="AU181" t="e">
        <f t="shared" si="134"/>
        <v>#REF!</v>
      </c>
      <c r="AX181" t="e">
        <f>Reflection!A181</f>
        <v>#REF!</v>
      </c>
      <c r="AY181" t="s">
        <v>13</v>
      </c>
      <c r="AZ181" t="e">
        <f t="shared" si="135"/>
        <v>#REF!</v>
      </c>
      <c r="BA181" t="e">
        <f t="shared" si="136"/>
        <v>#REF!</v>
      </c>
      <c r="BB181" t="e">
        <f t="shared" si="137"/>
        <v>#REF!</v>
      </c>
      <c r="BC181" t="e">
        <f t="shared" si="138"/>
        <v>#REF!</v>
      </c>
      <c r="BD181" t="e">
        <f t="shared" si="139"/>
        <v>#REF!</v>
      </c>
      <c r="BE181" t="e">
        <f t="shared" si="140"/>
        <v>#REF!</v>
      </c>
      <c r="BH181" t="e">
        <f>Reflection!A181</f>
        <v>#REF!</v>
      </c>
      <c r="BI181" t="e">
        <f t="shared" si="141"/>
        <v>#REF!</v>
      </c>
      <c r="BJ181" t="e">
        <f t="shared" si="142"/>
        <v>#REF!</v>
      </c>
      <c r="BK181" t="e">
        <f t="shared" si="143"/>
        <v>#REF!</v>
      </c>
      <c r="BL181" t="e">
        <f t="shared" si="144"/>
        <v>#REF!</v>
      </c>
      <c r="BM181" t="e">
        <f t="shared" si="145"/>
        <v>#REF!</v>
      </c>
      <c r="BN181" t="e">
        <f t="shared" si="146"/>
        <v>#REF!</v>
      </c>
      <c r="BR181" t="e">
        <f>Reflection!A181</f>
        <v>#REF!</v>
      </c>
      <c r="BS181" t="s">
        <v>13</v>
      </c>
      <c r="BT181" t="e">
        <f t="shared" si="147"/>
        <v>#REF!</v>
      </c>
      <c r="BU181" t="e">
        <f t="shared" si="155"/>
        <v>#REF!</v>
      </c>
      <c r="BV181" t="e">
        <f t="shared" si="148"/>
        <v>#REF!</v>
      </c>
      <c r="BW181" t="e">
        <f t="shared" si="149"/>
        <v>#REF!</v>
      </c>
      <c r="BX181" t="e">
        <f t="shared" si="150"/>
        <v>#REF!</v>
      </c>
      <c r="BY181" t="e">
        <f t="shared" si="151"/>
        <v>#REF!</v>
      </c>
    </row>
    <row r="182" spans="1:77" x14ac:dyDescent="0.15">
      <c r="A182" t="e">
        <f>Reflection!A182</f>
        <v>#REF!</v>
      </c>
      <c r="B182" t="e">
        <f t="shared" si="152"/>
        <v>#REF!</v>
      </c>
      <c r="C182" t="e">
        <f t="shared" si="153"/>
        <v>#REF!</v>
      </c>
      <c r="D182" t="e">
        <f t="shared" si="108"/>
        <v>#REF!</v>
      </c>
      <c r="E182" t="e">
        <f t="shared" si="109"/>
        <v>#REF!</v>
      </c>
      <c r="F182" t="e">
        <f t="shared" si="110"/>
        <v>#REF!</v>
      </c>
      <c r="G182" t="e">
        <f t="shared" si="154"/>
        <v>#REF!</v>
      </c>
      <c r="J182" t="e">
        <f>Reflection!A182</f>
        <v>#REF!</v>
      </c>
      <c r="K182" t="s">
        <v>13</v>
      </c>
      <c r="L182" t="e">
        <f t="shared" si="111"/>
        <v>#REF!</v>
      </c>
      <c r="M182" t="e">
        <f t="shared" si="112"/>
        <v>#REF!</v>
      </c>
      <c r="N182" t="e">
        <f t="shared" si="113"/>
        <v>#REF!</v>
      </c>
      <c r="O182" t="e">
        <f t="shared" si="114"/>
        <v>#REF!</v>
      </c>
      <c r="P182" t="e">
        <f t="shared" si="115"/>
        <v>#REF!</v>
      </c>
      <c r="Q182" t="e">
        <f t="shared" si="116"/>
        <v>#REF!</v>
      </c>
      <c r="T182" t="e">
        <f>Reflection!A182</f>
        <v>#REF!</v>
      </c>
      <c r="U182" t="s">
        <v>13</v>
      </c>
      <c r="V182" t="e">
        <f t="shared" si="117"/>
        <v>#REF!</v>
      </c>
      <c r="W182" t="e">
        <f t="shared" si="118"/>
        <v>#REF!</v>
      </c>
      <c r="X182" t="e">
        <f t="shared" si="119"/>
        <v>#REF!</v>
      </c>
      <c r="Y182" t="e">
        <f t="shared" si="120"/>
        <v>#REF!</v>
      </c>
      <c r="Z182" t="e">
        <f t="shared" si="121"/>
        <v>#REF!</v>
      </c>
      <c r="AA182" t="e">
        <f t="shared" si="122"/>
        <v>#REF!</v>
      </c>
      <c r="AD182" t="e">
        <f>Reflection!A182</f>
        <v>#REF!</v>
      </c>
      <c r="AE182" t="s">
        <v>13</v>
      </c>
      <c r="AF182" t="e">
        <f t="shared" si="123"/>
        <v>#REF!</v>
      </c>
      <c r="AG182" t="e">
        <f t="shared" si="124"/>
        <v>#REF!</v>
      </c>
      <c r="AH182" t="e">
        <f t="shared" si="125"/>
        <v>#REF!</v>
      </c>
      <c r="AI182" t="e">
        <f t="shared" si="126"/>
        <v>#REF!</v>
      </c>
      <c r="AJ182" t="e">
        <f t="shared" si="127"/>
        <v>#REF!</v>
      </c>
      <c r="AK182" t="e">
        <f t="shared" si="128"/>
        <v>#REF!</v>
      </c>
      <c r="AN182" t="e">
        <f>Reflection!A182</f>
        <v>#REF!</v>
      </c>
      <c r="AO182" t="s">
        <v>13</v>
      </c>
      <c r="AP182" t="e">
        <f t="shared" si="129"/>
        <v>#REF!</v>
      </c>
      <c r="AQ182" t="e">
        <f t="shared" si="130"/>
        <v>#REF!</v>
      </c>
      <c r="AR182" t="e">
        <f t="shared" si="131"/>
        <v>#REF!</v>
      </c>
      <c r="AS182" t="e">
        <f t="shared" si="132"/>
        <v>#REF!</v>
      </c>
      <c r="AT182" t="e">
        <f t="shared" si="133"/>
        <v>#REF!</v>
      </c>
      <c r="AU182" t="e">
        <f t="shared" si="134"/>
        <v>#REF!</v>
      </c>
      <c r="AX182" t="e">
        <f>Reflection!A182</f>
        <v>#REF!</v>
      </c>
      <c r="AY182" t="s">
        <v>13</v>
      </c>
      <c r="AZ182" t="e">
        <f t="shared" si="135"/>
        <v>#REF!</v>
      </c>
      <c r="BA182" t="e">
        <f t="shared" si="136"/>
        <v>#REF!</v>
      </c>
      <c r="BB182" t="e">
        <f t="shared" si="137"/>
        <v>#REF!</v>
      </c>
      <c r="BC182" t="e">
        <f t="shared" si="138"/>
        <v>#REF!</v>
      </c>
      <c r="BD182" t="e">
        <f t="shared" si="139"/>
        <v>#REF!</v>
      </c>
      <c r="BE182" t="e">
        <f t="shared" si="140"/>
        <v>#REF!</v>
      </c>
      <c r="BH182" t="e">
        <f>Reflection!A182</f>
        <v>#REF!</v>
      </c>
      <c r="BI182" t="e">
        <f t="shared" si="141"/>
        <v>#REF!</v>
      </c>
      <c r="BJ182" t="e">
        <f t="shared" si="142"/>
        <v>#REF!</v>
      </c>
      <c r="BK182" t="e">
        <f t="shared" si="143"/>
        <v>#REF!</v>
      </c>
      <c r="BL182" t="e">
        <f t="shared" si="144"/>
        <v>#REF!</v>
      </c>
      <c r="BM182" t="e">
        <f t="shared" si="145"/>
        <v>#REF!</v>
      </c>
      <c r="BN182" t="e">
        <f t="shared" si="146"/>
        <v>#REF!</v>
      </c>
      <c r="BR182" t="e">
        <f>Reflection!A182</f>
        <v>#REF!</v>
      </c>
      <c r="BS182" t="s">
        <v>13</v>
      </c>
      <c r="BT182" t="e">
        <f t="shared" si="147"/>
        <v>#REF!</v>
      </c>
      <c r="BU182" t="e">
        <f t="shared" si="155"/>
        <v>#REF!</v>
      </c>
      <c r="BV182" t="e">
        <f t="shared" si="148"/>
        <v>#REF!</v>
      </c>
      <c r="BW182" t="e">
        <f t="shared" si="149"/>
        <v>#REF!</v>
      </c>
      <c r="BX182" t="e">
        <f t="shared" si="150"/>
        <v>#REF!</v>
      </c>
      <c r="BY182" t="e">
        <f t="shared" si="151"/>
        <v>#REF!</v>
      </c>
    </row>
    <row r="183" spans="1:77" x14ac:dyDescent="0.15">
      <c r="A183" t="e">
        <f>Reflection!A183</f>
        <v>#REF!</v>
      </c>
      <c r="B183" t="e">
        <f t="shared" si="152"/>
        <v>#REF!</v>
      </c>
      <c r="C183" t="e">
        <f t="shared" si="153"/>
        <v>#REF!</v>
      </c>
      <c r="D183" t="e">
        <f t="shared" si="108"/>
        <v>#REF!</v>
      </c>
      <c r="E183" t="e">
        <f t="shared" si="109"/>
        <v>#REF!</v>
      </c>
      <c r="F183" t="e">
        <f t="shared" si="110"/>
        <v>#REF!</v>
      </c>
      <c r="G183" t="e">
        <f t="shared" si="154"/>
        <v>#REF!</v>
      </c>
      <c r="J183" t="e">
        <f>Reflection!A183</f>
        <v>#REF!</v>
      </c>
      <c r="K183" t="s">
        <v>13</v>
      </c>
      <c r="L183" t="e">
        <f t="shared" si="111"/>
        <v>#REF!</v>
      </c>
      <c r="M183" t="e">
        <f t="shared" si="112"/>
        <v>#REF!</v>
      </c>
      <c r="N183" t="e">
        <f t="shared" si="113"/>
        <v>#REF!</v>
      </c>
      <c r="O183" t="e">
        <f t="shared" si="114"/>
        <v>#REF!</v>
      </c>
      <c r="P183" t="e">
        <f t="shared" si="115"/>
        <v>#REF!</v>
      </c>
      <c r="Q183" t="e">
        <f t="shared" si="116"/>
        <v>#REF!</v>
      </c>
      <c r="T183" t="e">
        <f>Reflection!A183</f>
        <v>#REF!</v>
      </c>
      <c r="U183" t="s">
        <v>13</v>
      </c>
      <c r="V183" t="e">
        <f t="shared" si="117"/>
        <v>#REF!</v>
      </c>
      <c r="W183" t="e">
        <f t="shared" si="118"/>
        <v>#REF!</v>
      </c>
      <c r="X183" t="e">
        <f t="shared" si="119"/>
        <v>#REF!</v>
      </c>
      <c r="Y183" t="e">
        <f t="shared" si="120"/>
        <v>#REF!</v>
      </c>
      <c r="Z183" t="e">
        <f t="shared" si="121"/>
        <v>#REF!</v>
      </c>
      <c r="AA183" t="e">
        <f t="shared" si="122"/>
        <v>#REF!</v>
      </c>
      <c r="AD183" t="e">
        <f>Reflection!A183</f>
        <v>#REF!</v>
      </c>
      <c r="AE183" t="s">
        <v>13</v>
      </c>
      <c r="AF183" t="e">
        <f t="shared" si="123"/>
        <v>#REF!</v>
      </c>
      <c r="AG183" t="e">
        <f t="shared" si="124"/>
        <v>#REF!</v>
      </c>
      <c r="AH183" t="e">
        <f t="shared" si="125"/>
        <v>#REF!</v>
      </c>
      <c r="AI183" t="e">
        <f t="shared" si="126"/>
        <v>#REF!</v>
      </c>
      <c r="AJ183" t="e">
        <f t="shared" si="127"/>
        <v>#REF!</v>
      </c>
      <c r="AK183" t="e">
        <f t="shared" si="128"/>
        <v>#REF!</v>
      </c>
      <c r="AN183" t="e">
        <f>Reflection!A183</f>
        <v>#REF!</v>
      </c>
      <c r="AO183" t="s">
        <v>13</v>
      </c>
      <c r="AP183" t="e">
        <f t="shared" si="129"/>
        <v>#REF!</v>
      </c>
      <c r="AQ183" t="e">
        <f t="shared" si="130"/>
        <v>#REF!</v>
      </c>
      <c r="AR183" t="e">
        <f t="shared" si="131"/>
        <v>#REF!</v>
      </c>
      <c r="AS183" t="e">
        <f t="shared" si="132"/>
        <v>#REF!</v>
      </c>
      <c r="AT183" t="e">
        <f t="shared" si="133"/>
        <v>#REF!</v>
      </c>
      <c r="AU183" t="e">
        <f t="shared" si="134"/>
        <v>#REF!</v>
      </c>
      <c r="AX183" t="e">
        <f>Reflection!A183</f>
        <v>#REF!</v>
      </c>
      <c r="AY183" t="s">
        <v>13</v>
      </c>
      <c r="AZ183" t="e">
        <f t="shared" si="135"/>
        <v>#REF!</v>
      </c>
      <c r="BA183" t="e">
        <f t="shared" si="136"/>
        <v>#REF!</v>
      </c>
      <c r="BB183" t="e">
        <f t="shared" si="137"/>
        <v>#REF!</v>
      </c>
      <c r="BC183" t="e">
        <f t="shared" si="138"/>
        <v>#REF!</v>
      </c>
      <c r="BD183" t="e">
        <f t="shared" si="139"/>
        <v>#REF!</v>
      </c>
      <c r="BE183" t="e">
        <f t="shared" si="140"/>
        <v>#REF!</v>
      </c>
      <c r="BH183" t="e">
        <f>Reflection!A183</f>
        <v>#REF!</v>
      </c>
      <c r="BI183" t="e">
        <f t="shared" si="141"/>
        <v>#REF!</v>
      </c>
      <c r="BJ183" t="e">
        <f t="shared" si="142"/>
        <v>#REF!</v>
      </c>
      <c r="BK183" t="e">
        <f t="shared" si="143"/>
        <v>#REF!</v>
      </c>
      <c r="BL183" t="e">
        <f t="shared" si="144"/>
        <v>#REF!</v>
      </c>
      <c r="BM183" t="e">
        <f t="shared" si="145"/>
        <v>#REF!</v>
      </c>
      <c r="BN183" t="e">
        <f t="shared" si="146"/>
        <v>#REF!</v>
      </c>
      <c r="BR183" t="e">
        <f>Reflection!A183</f>
        <v>#REF!</v>
      </c>
      <c r="BS183" t="s">
        <v>13</v>
      </c>
      <c r="BT183" t="e">
        <f t="shared" si="147"/>
        <v>#REF!</v>
      </c>
      <c r="BU183" t="e">
        <f t="shared" si="155"/>
        <v>#REF!</v>
      </c>
      <c r="BV183" t="e">
        <f t="shared" si="148"/>
        <v>#REF!</v>
      </c>
      <c r="BW183" t="e">
        <f t="shared" si="149"/>
        <v>#REF!</v>
      </c>
      <c r="BX183" t="e">
        <f t="shared" si="150"/>
        <v>#REF!</v>
      </c>
      <c r="BY183" t="e">
        <f t="shared" si="151"/>
        <v>#REF!</v>
      </c>
    </row>
    <row r="184" spans="1:77" x14ac:dyDescent="0.15">
      <c r="A184" t="e">
        <f>Reflection!A184</f>
        <v>#REF!</v>
      </c>
      <c r="B184" t="e">
        <f t="shared" si="152"/>
        <v>#REF!</v>
      </c>
      <c r="C184" t="e">
        <f t="shared" si="153"/>
        <v>#REF!</v>
      </c>
      <c r="D184" t="e">
        <f t="shared" si="108"/>
        <v>#REF!</v>
      </c>
      <c r="E184" t="e">
        <f t="shared" si="109"/>
        <v>#REF!</v>
      </c>
      <c r="F184" t="e">
        <f t="shared" si="110"/>
        <v>#REF!</v>
      </c>
      <c r="G184" t="e">
        <f t="shared" si="154"/>
        <v>#REF!</v>
      </c>
      <c r="J184" t="e">
        <f>Reflection!A184</f>
        <v>#REF!</v>
      </c>
      <c r="K184" t="s">
        <v>13</v>
      </c>
      <c r="L184" t="e">
        <f t="shared" si="111"/>
        <v>#REF!</v>
      </c>
      <c r="M184" t="e">
        <f t="shared" si="112"/>
        <v>#REF!</v>
      </c>
      <c r="N184" t="e">
        <f t="shared" si="113"/>
        <v>#REF!</v>
      </c>
      <c r="O184" t="e">
        <f t="shared" si="114"/>
        <v>#REF!</v>
      </c>
      <c r="P184" t="e">
        <f t="shared" si="115"/>
        <v>#REF!</v>
      </c>
      <c r="Q184" t="e">
        <f t="shared" si="116"/>
        <v>#REF!</v>
      </c>
      <c r="T184" t="e">
        <f>Reflection!A184</f>
        <v>#REF!</v>
      </c>
      <c r="U184" t="s">
        <v>13</v>
      </c>
      <c r="V184" t="e">
        <f t="shared" si="117"/>
        <v>#REF!</v>
      </c>
      <c r="W184" t="e">
        <f t="shared" si="118"/>
        <v>#REF!</v>
      </c>
      <c r="X184" t="e">
        <f t="shared" si="119"/>
        <v>#REF!</v>
      </c>
      <c r="Y184" t="e">
        <f t="shared" si="120"/>
        <v>#REF!</v>
      </c>
      <c r="Z184" t="e">
        <f t="shared" si="121"/>
        <v>#REF!</v>
      </c>
      <c r="AA184" t="e">
        <f t="shared" si="122"/>
        <v>#REF!</v>
      </c>
      <c r="AD184" t="e">
        <f>Reflection!A184</f>
        <v>#REF!</v>
      </c>
      <c r="AE184" t="s">
        <v>13</v>
      </c>
      <c r="AF184" t="e">
        <f t="shared" si="123"/>
        <v>#REF!</v>
      </c>
      <c r="AG184" t="e">
        <f t="shared" si="124"/>
        <v>#REF!</v>
      </c>
      <c r="AH184" t="e">
        <f t="shared" si="125"/>
        <v>#REF!</v>
      </c>
      <c r="AI184" t="e">
        <f t="shared" si="126"/>
        <v>#REF!</v>
      </c>
      <c r="AJ184" t="e">
        <f t="shared" si="127"/>
        <v>#REF!</v>
      </c>
      <c r="AK184" t="e">
        <f t="shared" si="128"/>
        <v>#REF!</v>
      </c>
      <c r="AN184" t="e">
        <f>Reflection!A184</f>
        <v>#REF!</v>
      </c>
      <c r="AO184" t="s">
        <v>13</v>
      </c>
      <c r="AP184" t="e">
        <f t="shared" si="129"/>
        <v>#REF!</v>
      </c>
      <c r="AQ184" t="e">
        <f t="shared" si="130"/>
        <v>#REF!</v>
      </c>
      <c r="AR184" t="e">
        <f t="shared" si="131"/>
        <v>#REF!</v>
      </c>
      <c r="AS184" t="e">
        <f t="shared" si="132"/>
        <v>#REF!</v>
      </c>
      <c r="AT184" t="e">
        <f t="shared" si="133"/>
        <v>#REF!</v>
      </c>
      <c r="AU184" t="e">
        <f t="shared" si="134"/>
        <v>#REF!</v>
      </c>
      <c r="AX184" t="e">
        <f>Reflection!A184</f>
        <v>#REF!</v>
      </c>
      <c r="AY184" t="s">
        <v>13</v>
      </c>
      <c r="AZ184" t="e">
        <f t="shared" si="135"/>
        <v>#REF!</v>
      </c>
      <c r="BA184" t="e">
        <f t="shared" si="136"/>
        <v>#REF!</v>
      </c>
      <c r="BB184" t="e">
        <f t="shared" si="137"/>
        <v>#REF!</v>
      </c>
      <c r="BC184" t="e">
        <f t="shared" si="138"/>
        <v>#REF!</v>
      </c>
      <c r="BD184" t="e">
        <f t="shared" si="139"/>
        <v>#REF!</v>
      </c>
      <c r="BE184" t="e">
        <f t="shared" si="140"/>
        <v>#REF!</v>
      </c>
      <c r="BH184" t="e">
        <f>Reflection!A184</f>
        <v>#REF!</v>
      </c>
      <c r="BI184" t="e">
        <f t="shared" si="141"/>
        <v>#REF!</v>
      </c>
      <c r="BJ184" t="e">
        <f t="shared" si="142"/>
        <v>#REF!</v>
      </c>
      <c r="BK184" t="e">
        <f t="shared" si="143"/>
        <v>#REF!</v>
      </c>
      <c r="BL184" t="e">
        <f t="shared" si="144"/>
        <v>#REF!</v>
      </c>
      <c r="BM184" t="e">
        <f t="shared" si="145"/>
        <v>#REF!</v>
      </c>
      <c r="BN184" t="e">
        <f t="shared" si="146"/>
        <v>#REF!</v>
      </c>
      <c r="BR184" t="e">
        <f>Reflection!A184</f>
        <v>#REF!</v>
      </c>
      <c r="BS184" t="s">
        <v>13</v>
      </c>
      <c r="BT184" t="e">
        <f t="shared" si="147"/>
        <v>#REF!</v>
      </c>
      <c r="BU184" t="e">
        <f t="shared" si="155"/>
        <v>#REF!</v>
      </c>
      <c r="BV184" t="e">
        <f t="shared" si="148"/>
        <v>#REF!</v>
      </c>
      <c r="BW184" t="e">
        <f t="shared" si="149"/>
        <v>#REF!</v>
      </c>
      <c r="BX184" t="e">
        <f t="shared" si="150"/>
        <v>#REF!</v>
      </c>
      <c r="BY184" t="e">
        <f t="shared" si="151"/>
        <v>#REF!</v>
      </c>
    </row>
    <row r="185" spans="1:77" x14ac:dyDescent="0.15">
      <c r="A185" t="e">
        <f>Reflection!A185</f>
        <v>#REF!</v>
      </c>
      <c r="B185" t="e">
        <f t="shared" si="152"/>
        <v>#REF!</v>
      </c>
      <c r="C185" t="e">
        <f t="shared" si="153"/>
        <v>#REF!</v>
      </c>
      <c r="D185" t="e">
        <f t="shared" si="108"/>
        <v>#REF!</v>
      </c>
      <c r="E185" t="e">
        <f t="shared" si="109"/>
        <v>#REF!</v>
      </c>
      <c r="F185" t="e">
        <f t="shared" si="110"/>
        <v>#REF!</v>
      </c>
      <c r="G185" t="e">
        <f t="shared" si="154"/>
        <v>#REF!</v>
      </c>
      <c r="J185" t="e">
        <f>Reflection!A185</f>
        <v>#REF!</v>
      </c>
      <c r="K185" t="s">
        <v>13</v>
      </c>
      <c r="L185" t="e">
        <f t="shared" si="111"/>
        <v>#REF!</v>
      </c>
      <c r="M185" t="e">
        <f t="shared" si="112"/>
        <v>#REF!</v>
      </c>
      <c r="N185" t="e">
        <f t="shared" si="113"/>
        <v>#REF!</v>
      </c>
      <c r="O185" t="e">
        <f t="shared" si="114"/>
        <v>#REF!</v>
      </c>
      <c r="P185" t="e">
        <f t="shared" si="115"/>
        <v>#REF!</v>
      </c>
      <c r="Q185" t="e">
        <f t="shared" si="116"/>
        <v>#REF!</v>
      </c>
      <c r="T185" t="e">
        <f>Reflection!A185</f>
        <v>#REF!</v>
      </c>
      <c r="U185" t="s">
        <v>13</v>
      </c>
      <c r="V185" t="e">
        <f t="shared" si="117"/>
        <v>#REF!</v>
      </c>
      <c r="W185" t="e">
        <f t="shared" si="118"/>
        <v>#REF!</v>
      </c>
      <c r="X185" t="e">
        <f t="shared" si="119"/>
        <v>#REF!</v>
      </c>
      <c r="Y185" t="e">
        <f t="shared" si="120"/>
        <v>#REF!</v>
      </c>
      <c r="Z185" t="e">
        <f t="shared" si="121"/>
        <v>#REF!</v>
      </c>
      <c r="AA185" t="e">
        <f t="shared" si="122"/>
        <v>#REF!</v>
      </c>
      <c r="AD185" t="e">
        <f>Reflection!A185</f>
        <v>#REF!</v>
      </c>
      <c r="AE185" t="s">
        <v>13</v>
      </c>
      <c r="AF185" t="e">
        <f t="shared" si="123"/>
        <v>#REF!</v>
      </c>
      <c r="AG185" t="e">
        <f t="shared" si="124"/>
        <v>#REF!</v>
      </c>
      <c r="AH185" t="e">
        <f t="shared" si="125"/>
        <v>#REF!</v>
      </c>
      <c r="AI185" t="e">
        <f t="shared" si="126"/>
        <v>#REF!</v>
      </c>
      <c r="AJ185" t="e">
        <f t="shared" si="127"/>
        <v>#REF!</v>
      </c>
      <c r="AK185" t="e">
        <f t="shared" si="128"/>
        <v>#REF!</v>
      </c>
      <c r="AN185" t="e">
        <f>Reflection!A185</f>
        <v>#REF!</v>
      </c>
      <c r="AO185" t="s">
        <v>13</v>
      </c>
      <c r="AP185" t="e">
        <f t="shared" si="129"/>
        <v>#REF!</v>
      </c>
      <c r="AQ185" t="e">
        <f t="shared" si="130"/>
        <v>#REF!</v>
      </c>
      <c r="AR185" t="e">
        <f t="shared" si="131"/>
        <v>#REF!</v>
      </c>
      <c r="AS185" t="e">
        <f t="shared" si="132"/>
        <v>#REF!</v>
      </c>
      <c r="AT185" t="e">
        <f t="shared" si="133"/>
        <v>#REF!</v>
      </c>
      <c r="AU185" t="e">
        <f t="shared" si="134"/>
        <v>#REF!</v>
      </c>
      <c r="AX185" t="e">
        <f>Reflection!A185</f>
        <v>#REF!</v>
      </c>
      <c r="AY185" t="s">
        <v>13</v>
      </c>
      <c r="AZ185" t="e">
        <f t="shared" si="135"/>
        <v>#REF!</v>
      </c>
      <c r="BA185" t="e">
        <f t="shared" si="136"/>
        <v>#REF!</v>
      </c>
      <c r="BB185" t="e">
        <f t="shared" si="137"/>
        <v>#REF!</v>
      </c>
      <c r="BC185" t="e">
        <f t="shared" si="138"/>
        <v>#REF!</v>
      </c>
      <c r="BD185" t="e">
        <f t="shared" si="139"/>
        <v>#REF!</v>
      </c>
      <c r="BE185" t="e">
        <f t="shared" si="140"/>
        <v>#REF!</v>
      </c>
      <c r="BH185" t="e">
        <f>Reflection!A185</f>
        <v>#REF!</v>
      </c>
      <c r="BI185" t="e">
        <f t="shared" si="141"/>
        <v>#REF!</v>
      </c>
      <c r="BJ185" t="e">
        <f t="shared" si="142"/>
        <v>#REF!</v>
      </c>
      <c r="BK185" t="e">
        <f t="shared" si="143"/>
        <v>#REF!</v>
      </c>
      <c r="BL185" t="e">
        <f t="shared" si="144"/>
        <v>#REF!</v>
      </c>
      <c r="BM185" t="e">
        <f t="shared" si="145"/>
        <v>#REF!</v>
      </c>
      <c r="BN185" t="e">
        <f t="shared" si="146"/>
        <v>#REF!</v>
      </c>
      <c r="BR185" t="e">
        <f>Reflection!A185</f>
        <v>#REF!</v>
      </c>
      <c r="BS185" t="s">
        <v>13</v>
      </c>
      <c r="BT185" t="e">
        <f t="shared" si="147"/>
        <v>#REF!</v>
      </c>
      <c r="BU185" t="e">
        <f t="shared" si="155"/>
        <v>#REF!</v>
      </c>
      <c r="BV185" t="e">
        <f t="shared" si="148"/>
        <v>#REF!</v>
      </c>
      <c r="BW185" t="e">
        <f t="shared" si="149"/>
        <v>#REF!</v>
      </c>
      <c r="BX185" t="e">
        <f t="shared" si="150"/>
        <v>#REF!</v>
      </c>
      <c r="BY185" t="e">
        <f t="shared" si="151"/>
        <v>#REF!</v>
      </c>
    </row>
    <row r="186" spans="1:77" x14ac:dyDescent="0.15">
      <c r="A186" t="e">
        <f>Reflection!A186</f>
        <v>#REF!</v>
      </c>
      <c r="B186" t="e">
        <f t="shared" si="152"/>
        <v>#REF!</v>
      </c>
      <c r="C186" t="e">
        <f t="shared" si="153"/>
        <v>#REF!</v>
      </c>
      <c r="D186" t="e">
        <f t="shared" si="108"/>
        <v>#REF!</v>
      </c>
      <c r="E186" t="e">
        <f t="shared" si="109"/>
        <v>#REF!</v>
      </c>
      <c r="F186" t="e">
        <f t="shared" si="110"/>
        <v>#REF!</v>
      </c>
      <c r="G186" t="e">
        <f t="shared" si="154"/>
        <v>#REF!</v>
      </c>
      <c r="J186" t="e">
        <f>Reflection!A186</f>
        <v>#REF!</v>
      </c>
      <c r="K186" t="s">
        <v>13</v>
      </c>
      <c r="L186" t="e">
        <f t="shared" si="111"/>
        <v>#REF!</v>
      </c>
      <c r="M186" t="e">
        <f t="shared" si="112"/>
        <v>#REF!</v>
      </c>
      <c r="N186" t="e">
        <f t="shared" si="113"/>
        <v>#REF!</v>
      </c>
      <c r="O186" t="e">
        <f t="shared" si="114"/>
        <v>#REF!</v>
      </c>
      <c r="P186" t="e">
        <f t="shared" si="115"/>
        <v>#REF!</v>
      </c>
      <c r="Q186" t="e">
        <f t="shared" si="116"/>
        <v>#REF!</v>
      </c>
      <c r="T186" t="e">
        <f>Reflection!A186</f>
        <v>#REF!</v>
      </c>
      <c r="U186" t="s">
        <v>13</v>
      </c>
      <c r="V186" t="e">
        <f t="shared" si="117"/>
        <v>#REF!</v>
      </c>
      <c r="W186" t="e">
        <f t="shared" si="118"/>
        <v>#REF!</v>
      </c>
      <c r="X186" t="e">
        <f t="shared" si="119"/>
        <v>#REF!</v>
      </c>
      <c r="Y186" t="e">
        <f t="shared" si="120"/>
        <v>#REF!</v>
      </c>
      <c r="Z186" t="e">
        <f t="shared" si="121"/>
        <v>#REF!</v>
      </c>
      <c r="AA186" t="e">
        <f t="shared" si="122"/>
        <v>#REF!</v>
      </c>
      <c r="AD186" t="e">
        <f>Reflection!A186</f>
        <v>#REF!</v>
      </c>
      <c r="AE186" t="s">
        <v>13</v>
      </c>
      <c r="AF186" t="e">
        <f t="shared" si="123"/>
        <v>#REF!</v>
      </c>
      <c r="AG186" t="e">
        <f t="shared" si="124"/>
        <v>#REF!</v>
      </c>
      <c r="AH186" t="e">
        <f t="shared" si="125"/>
        <v>#REF!</v>
      </c>
      <c r="AI186" t="e">
        <f t="shared" si="126"/>
        <v>#REF!</v>
      </c>
      <c r="AJ186" t="e">
        <f t="shared" si="127"/>
        <v>#REF!</v>
      </c>
      <c r="AK186" t="e">
        <f t="shared" si="128"/>
        <v>#REF!</v>
      </c>
      <c r="AN186" t="e">
        <f>Reflection!A186</f>
        <v>#REF!</v>
      </c>
      <c r="AO186" t="s">
        <v>13</v>
      </c>
      <c r="AP186" t="e">
        <f t="shared" si="129"/>
        <v>#REF!</v>
      </c>
      <c r="AQ186" t="e">
        <f t="shared" si="130"/>
        <v>#REF!</v>
      </c>
      <c r="AR186" t="e">
        <f t="shared" si="131"/>
        <v>#REF!</v>
      </c>
      <c r="AS186" t="e">
        <f t="shared" si="132"/>
        <v>#REF!</v>
      </c>
      <c r="AT186" t="e">
        <f t="shared" si="133"/>
        <v>#REF!</v>
      </c>
      <c r="AU186" t="e">
        <f t="shared" si="134"/>
        <v>#REF!</v>
      </c>
      <c r="AX186" t="e">
        <f>Reflection!A186</f>
        <v>#REF!</v>
      </c>
      <c r="AY186" t="s">
        <v>13</v>
      </c>
      <c r="AZ186" t="e">
        <f t="shared" si="135"/>
        <v>#REF!</v>
      </c>
      <c r="BA186" t="e">
        <f t="shared" si="136"/>
        <v>#REF!</v>
      </c>
      <c r="BB186" t="e">
        <f t="shared" si="137"/>
        <v>#REF!</v>
      </c>
      <c r="BC186" t="e">
        <f t="shared" si="138"/>
        <v>#REF!</v>
      </c>
      <c r="BD186" t="e">
        <f t="shared" si="139"/>
        <v>#REF!</v>
      </c>
      <c r="BE186" t="e">
        <f t="shared" si="140"/>
        <v>#REF!</v>
      </c>
      <c r="BH186" t="e">
        <f>Reflection!A186</f>
        <v>#REF!</v>
      </c>
      <c r="BI186" t="e">
        <f t="shared" si="141"/>
        <v>#REF!</v>
      </c>
      <c r="BJ186" t="e">
        <f t="shared" si="142"/>
        <v>#REF!</v>
      </c>
      <c r="BK186" t="e">
        <f t="shared" si="143"/>
        <v>#REF!</v>
      </c>
      <c r="BL186" t="e">
        <f t="shared" si="144"/>
        <v>#REF!</v>
      </c>
      <c r="BM186" t="e">
        <f t="shared" si="145"/>
        <v>#REF!</v>
      </c>
      <c r="BN186" t="e">
        <f t="shared" si="146"/>
        <v>#REF!</v>
      </c>
      <c r="BR186" t="e">
        <f>Reflection!A186</f>
        <v>#REF!</v>
      </c>
      <c r="BS186" t="s">
        <v>13</v>
      </c>
      <c r="BT186" t="e">
        <f t="shared" si="147"/>
        <v>#REF!</v>
      </c>
      <c r="BU186" t="e">
        <f t="shared" si="155"/>
        <v>#REF!</v>
      </c>
      <c r="BV186" t="e">
        <f t="shared" si="148"/>
        <v>#REF!</v>
      </c>
      <c r="BW186" t="e">
        <f t="shared" si="149"/>
        <v>#REF!</v>
      </c>
      <c r="BX186" t="e">
        <f t="shared" si="150"/>
        <v>#REF!</v>
      </c>
      <c r="BY186" t="e">
        <f t="shared" si="151"/>
        <v>#REF!</v>
      </c>
    </row>
    <row r="187" spans="1:77" x14ac:dyDescent="0.15">
      <c r="A187" t="e">
        <f>Reflection!A187</f>
        <v>#REF!</v>
      </c>
      <c r="B187" t="e">
        <f t="shared" si="152"/>
        <v>#REF!</v>
      </c>
      <c r="C187" t="e">
        <f t="shared" si="153"/>
        <v>#REF!</v>
      </c>
      <c r="D187" t="e">
        <f t="shared" si="108"/>
        <v>#REF!</v>
      </c>
      <c r="E187" t="e">
        <f t="shared" si="109"/>
        <v>#REF!</v>
      </c>
      <c r="F187" t="e">
        <f t="shared" si="110"/>
        <v>#REF!</v>
      </c>
      <c r="G187" t="e">
        <f t="shared" si="154"/>
        <v>#REF!</v>
      </c>
      <c r="J187" t="e">
        <f>Reflection!A187</f>
        <v>#REF!</v>
      </c>
      <c r="K187" t="s">
        <v>13</v>
      </c>
      <c r="L187" t="e">
        <f t="shared" si="111"/>
        <v>#REF!</v>
      </c>
      <c r="M187" t="e">
        <f t="shared" si="112"/>
        <v>#REF!</v>
      </c>
      <c r="N187" t="e">
        <f t="shared" si="113"/>
        <v>#REF!</v>
      </c>
      <c r="O187" t="e">
        <f t="shared" si="114"/>
        <v>#REF!</v>
      </c>
      <c r="P187" t="e">
        <f t="shared" si="115"/>
        <v>#REF!</v>
      </c>
      <c r="Q187" t="e">
        <f t="shared" si="116"/>
        <v>#REF!</v>
      </c>
      <c r="T187" t="e">
        <f>Reflection!A187</f>
        <v>#REF!</v>
      </c>
      <c r="U187" t="s">
        <v>13</v>
      </c>
      <c r="V187" t="e">
        <f t="shared" si="117"/>
        <v>#REF!</v>
      </c>
      <c r="W187" t="e">
        <f t="shared" si="118"/>
        <v>#REF!</v>
      </c>
      <c r="X187" t="e">
        <f t="shared" si="119"/>
        <v>#REF!</v>
      </c>
      <c r="Y187" t="e">
        <f t="shared" si="120"/>
        <v>#REF!</v>
      </c>
      <c r="Z187" t="e">
        <f t="shared" si="121"/>
        <v>#REF!</v>
      </c>
      <c r="AA187" t="e">
        <f t="shared" si="122"/>
        <v>#REF!</v>
      </c>
      <c r="AD187" t="e">
        <f>Reflection!A187</f>
        <v>#REF!</v>
      </c>
      <c r="AE187" t="s">
        <v>13</v>
      </c>
      <c r="AF187" t="e">
        <f t="shared" si="123"/>
        <v>#REF!</v>
      </c>
      <c r="AG187" t="e">
        <f t="shared" si="124"/>
        <v>#REF!</v>
      </c>
      <c r="AH187" t="e">
        <f t="shared" si="125"/>
        <v>#REF!</v>
      </c>
      <c r="AI187" t="e">
        <f t="shared" si="126"/>
        <v>#REF!</v>
      </c>
      <c r="AJ187" t="e">
        <f t="shared" si="127"/>
        <v>#REF!</v>
      </c>
      <c r="AK187" t="e">
        <f t="shared" si="128"/>
        <v>#REF!</v>
      </c>
      <c r="AN187" t="e">
        <f>Reflection!A187</f>
        <v>#REF!</v>
      </c>
      <c r="AO187" t="s">
        <v>13</v>
      </c>
      <c r="AP187" t="e">
        <f t="shared" si="129"/>
        <v>#REF!</v>
      </c>
      <c r="AQ187" t="e">
        <f t="shared" si="130"/>
        <v>#REF!</v>
      </c>
      <c r="AR187" t="e">
        <f t="shared" si="131"/>
        <v>#REF!</v>
      </c>
      <c r="AS187" t="e">
        <f t="shared" si="132"/>
        <v>#REF!</v>
      </c>
      <c r="AT187" t="e">
        <f t="shared" si="133"/>
        <v>#REF!</v>
      </c>
      <c r="AU187" t="e">
        <f t="shared" si="134"/>
        <v>#REF!</v>
      </c>
      <c r="AX187" t="e">
        <f>Reflection!A187</f>
        <v>#REF!</v>
      </c>
      <c r="AY187" t="s">
        <v>13</v>
      </c>
      <c r="AZ187" t="e">
        <f t="shared" si="135"/>
        <v>#REF!</v>
      </c>
      <c r="BA187" t="e">
        <f t="shared" si="136"/>
        <v>#REF!</v>
      </c>
      <c r="BB187" t="e">
        <f t="shared" si="137"/>
        <v>#REF!</v>
      </c>
      <c r="BC187" t="e">
        <f t="shared" si="138"/>
        <v>#REF!</v>
      </c>
      <c r="BD187" t="e">
        <f t="shared" si="139"/>
        <v>#REF!</v>
      </c>
      <c r="BE187" t="e">
        <f t="shared" si="140"/>
        <v>#REF!</v>
      </c>
      <c r="BH187" t="e">
        <f>Reflection!A187</f>
        <v>#REF!</v>
      </c>
      <c r="BI187" t="e">
        <f t="shared" si="141"/>
        <v>#REF!</v>
      </c>
      <c r="BJ187" t="e">
        <f t="shared" si="142"/>
        <v>#REF!</v>
      </c>
      <c r="BK187" t="e">
        <f t="shared" si="143"/>
        <v>#REF!</v>
      </c>
      <c r="BL187" t="e">
        <f t="shared" si="144"/>
        <v>#REF!</v>
      </c>
      <c r="BM187" t="e">
        <f t="shared" si="145"/>
        <v>#REF!</v>
      </c>
      <c r="BN187" t="e">
        <f t="shared" si="146"/>
        <v>#REF!</v>
      </c>
      <c r="BR187" t="e">
        <f>Reflection!A187</f>
        <v>#REF!</v>
      </c>
      <c r="BS187" t="s">
        <v>13</v>
      </c>
      <c r="BT187" t="e">
        <f t="shared" si="147"/>
        <v>#REF!</v>
      </c>
      <c r="BU187" t="e">
        <f t="shared" si="155"/>
        <v>#REF!</v>
      </c>
      <c r="BV187" t="e">
        <f t="shared" si="148"/>
        <v>#REF!</v>
      </c>
      <c r="BW187" t="e">
        <f t="shared" si="149"/>
        <v>#REF!</v>
      </c>
      <c r="BX187" t="e">
        <f t="shared" si="150"/>
        <v>#REF!</v>
      </c>
      <c r="BY187" t="e">
        <f t="shared" si="151"/>
        <v>#REF!</v>
      </c>
    </row>
    <row r="188" spans="1:77" x14ac:dyDescent="0.15">
      <c r="A188" t="e">
        <f>Reflection!A188</f>
        <v>#REF!</v>
      </c>
      <c r="B188" t="e">
        <f t="shared" si="152"/>
        <v>#REF!</v>
      </c>
      <c r="C188" t="e">
        <f t="shared" si="153"/>
        <v>#REF!</v>
      </c>
      <c r="D188" t="e">
        <f t="shared" si="108"/>
        <v>#REF!</v>
      </c>
      <c r="E188" t="e">
        <f t="shared" si="109"/>
        <v>#REF!</v>
      </c>
      <c r="F188" t="e">
        <f t="shared" si="110"/>
        <v>#REF!</v>
      </c>
      <c r="G188" t="e">
        <f t="shared" si="154"/>
        <v>#REF!</v>
      </c>
      <c r="J188" t="e">
        <f>Reflection!A188</f>
        <v>#REF!</v>
      </c>
      <c r="K188" t="s">
        <v>13</v>
      </c>
      <c r="L188" t="e">
        <f t="shared" si="111"/>
        <v>#REF!</v>
      </c>
      <c r="M188" t="e">
        <f t="shared" si="112"/>
        <v>#REF!</v>
      </c>
      <c r="N188" t="e">
        <f t="shared" si="113"/>
        <v>#REF!</v>
      </c>
      <c r="O188" t="e">
        <f t="shared" si="114"/>
        <v>#REF!</v>
      </c>
      <c r="P188" t="e">
        <f t="shared" si="115"/>
        <v>#REF!</v>
      </c>
      <c r="Q188" t="e">
        <f t="shared" si="116"/>
        <v>#REF!</v>
      </c>
      <c r="T188" t="e">
        <f>Reflection!A188</f>
        <v>#REF!</v>
      </c>
      <c r="U188" t="s">
        <v>13</v>
      </c>
      <c r="V188" t="e">
        <f t="shared" si="117"/>
        <v>#REF!</v>
      </c>
      <c r="W188" t="e">
        <f t="shared" si="118"/>
        <v>#REF!</v>
      </c>
      <c r="X188" t="e">
        <f t="shared" si="119"/>
        <v>#REF!</v>
      </c>
      <c r="Y188" t="e">
        <f t="shared" si="120"/>
        <v>#REF!</v>
      </c>
      <c r="Z188" t="e">
        <f t="shared" si="121"/>
        <v>#REF!</v>
      </c>
      <c r="AA188" t="e">
        <f t="shared" si="122"/>
        <v>#REF!</v>
      </c>
      <c r="AD188" t="e">
        <f>Reflection!A188</f>
        <v>#REF!</v>
      </c>
      <c r="AE188" t="s">
        <v>13</v>
      </c>
      <c r="AF188" t="e">
        <f t="shared" si="123"/>
        <v>#REF!</v>
      </c>
      <c r="AG188" t="e">
        <f t="shared" si="124"/>
        <v>#REF!</v>
      </c>
      <c r="AH188" t="e">
        <f t="shared" si="125"/>
        <v>#REF!</v>
      </c>
      <c r="AI188" t="e">
        <f t="shared" si="126"/>
        <v>#REF!</v>
      </c>
      <c r="AJ188" t="e">
        <f t="shared" si="127"/>
        <v>#REF!</v>
      </c>
      <c r="AK188" t="e">
        <f t="shared" si="128"/>
        <v>#REF!</v>
      </c>
      <c r="AN188" t="e">
        <f>Reflection!A188</f>
        <v>#REF!</v>
      </c>
      <c r="AO188" t="s">
        <v>13</v>
      </c>
      <c r="AP188" t="e">
        <f t="shared" si="129"/>
        <v>#REF!</v>
      </c>
      <c r="AQ188" t="e">
        <f t="shared" si="130"/>
        <v>#REF!</v>
      </c>
      <c r="AR188" t="e">
        <f t="shared" si="131"/>
        <v>#REF!</v>
      </c>
      <c r="AS188" t="e">
        <f t="shared" si="132"/>
        <v>#REF!</v>
      </c>
      <c r="AT188" t="e">
        <f t="shared" si="133"/>
        <v>#REF!</v>
      </c>
      <c r="AU188" t="e">
        <f t="shared" si="134"/>
        <v>#REF!</v>
      </c>
      <c r="AX188" t="e">
        <f>Reflection!A188</f>
        <v>#REF!</v>
      </c>
      <c r="AY188" t="s">
        <v>13</v>
      </c>
      <c r="AZ188" t="e">
        <f t="shared" si="135"/>
        <v>#REF!</v>
      </c>
      <c r="BA188" t="e">
        <f t="shared" si="136"/>
        <v>#REF!</v>
      </c>
      <c r="BB188" t="e">
        <f t="shared" si="137"/>
        <v>#REF!</v>
      </c>
      <c r="BC188" t="e">
        <f t="shared" si="138"/>
        <v>#REF!</v>
      </c>
      <c r="BD188" t="e">
        <f t="shared" si="139"/>
        <v>#REF!</v>
      </c>
      <c r="BE188" t="e">
        <f t="shared" si="140"/>
        <v>#REF!</v>
      </c>
      <c r="BH188" t="e">
        <f>Reflection!A188</f>
        <v>#REF!</v>
      </c>
      <c r="BI188" t="e">
        <f t="shared" si="141"/>
        <v>#REF!</v>
      </c>
      <c r="BJ188" t="e">
        <f t="shared" si="142"/>
        <v>#REF!</v>
      </c>
      <c r="BK188" t="e">
        <f t="shared" si="143"/>
        <v>#REF!</v>
      </c>
      <c r="BL188" t="e">
        <f t="shared" si="144"/>
        <v>#REF!</v>
      </c>
      <c r="BM188" t="e">
        <f t="shared" si="145"/>
        <v>#REF!</v>
      </c>
      <c r="BN188" t="e">
        <f t="shared" si="146"/>
        <v>#REF!</v>
      </c>
      <c r="BR188" t="e">
        <f>Reflection!A188</f>
        <v>#REF!</v>
      </c>
      <c r="BS188" t="s">
        <v>13</v>
      </c>
      <c r="BT188" t="e">
        <f t="shared" si="147"/>
        <v>#REF!</v>
      </c>
      <c r="BU188" t="e">
        <f t="shared" si="155"/>
        <v>#REF!</v>
      </c>
      <c r="BV188" t="e">
        <f t="shared" si="148"/>
        <v>#REF!</v>
      </c>
      <c r="BW188" t="e">
        <f t="shared" si="149"/>
        <v>#REF!</v>
      </c>
      <c r="BX188" t="e">
        <f t="shared" si="150"/>
        <v>#REF!</v>
      </c>
      <c r="BY188" t="e">
        <f t="shared" si="151"/>
        <v>#REF!</v>
      </c>
    </row>
    <row r="189" spans="1:77" x14ac:dyDescent="0.15">
      <c r="A189" t="e">
        <f>Reflection!A189</f>
        <v>#REF!</v>
      </c>
      <c r="B189" t="e">
        <f t="shared" si="152"/>
        <v>#REF!</v>
      </c>
      <c r="C189" t="e">
        <f t="shared" si="153"/>
        <v>#REF!</v>
      </c>
      <c r="D189" t="e">
        <f t="shared" si="108"/>
        <v>#REF!</v>
      </c>
      <c r="E189" t="e">
        <f t="shared" si="109"/>
        <v>#REF!</v>
      </c>
      <c r="F189" t="e">
        <f t="shared" si="110"/>
        <v>#REF!</v>
      </c>
      <c r="G189" t="e">
        <f t="shared" si="154"/>
        <v>#REF!</v>
      </c>
      <c r="J189" t="e">
        <f>Reflection!A189</f>
        <v>#REF!</v>
      </c>
      <c r="K189" t="s">
        <v>13</v>
      </c>
      <c r="L189" t="e">
        <f t="shared" si="111"/>
        <v>#REF!</v>
      </c>
      <c r="M189" t="e">
        <f t="shared" si="112"/>
        <v>#REF!</v>
      </c>
      <c r="N189" t="e">
        <f t="shared" si="113"/>
        <v>#REF!</v>
      </c>
      <c r="O189" t="e">
        <f t="shared" si="114"/>
        <v>#REF!</v>
      </c>
      <c r="P189" t="e">
        <f t="shared" si="115"/>
        <v>#REF!</v>
      </c>
      <c r="Q189" t="e">
        <f t="shared" si="116"/>
        <v>#REF!</v>
      </c>
      <c r="T189" t="e">
        <f>Reflection!A189</f>
        <v>#REF!</v>
      </c>
      <c r="U189" t="s">
        <v>13</v>
      </c>
      <c r="V189" t="e">
        <f t="shared" si="117"/>
        <v>#REF!</v>
      </c>
      <c r="W189" t="e">
        <f t="shared" si="118"/>
        <v>#REF!</v>
      </c>
      <c r="X189" t="e">
        <f t="shared" si="119"/>
        <v>#REF!</v>
      </c>
      <c r="Y189" t="e">
        <f t="shared" si="120"/>
        <v>#REF!</v>
      </c>
      <c r="Z189" t="e">
        <f t="shared" si="121"/>
        <v>#REF!</v>
      </c>
      <c r="AA189" t="e">
        <f t="shared" si="122"/>
        <v>#REF!</v>
      </c>
      <c r="AD189" t="e">
        <f>Reflection!A189</f>
        <v>#REF!</v>
      </c>
      <c r="AE189" t="s">
        <v>13</v>
      </c>
      <c r="AF189" t="e">
        <f t="shared" si="123"/>
        <v>#REF!</v>
      </c>
      <c r="AG189" t="e">
        <f t="shared" si="124"/>
        <v>#REF!</v>
      </c>
      <c r="AH189" t="e">
        <f t="shared" si="125"/>
        <v>#REF!</v>
      </c>
      <c r="AI189" t="e">
        <f t="shared" si="126"/>
        <v>#REF!</v>
      </c>
      <c r="AJ189" t="e">
        <f t="shared" si="127"/>
        <v>#REF!</v>
      </c>
      <c r="AK189" t="e">
        <f t="shared" si="128"/>
        <v>#REF!</v>
      </c>
      <c r="AN189" t="e">
        <f>Reflection!A189</f>
        <v>#REF!</v>
      </c>
      <c r="AO189" t="s">
        <v>13</v>
      </c>
      <c r="AP189" t="e">
        <f t="shared" si="129"/>
        <v>#REF!</v>
      </c>
      <c r="AQ189" t="e">
        <f t="shared" si="130"/>
        <v>#REF!</v>
      </c>
      <c r="AR189" t="e">
        <f t="shared" si="131"/>
        <v>#REF!</v>
      </c>
      <c r="AS189" t="e">
        <f t="shared" si="132"/>
        <v>#REF!</v>
      </c>
      <c r="AT189" t="e">
        <f t="shared" si="133"/>
        <v>#REF!</v>
      </c>
      <c r="AU189" t="e">
        <f t="shared" si="134"/>
        <v>#REF!</v>
      </c>
      <c r="AX189" t="e">
        <f>Reflection!A189</f>
        <v>#REF!</v>
      </c>
      <c r="AY189" t="s">
        <v>13</v>
      </c>
      <c r="AZ189" t="e">
        <f t="shared" si="135"/>
        <v>#REF!</v>
      </c>
      <c r="BA189" t="e">
        <f t="shared" si="136"/>
        <v>#REF!</v>
      </c>
      <c r="BB189" t="e">
        <f t="shared" si="137"/>
        <v>#REF!</v>
      </c>
      <c r="BC189" t="e">
        <f t="shared" si="138"/>
        <v>#REF!</v>
      </c>
      <c r="BD189" t="e">
        <f t="shared" si="139"/>
        <v>#REF!</v>
      </c>
      <c r="BE189" t="e">
        <f t="shared" si="140"/>
        <v>#REF!</v>
      </c>
      <c r="BH189" t="e">
        <f>Reflection!A189</f>
        <v>#REF!</v>
      </c>
      <c r="BI189" t="e">
        <f t="shared" si="141"/>
        <v>#REF!</v>
      </c>
      <c r="BJ189" t="e">
        <f t="shared" si="142"/>
        <v>#REF!</v>
      </c>
      <c r="BK189" t="e">
        <f t="shared" si="143"/>
        <v>#REF!</v>
      </c>
      <c r="BL189" t="e">
        <f t="shared" si="144"/>
        <v>#REF!</v>
      </c>
      <c r="BM189" t="e">
        <f t="shared" si="145"/>
        <v>#REF!</v>
      </c>
      <c r="BN189" t="e">
        <f t="shared" si="146"/>
        <v>#REF!</v>
      </c>
      <c r="BR189" t="e">
        <f>Reflection!A189</f>
        <v>#REF!</v>
      </c>
      <c r="BS189" t="s">
        <v>13</v>
      </c>
      <c r="BT189" t="e">
        <f t="shared" si="147"/>
        <v>#REF!</v>
      </c>
      <c r="BU189" t="e">
        <f t="shared" si="155"/>
        <v>#REF!</v>
      </c>
      <c r="BV189" t="e">
        <f t="shared" si="148"/>
        <v>#REF!</v>
      </c>
      <c r="BW189" t="e">
        <f t="shared" si="149"/>
        <v>#REF!</v>
      </c>
      <c r="BX189" t="e">
        <f t="shared" si="150"/>
        <v>#REF!</v>
      </c>
      <c r="BY189" t="e">
        <f t="shared" si="151"/>
        <v>#REF!</v>
      </c>
    </row>
    <row r="190" spans="1:77" x14ac:dyDescent="0.15">
      <c r="A190" t="e">
        <f>Reflection!A190</f>
        <v>#REF!</v>
      </c>
      <c r="B190" t="e">
        <f t="shared" si="152"/>
        <v>#REF!</v>
      </c>
      <c r="C190" t="e">
        <f t="shared" si="153"/>
        <v>#REF!</v>
      </c>
      <c r="D190" t="e">
        <f t="shared" si="108"/>
        <v>#REF!</v>
      </c>
      <c r="E190" t="e">
        <f t="shared" si="109"/>
        <v>#REF!</v>
      </c>
      <c r="F190" t="e">
        <f t="shared" si="110"/>
        <v>#REF!</v>
      </c>
      <c r="G190" t="e">
        <f t="shared" si="154"/>
        <v>#REF!</v>
      </c>
      <c r="J190" t="e">
        <f>Reflection!A190</f>
        <v>#REF!</v>
      </c>
      <c r="K190" t="s">
        <v>13</v>
      </c>
      <c r="L190" t="e">
        <f t="shared" si="111"/>
        <v>#REF!</v>
      </c>
      <c r="M190" t="e">
        <f t="shared" si="112"/>
        <v>#REF!</v>
      </c>
      <c r="N190" t="e">
        <f t="shared" si="113"/>
        <v>#REF!</v>
      </c>
      <c r="O190" t="e">
        <f t="shared" si="114"/>
        <v>#REF!</v>
      </c>
      <c r="P190" t="e">
        <f t="shared" si="115"/>
        <v>#REF!</v>
      </c>
      <c r="Q190" t="e">
        <f t="shared" si="116"/>
        <v>#REF!</v>
      </c>
      <c r="T190" t="e">
        <f>Reflection!A190</f>
        <v>#REF!</v>
      </c>
      <c r="U190" t="s">
        <v>13</v>
      </c>
      <c r="V190" t="e">
        <f t="shared" si="117"/>
        <v>#REF!</v>
      </c>
      <c r="W190" t="e">
        <f t="shared" si="118"/>
        <v>#REF!</v>
      </c>
      <c r="X190" t="e">
        <f t="shared" si="119"/>
        <v>#REF!</v>
      </c>
      <c r="Y190" t="e">
        <f t="shared" si="120"/>
        <v>#REF!</v>
      </c>
      <c r="Z190" t="e">
        <f t="shared" si="121"/>
        <v>#REF!</v>
      </c>
      <c r="AA190" t="e">
        <f t="shared" si="122"/>
        <v>#REF!</v>
      </c>
      <c r="AD190" t="e">
        <f>Reflection!A190</f>
        <v>#REF!</v>
      </c>
      <c r="AE190" t="s">
        <v>13</v>
      </c>
      <c r="AF190" t="e">
        <f t="shared" si="123"/>
        <v>#REF!</v>
      </c>
      <c r="AG190" t="e">
        <f t="shared" si="124"/>
        <v>#REF!</v>
      </c>
      <c r="AH190" t="e">
        <f t="shared" si="125"/>
        <v>#REF!</v>
      </c>
      <c r="AI190" t="e">
        <f t="shared" si="126"/>
        <v>#REF!</v>
      </c>
      <c r="AJ190" t="e">
        <f t="shared" si="127"/>
        <v>#REF!</v>
      </c>
      <c r="AK190" t="e">
        <f t="shared" si="128"/>
        <v>#REF!</v>
      </c>
      <c r="AN190" t="e">
        <f>Reflection!A190</f>
        <v>#REF!</v>
      </c>
      <c r="AO190" t="s">
        <v>13</v>
      </c>
      <c r="AP190" t="e">
        <f t="shared" si="129"/>
        <v>#REF!</v>
      </c>
      <c r="AQ190" t="e">
        <f t="shared" si="130"/>
        <v>#REF!</v>
      </c>
      <c r="AR190" t="e">
        <f t="shared" si="131"/>
        <v>#REF!</v>
      </c>
      <c r="AS190" t="e">
        <f t="shared" si="132"/>
        <v>#REF!</v>
      </c>
      <c r="AT190" t="e">
        <f t="shared" si="133"/>
        <v>#REF!</v>
      </c>
      <c r="AU190" t="e">
        <f t="shared" si="134"/>
        <v>#REF!</v>
      </c>
      <c r="AX190" t="e">
        <f>Reflection!A190</f>
        <v>#REF!</v>
      </c>
      <c r="AY190" t="s">
        <v>13</v>
      </c>
      <c r="AZ190" t="e">
        <f t="shared" si="135"/>
        <v>#REF!</v>
      </c>
      <c r="BA190" t="e">
        <f t="shared" si="136"/>
        <v>#REF!</v>
      </c>
      <c r="BB190" t="e">
        <f t="shared" si="137"/>
        <v>#REF!</v>
      </c>
      <c r="BC190" t="e">
        <f t="shared" si="138"/>
        <v>#REF!</v>
      </c>
      <c r="BD190" t="e">
        <f t="shared" si="139"/>
        <v>#REF!</v>
      </c>
      <c r="BE190" t="e">
        <f t="shared" si="140"/>
        <v>#REF!</v>
      </c>
      <c r="BH190" t="e">
        <f>Reflection!A190</f>
        <v>#REF!</v>
      </c>
      <c r="BI190" t="e">
        <f t="shared" si="141"/>
        <v>#REF!</v>
      </c>
      <c r="BJ190" t="e">
        <f t="shared" si="142"/>
        <v>#REF!</v>
      </c>
      <c r="BK190" t="e">
        <f t="shared" si="143"/>
        <v>#REF!</v>
      </c>
      <c r="BL190" t="e">
        <f t="shared" si="144"/>
        <v>#REF!</v>
      </c>
      <c r="BM190" t="e">
        <f t="shared" si="145"/>
        <v>#REF!</v>
      </c>
      <c r="BN190" t="e">
        <f t="shared" si="146"/>
        <v>#REF!</v>
      </c>
      <c r="BR190" t="e">
        <f>Reflection!A190</f>
        <v>#REF!</v>
      </c>
      <c r="BS190" t="s">
        <v>13</v>
      </c>
      <c r="BT190" t="e">
        <f t="shared" si="147"/>
        <v>#REF!</v>
      </c>
      <c r="BU190" t="e">
        <f t="shared" si="155"/>
        <v>#REF!</v>
      </c>
      <c r="BV190" t="e">
        <f t="shared" si="148"/>
        <v>#REF!</v>
      </c>
      <c r="BW190" t="e">
        <f t="shared" si="149"/>
        <v>#REF!</v>
      </c>
      <c r="BX190" t="e">
        <f t="shared" si="150"/>
        <v>#REF!</v>
      </c>
      <c r="BY190" t="e">
        <f t="shared" si="151"/>
        <v>#REF!</v>
      </c>
    </row>
    <row r="191" spans="1:77" x14ac:dyDescent="0.15">
      <c r="A191" t="e">
        <f>Reflection!A191</f>
        <v>#REF!</v>
      </c>
      <c r="B191" t="e">
        <f t="shared" si="152"/>
        <v>#REF!</v>
      </c>
      <c r="C191" t="e">
        <f t="shared" si="153"/>
        <v>#REF!</v>
      </c>
      <c r="D191" t="e">
        <f t="shared" si="108"/>
        <v>#REF!</v>
      </c>
      <c r="E191" t="e">
        <f t="shared" si="109"/>
        <v>#REF!</v>
      </c>
      <c r="F191" t="e">
        <f t="shared" si="110"/>
        <v>#REF!</v>
      </c>
      <c r="G191" t="e">
        <f t="shared" si="154"/>
        <v>#REF!</v>
      </c>
      <c r="J191" t="e">
        <f>Reflection!A191</f>
        <v>#REF!</v>
      </c>
      <c r="K191" t="s">
        <v>13</v>
      </c>
      <c r="L191" t="e">
        <f t="shared" si="111"/>
        <v>#REF!</v>
      </c>
      <c r="M191" t="e">
        <f t="shared" si="112"/>
        <v>#REF!</v>
      </c>
      <c r="N191" t="e">
        <f t="shared" si="113"/>
        <v>#REF!</v>
      </c>
      <c r="O191" t="e">
        <f t="shared" si="114"/>
        <v>#REF!</v>
      </c>
      <c r="P191" t="e">
        <f t="shared" si="115"/>
        <v>#REF!</v>
      </c>
      <c r="Q191" t="e">
        <f t="shared" si="116"/>
        <v>#REF!</v>
      </c>
      <c r="T191" t="e">
        <f>Reflection!A191</f>
        <v>#REF!</v>
      </c>
      <c r="U191" t="s">
        <v>13</v>
      </c>
      <c r="V191" t="e">
        <f t="shared" si="117"/>
        <v>#REF!</v>
      </c>
      <c r="W191" t="e">
        <f t="shared" si="118"/>
        <v>#REF!</v>
      </c>
      <c r="X191" t="e">
        <f t="shared" si="119"/>
        <v>#REF!</v>
      </c>
      <c r="Y191" t="e">
        <f t="shared" si="120"/>
        <v>#REF!</v>
      </c>
      <c r="Z191" t="e">
        <f t="shared" si="121"/>
        <v>#REF!</v>
      </c>
      <c r="AA191" t="e">
        <f t="shared" si="122"/>
        <v>#REF!</v>
      </c>
      <c r="AD191" t="e">
        <f>Reflection!A191</f>
        <v>#REF!</v>
      </c>
      <c r="AE191" t="s">
        <v>13</v>
      </c>
      <c r="AF191" t="e">
        <f t="shared" si="123"/>
        <v>#REF!</v>
      </c>
      <c r="AG191" t="e">
        <f t="shared" si="124"/>
        <v>#REF!</v>
      </c>
      <c r="AH191" t="e">
        <f t="shared" si="125"/>
        <v>#REF!</v>
      </c>
      <c r="AI191" t="e">
        <f t="shared" si="126"/>
        <v>#REF!</v>
      </c>
      <c r="AJ191" t="e">
        <f t="shared" si="127"/>
        <v>#REF!</v>
      </c>
      <c r="AK191" t="e">
        <f t="shared" si="128"/>
        <v>#REF!</v>
      </c>
      <c r="AN191" t="e">
        <f>Reflection!A191</f>
        <v>#REF!</v>
      </c>
      <c r="AO191" t="s">
        <v>13</v>
      </c>
      <c r="AP191" t="e">
        <f t="shared" si="129"/>
        <v>#REF!</v>
      </c>
      <c r="AQ191" t="e">
        <f t="shared" si="130"/>
        <v>#REF!</v>
      </c>
      <c r="AR191" t="e">
        <f t="shared" si="131"/>
        <v>#REF!</v>
      </c>
      <c r="AS191" t="e">
        <f t="shared" si="132"/>
        <v>#REF!</v>
      </c>
      <c r="AT191" t="e">
        <f t="shared" si="133"/>
        <v>#REF!</v>
      </c>
      <c r="AU191" t="e">
        <f t="shared" si="134"/>
        <v>#REF!</v>
      </c>
      <c r="AX191" t="e">
        <f>Reflection!A191</f>
        <v>#REF!</v>
      </c>
      <c r="AY191" t="s">
        <v>13</v>
      </c>
      <c r="AZ191" t="e">
        <f t="shared" si="135"/>
        <v>#REF!</v>
      </c>
      <c r="BA191" t="e">
        <f t="shared" si="136"/>
        <v>#REF!</v>
      </c>
      <c r="BB191" t="e">
        <f t="shared" si="137"/>
        <v>#REF!</v>
      </c>
      <c r="BC191" t="e">
        <f t="shared" si="138"/>
        <v>#REF!</v>
      </c>
      <c r="BD191" t="e">
        <f t="shared" si="139"/>
        <v>#REF!</v>
      </c>
      <c r="BE191" t="e">
        <f t="shared" si="140"/>
        <v>#REF!</v>
      </c>
      <c r="BH191" t="e">
        <f>Reflection!A191</f>
        <v>#REF!</v>
      </c>
      <c r="BI191" t="e">
        <f t="shared" si="141"/>
        <v>#REF!</v>
      </c>
      <c r="BJ191" t="e">
        <f t="shared" si="142"/>
        <v>#REF!</v>
      </c>
      <c r="BK191" t="e">
        <f t="shared" si="143"/>
        <v>#REF!</v>
      </c>
      <c r="BL191" t="e">
        <f t="shared" si="144"/>
        <v>#REF!</v>
      </c>
      <c r="BM191" t="e">
        <f t="shared" si="145"/>
        <v>#REF!</v>
      </c>
      <c r="BN191" t="e">
        <f t="shared" si="146"/>
        <v>#REF!</v>
      </c>
      <c r="BR191" t="e">
        <f>Reflection!A191</f>
        <v>#REF!</v>
      </c>
      <c r="BS191" t="s">
        <v>13</v>
      </c>
      <c r="BT191" t="e">
        <f t="shared" si="147"/>
        <v>#REF!</v>
      </c>
      <c r="BU191" t="e">
        <f t="shared" si="155"/>
        <v>#REF!</v>
      </c>
      <c r="BV191" t="e">
        <f t="shared" si="148"/>
        <v>#REF!</v>
      </c>
      <c r="BW191" t="e">
        <f t="shared" si="149"/>
        <v>#REF!</v>
      </c>
      <c r="BX191" t="e">
        <f t="shared" si="150"/>
        <v>#REF!</v>
      </c>
      <c r="BY191" t="e">
        <f t="shared" si="151"/>
        <v>#REF!</v>
      </c>
    </row>
    <row r="192" spans="1:77" x14ac:dyDescent="0.15">
      <c r="A192" t="e">
        <f>Reflection!A192</f>
        <v>#REF!</v>
      </c>
      <c r="B192" t="e">
        <f t="shared" si="152"/>
        <v>#REF!</v>
      </c>
      <c r="C192" t="e">
        <f t="shared" si="153"/>
        <v>#REF!</v>
      </c>
      <c r="D192" t="e">
        <f t="shared" si="108"/>
        <v>#REF!</v>
      </c>
      <c r="E192" t="e">
        <f t="shared" si="109"/>
        <v>#REF!</v>
      </c>
      <c r="F192" t="e">
        <f t="shared" si="110"/>
        <v>#REF!</v>
      </c>
      <c r="G192" t="e">
        <f t="shared" si="154"/>
        <v>#REF!</v>
      </c>
      <c r="J192" t="e">
        <f>Reflection!A192</f>
        <v>#REF!</v>
      </c>
      <c r="K192" t="s">
        <v>13</v>
      </c>
      <c r="L192" t="e">
        <f t="shared" si="111"/>
        <v>#REF!</v>
      </c>
      <c r="M192" t="e">
        <f t="shared" si="112"/>
        <v>#REF!</v>
      </c>
      <c r="N192" t="e">
        <f t="shared" si="113"/>
        <v>#REF!</v>
      </c>
      <c r="O192" t="e">
        <f t="shared" si="114"/>
        <v>#REF!</v>
      </c>
      <c r="P192" t="e">
        <f t="shared" si="115"/>
        <v>#REF!</v>
      </c>
      <c r="Q192" t="e">
        <f t="shared" si="116"/>
        <v>#REF!</v>
      </c>
      <c r="T192" t="e">
        <f>Reflection!A192</f>
        <v>#REF!</v>
      </c>
      <c r="U192" t="s">
        <v>13</v>
      </c>
      <c r="V192" t="e">
        <f t="shared" si="117"/>
        <v>#REF!</v>
      </c>
      <c r="W192" t="e">
        <f t="shared" si="118"/>
        <v>#REF!</v>
      </c>
      <c r="X192" t="e">
        <f t="shared" si="119"/>
        <v>#REF!</v>
      </c>
      <c r="Y192" t="e">
        <f t="shared" si="120"/>
        <v>#REF!</v>
      </c>
      <c r="Z192" t="e">
        <f t="shared" si="121"/>
        <v>#REF!</v>
      </c>
      <c r="AA192" t="e">
        <f t="shared" si="122"/>
        <v>#REF!</v>
      </c>
      <c r="AD192" t="e">
        <f>Reflection!A192</f>
        <v>#REF!</v>
      </c>
      <c r="AE192" t="s">
        <v>13</v>
      </c>
      <c r="AF192" t="e">
        <f t="shared" si="123"/>
        <v>#REF!</v>
      </c>
      <c r="AG192" t="e">
        <f t="shared" si="124"/>
        <v>#REF!</v>
      </c>
      <c r="AH192" t="e">
        <f t="shared" si="125"/>
        <v>#REF!</v>
      </c>
      <c r="AI192" t="e">
        <f t="shared" si="126"/>
        <v>#REF!</v>
      </c>
      <c r="AJ192" t="e">
        <f t="shared" si="127"/>
        <v>#REF!</v>
      </c>
      <c r="AK192" t="e">
        <f t="shared" si="128"/>
        <v>#REF!</v>
      </c>
      <c r="AN192" t="e">
        <f>Reflection!A192</f>
        <v>#REF!</v>
      </c>
      <c r="AO192" t="s">
        <v>13</v>
      </c>
      <c r="AP192" t="e">
        <f t="shared" si="129"/>
        <v>#REF!</v>
      </c>
      <c r="AQ192" t="e">
        <f t="shared" si="130"/>
        <v>#REF!</v>
      </c>
      <c r="AR192" t="e">
        <f t="shared" si="131"/>
        <v>#REF!</v>
      </c>
      <c r="AS192" t="e">
        <f t="shared" si="132"/>
        <v>#REF!</v>
      </c>
      <c r="AT192" t="e">
        <f t="shared" si="133"/>
        <v>#REF!</v>
      </c>
      <c r="AU192" t="e">
        <f t="shared" si="134"/>
        <v>#REF!</v>
      </c>
      <c r="AX192" t="e">
        <f>Reflection!A192</f>
        <v>#REF!</v>
      </c>
      <c r="AY192" t="s">
        <v>13</v>
      </c>
      <c r="AZ192" t="e">
        <f t="shared" si="135"/>
        <v>#REF!</v>
      </c>
      <c r="BA192" t="e">
        <f t="shared" si="136"/>
        <v>#REF!</v>
      </c>
      <c r="BB192" t="e">
        <f t="shared" si="137"/>
        <v>#REF!</v>
      </c>
      <c r="BC192" t="e">
        <f t="shared" si="138"/>
        <v>#REF!</v>
      </c>
      <c r="BD192" t="e">
        <f t="shared" si="139"/>
        <v>#REF!</v>
      </c>
      <c r="BE192" t="e">
        <f t="shared" si="140"/>
        <v>#REF!</v>
      </c>
      <c r="BH192" t="e">
        <f>Reflection!A192</f>
        <v>#REF!</v>
      </c>
      <c r="BI192" t="e">
        <f t="shared" si="141"/>
        <v>#REF!</v>
      </c>
      <c r="BJ192" t="e">
        <f t="shared" si="142"/>
        <v>#REF!</v>
      </c>
      <c r="BK192" t="e">
        <f t="shared" si="143"/>
        <v>#REF!</v>
      </c>
      <c r="BL192" t="e">
        <f t="shared" si="144"/>
        <v>#REF!</v>
      </c>
      <c r="BM192" t="e">
        <f t="shared" si="145"/>
        <v>#REF!</v>
      </c>
      <c r="BN192" t="e">
        <f t="shared" si="146"/>
        <v>#REF!</v>
      </c>
      <c r="BR192" t="e">
        <f>Reflection!A192</f>
        <v>#REF!</v>
      </c>
      <c r="BS192" t="s">
        <v>13</v>
      </c>
      <c r="BT192" t="e">
        <f t="shared" si="147"/>
        <v>#REF!</v>
      </c>
      <c r="BU192" t="e">
        <f t="shared" si="155"/>
        <v>#REF!</v>
      </c>
      <c r="BV192" t="e">
        <f t="shared" si="148"/>
        <v>#REF!</v>
      </c>
      <c r="BW192" t="e">
        <f t="shared" si="149"/>
        <v>#REF!</v>
      </c>
      <c r="BX192" t="e">
        <f t="shared" si="150"/>
        <v>#REF!</v>
      </c>
      <c r="BY192" t="e">
        <f t="shared" si="151"/>
        <v>#REF!</v>
      </c>
    </row>
    <row r="193" spans="1:77" x14ac:dyDescent="0.15">
      <c r="A193" t="e">
        <f>Reflection!A193</f>
        <v>#REF!</v>
      </c>
      <c r="B193" t="e">
        <f t="shared" si="152"/>
        <v>#REF!</v>
      </c>
      <c r="C193" t="e">
        <f t="shared" si="153"/>
        <v>#REF!</v>
      </c>
      <c r="D193" t="e">
        <f t="shared" si="108"/>
        <v>#REF!</v>
      </c>
      <c r="E193" t="e">
        <f t="shared" si="109"/>
        <v>#REF!</v>
      </c>
      <c r="F193" t="e">
        <f t="shared" si="110"/>
        <v>#REF!</v>
      </c>
      <c r="G193" t="e">
        <f t="shared" si="154"/>
        <v>#REF!</v>
      </c>
      <c r="J193" t="e">
        <f>Reflection!A193</f>
        <v>#REF!</v>
      </c>
      <c r="K193" t="s">
        <v>13</v>
      </c>
      <c r="L193" t="e">
        <f t="shared" si="111"/>
        <v>#REF!</v>
      </c>
      <c r="M193" t="e">
        <f t="shared" si="112"/>
        <v>#REF!</v>
      </c>
      <c r="N193" t="e">
        <f t="shared" si="113"/>
        <v>#REF!</v>
      </c>
      <c r="O193" t="e">
        <f t="shared" si="114"/>
        <v>#REF!</v>
      </c>
      <c r="P193" t="e">
        <f t="shared" si="115"/>
        <v>#REF!</v>
      </c>
      <c r="Q193" t="e">
        <f t="shared" si="116"/>
        <v>#REF!</v>
      </c>
      <c r="T193" t="e">
        <f>Reflection!A193</f>
        <v>#REF!</v>
      </c>
      <c r="U193" t="s">
        <v>13</v>
      </c>
      <c r="V193" t="e">
        <f t="shared" si="117"/>
        <v>#REF!</v>
      </c>
      <c r="W193" t="e">
        <f t="shared" si="118"/>
        <v>#REF!</v>
      </c>
      <c r="X193" t="e">
        <f t="shared" si="119"/>
        <v>#REF!</v>
      </c>
      <c r="Y193" t="e">
        <f t="shared" si="120"/>
        <v>#REF!</v>
      </c>
      <c r="Z193" t="e">
        <f t="shared" si="121"/>
        <v>#REF!</v>
      </c>
      <c r="AA193" t="e">
        <f t="shared" si="122"/>
        <v>#REF!</v>
      </c>
      <c r="AD193" t="e">
        <f>Reflection!A193</f>
        <v>#REF!</v>
      </c>
      <c r="AE193" t="s">
        <v>13</v>
      </c>
      <c r="AF193" t="e">
        <f t="shared" si="123"/>
        <v>#REF!</v>
      </c>
      <c r="AG193" t="e">
        <f t="shared" si="124"/>
        <v>#REF!</v>
      </c>
      <c r="AH193" t="e">
        <f t="shared" si="125"/>
        <v>#REF!</v>
      </c>
      <c r="AI193" t="e">
        <f t="shared" si="126"/>
        <v>#REF!</v>
      </c>
      <c r="AJ193" t="e">
        <f t="shared" si="127"/>
        <v>#REF!</v>
      </c>
      <c r="AK193" t="e">
        <f t="shared" si="128"/>
        <v>#REF!</v>
      </c>
      <c r="AN193" t="e">
        <f>Reflection!A193</f>
        <v>#REF!</v>
      </c>
      <c r="AO193" t="s">
        <v>13</v>
      </c>
      <c r="AP193" t="e">
        <f t="shared" si="129"/>
        <v>#REF!</v>
      </c>
      <c r="AQ193" t="e">
        <f t="shared" si="130"/>
        <v>#REF!</v>
      </c>
      <c r="AR193" t="e">
        <f t="shared" si="131"/>
        <v>#REF!</v>
      </c>
      <c r="AS193" t="e">
        <f t="shared" si="132"/>
        <v>#REF!</v>
      </c>
      <c r="AT193" t="e">
        <f t="shared" si="133"/>
        <v>#REF!</v>
      </c>
      <c r="AU193" t="e">
        <f t="shared" si="134"/>
        <v>#REF!</v>
      </c>
      <c r="AX193" t="e">
        <f>Reflection!A193</f>
        <v>#REF!</v>
      </c>
      <c r="AY193" t="s">
        <v>13</v>
      </c>
      <c r="AZ193" t="e">
        <f t="shared" si="135"/>
        <v>#REF!</v>
      </c>
      <c r="BA193" t="e">
        <f t="shared" si="136"/>
        <v>#REF!</v>
      </c>
      <c r="BB193" t="e">
        <f t="shared" si="137"/>
        <v>#REF!</v>
      </c>
      <c r="BC193" t="e">
        <f t="shared" si="138"/>
        <v>#REF!</v>
      </c>
      <c r="BD193" t="e">
        <f t="shared" si="139"/>
        <v>#REF!</v>
      </c>
      <c r="BE193" t="e">
        <f t="shared" si="140"/>
        <v>#REF!</v>
      </c>
      <c r="BH193" t="e">
        <f>Reflection!A193</f>
        <v>#REF!</v>
      </c>
      <c r="BI193" t="e">
        <f t="shared" si="141"/>
        <v>#REF!</v>
      </c>
      <c r="BJ193" t="e">
        <f t="shared" si="142"/>
        <v>#REF!</v>
      </c>
      <c r="BK193" t="e">
        <f t="shared" si="143"/>
        <v>#REF!</v>
      </c>
      <c r="BL193" t="e">
        <f t="shared" si="144"/>
        <v>#REF!</v>
      </c>
      <c r="BM193" t="e">
        <f t="shared" si="145"/>
        <v>#REF!</v>
      </c>
      <c r="BN193" t="e">
        <f t="shared" si="146"/>
        <v>#REF!</v>
      </c>
      <c r="BR193" t="e">
        <f>Reflection!A193</f>
        <v>#REF!</v>
      </c>
      <c r="BS193" t="s">
        <v>13</v>
      </c>
      <c r="BT193" t="e">
        <f t="shared" si="147"/>
        <v>#REF!</v>
      </c>
      <c r="BU193" t="e">
        <f t="shared" si="155"/>
        <v>#REF!</v>
      </c>
      <c r="BV193" t="e">
        <f t="shared" si="148"/>
        <v>#REF!</v>
      </c>
      <c r="BW193" t="e">
        <f t="shared" si="149"/>
        <v>#REF!</v>
      </c>
      <c r="BX193" t="e">
        <f t="shared" si="150"/>
        <v>#REF!</v>
      </c>
      <c r="BY193" t="e">
        <f t="shared" si="151"/>
        <v>#REF!</v>
      </c>
    </row>
    <row r="194" spans="1:77" x14ac:dyDescent="0.15">
      <c r="A194" t="e">
        <f>Reflection!A194</f>
        <v>#REF!</v>
      </c>
      <c r="B194" t="e">
        <f t="shared" si="152"/>
        <v>#REF!</v>
      </c>
      <c r="C194" t="e">
        <f t="shared" si="153"/>
        <v>#REF!</v>
      </c>
      <c r="D194" t="e">
        <f t="shared" si="108"/>
        <v>#REF!</v>
      </c>
      <c r="E194" t="e">
        <f t="shared" si="109"/>
        <v>#REF!</v>
      </c>
      <c r="F194" t="e">
        <f t="shared" si="110"/>
        <v>#REF!</v>
      </c>
      <c r="G194" t="e">
        <f t="shared" si="154"/>
        <v>#REF!</v>
      </c>
      <c r="J194" t="e">
        <f>Reflection!A194</f>
        <v>#REF!</v>
      </c>
      <c r="K194" t="s">
        <v>13</v>
      </c>
      <c r="L194" t="e">
        <f t="shared" si="111"/>
        <v>#REF!</v>
      </c>
      <c r="M194" t="e">
        <f t="shared" si="112"/>
        <v>#REF!</v>
      </c>
      <c r="N194" t="e">
        <f t="shared" si="113"/>
        <v>#REF!</v>
      </c>
      <c r="O194" t="e">
        <f t="shared" si="114"/>
        <v>#REF!</v>
      </c>
      <c r="P194" t="e">
        <f t="shared" si="115"/>
        <v>#REF!</v>
      </c>
      <c r="Q194" t="e">
        <f t="shared" si="116"/>
        <v>#REF!</v>
      </c>
      <c r="T194" t="e">
        <f>Reflection!A194</f>
        <v>#REF!</v>
      </c>
      <c r="U194" t="s">
        <v>13</v>
      </c>
      <c r="V194" t="e">
        <f t="shared" si="117"/>
        <v>#REF!</v>
      </c>
      <c r="W194" t="e">
        <f t="shared" si="118"/>
        <v>#REF!</v>
      </c>
      <c r="X194" t="e">
        <f t="shared" si="119"/>
        <v>#REF!</v>
      </c>
      <c r="Y194" t="e">
        <f t="shared" si="120"/>
        <v>#REF!</v>
      </c>
      <c r="Z194" t="e">
        <f t="shared" si="121"/>
        <v>#REF!</v>
      </c>
      <c r="AA194" t="e">
        <f t="shared" si="122"/>
        <v>#REF!</v>
      </c>
      <c r="AD194" t="e">
        <f>Reflection!A194</f>
        <v>#REF!</v>
      </c>
      <c r="AE194" t="s">
        <v>13</v>
      </c>
      <c r="AF194" t="e">
        <f t="shared" si="123"/>
        <v>#REF!</v>
      </c>
      <c r="AG194" t="e">
        <f t="shared" si="124"/>
        <v>#REF!</v>
      </c>
      <c r="AH194" t="e">
        <f t="shared" si="125"/>
        <v>#REF!</v>
      </c>
      <c r="AI194" t="e">
        <f t="shared" si="126"/>
        <v>#REF!</v>
      </c>
      <c r="AJ194" t="e">
        <f t="shared" si="127"/>
        <v>#REF!</v>
      </c>
      <c r="AK194" t="e">
        <f t="shared" si="128"/>
        <v>#REF!</v>
      </c>
      <c r="AN194" t="e">
        <f>Reflection!A194</f>
        <v>#REF!</v>
      </c>
      <c r="AO194" t="s">
        <v>13</v>
      </c>
      <c r="AP194" t="e">
        <f t="shared" si="129"/>
        <v>#REF!</v>
      </c>
      <c r="AQ194" t="e">
        <f t="shared" si="130"/>
        <v>#REF!</v>
      </c>
      <c r="AR194" t="e">
        <f t="shared" si="131"/>
        <v>#REF!</v>
      </c>
      <c r="AS194" t="e">
        <f t="shared" si="132"/>
        <v>#REF!</v>
      </c>
      <c r="AT194" t="e">
        <f t="shared" si="133"/>
        <v>#REF!</v>
      </c>
      <c r="AU194" t="e">
        <f t="shared" si="134"/>
        <v>#REF!</v>
      </c>
      <c r="AX194" t="e">
        <f>Reflection!A194</f>
        <v>#REF!</v>
      </c>
      <c r="AY194" t="s">
        <v>13</v>
      </c>
      <c r="AZ194" t="e">
        <f t="shared" si="135"/>
        <v>#REF!</v>
      </c>
      <c r="BA194" t="e">
        <f t="shared" si="136"/>
        <v>#REF!</v>
      </c>
      <c r="BB194" t="e">
        <f t="shared" si="137"/>
        <v>#REF!</v>
      </c>
      <c r="BC194" t="e">
        <f t="shared" si="138"/>
        <v>#REF!</v>
      </c>
      <c r="BD194" t="e">
        <f t="shared" si="139"/>
        <v>#REF!</v>
      </c>
      <c r="BE194" t="e">
        <f t="shared" si="140"/>
        <v>#REF!</v>
      </c>
      <c r="BH194" t="e">
        <f>Reflection!A194</f>
        <v>#REF!</v>
      </c>
      <c r="BI194" t="e">
        <f t="shared" si="141"/>
        <v>#REF!</v>
      </c>
      <c r="BJ194" t="e">
        <f t="shared" si="142"/>
        <v>#REF!</v>
      </c>
      <c r="BK194" t="e">
        <f t="shared" si="143"/>
        <v>#REF!</v>
      </c>
      <c r="BL194" t="e">
        <f t="shared" si="144"/>
        <v>#REF!</v>
      </c>
      <c r="BM194" t="e">
        <f t="shared" si="145"/>
        <v>#REF!</v>
      </c>
      <c r="BN194" t="e">
        <f t="shared" si="146"/>
        <v>#REF!</v>
      </c>
      <c r="BR194" t="e">
        <f>Reflection!A194</f>
        <v>#REF!</v>
      </c>
      <c r="BS194" t="s">
        <v>13</v>
      </c>
      <c r="BT194" t="e">
        <f t="shared" si="147"/>
        <v>#REF!</v>
      </c>
      <c r="BU194" t="e">
        <f t="shared" si="155"/>
        <v>#REF!</v>
      </c>
      <c r="BV194" t="e">
        <f t="shared" si="148"/>
        <v>#REF!</v>
      </c>
      <c r="BW194" t="e">
        <f t="shared" si="149"/>
        <v>#REF!</v>
      </c>
      <c r="BX194" t="e">
        <f t="shared" si="150"/>
        <v>#REF!</v>
      </c>
      <c r="BY194" t="e">
        <f t="shared" si="151"/>
        <v>#REF!</v>
      </c>
    </row>
    <row r="195" spans="1:77" x14ac:dyDescent="0.15">
      <c r="A195" t="e">
        <f>Reflection!A195</f>
        <v>#REF!</v>
      </c>
      <c r="B195" t="e">
        <f t="shared" ref="B195:B202" si="156">IMSUM(4.1,IMDIV((78.4-4.1),IMSUM(IMPRODUCT($C$1,2*PI()*A195*0.0000000000083),1)))</f>
        <v>#REF!</v>
      </c>
      <c r="C195" t="e">
        <f t="shared" ref="C195:C202" si="157">IMPRODUCT(IMPRODUCT(B195,$C$1),2*PI()*A195*0.000000000008854)</f>
        <v>#REF!</v>
      </c>
      <c r="D195" t="e">
        <f t="shared" si="108"/>
        <v>#REF!</v>
      </c>
      <c r="E195" t="e">
        <f t="shared" si="109"/>
        <v>#REF!</v>
      </c>
      <c r="F195" t="e">
        <f t="shared" si="110"/>
        <v>#REF!</v>
      </c>
      <c r="G195" t="e">
        <f t="shared" ref="G195:G202" si="158">IMAGINARY(C195)</f>
        <v>#REF!</v>
      </c>
      <c r="J195" t="e">
        <f>Reflection!A195</f>
        <v>#REF!</v>
      </c>
      <c r="K195" t="s">
        <v>13</v>
      </c>
      <c r="L195" t="e">
        <f t="shared" si="111"/>
        <v>#REF!</v>
      </c>
      <c r="M195" t="e">
        <f t="shared" si="112"/>
        <v>#REF!</v>
      </c>
      <c r="N195" t="e">
        <f t="shared" si="113"/>
        <v>#REF!</v>
      </c>
      <c r="O195" t="e">
        <f t="shared" si="114"/>
        <v>#REF!</v>
      </c>
      <c r="P195" t="e">
        <f t="shared" si="115"/>
        <v>#REF!</v>
      </c>
      <c r="Q195" t="e">
        <f t="shared" si="116"/>
        <v>#REF!</v>
      </c>
      <c r="T195" t="e">
        <f>Reflection!A195</f>
        <v>#REF!</v>
      </c>
      <c r="U195" t="s">
        <v>13</v>
      </c>
      <c r="V195" t="e">
        <f t="shared" si="117"/>
        <v>#REF!</v>
      </c>
      <c r="W195" t="e">
        <f t="shared" si="118"/>
        <v>#REF!</v>
      </c>
      <c r="X195" t="e">
        <f t="shared" si="119"/>
        <v>#REF!</v>
      </c>
      <c r="Y195" t="e">
        <f t="shared" si="120"/>
        <v>#REF!</v>
      </c>
      <c r="Z195" t="e">
        <f t="shared" si="121"/>
        <v>#REF!</v>
      </c>
      <c r="AA195" t="e">
        <f t="shared" si="122"/>
        <v>#REF!</v>
      </c>
      <c r="AD195" t="e">
        <f>Reflection!A195</f>
        <v>#REF!</v>
      </c>
      <c r="AE195" t="s">
        <v>13</v>
      </c>
      <c r="AF195" t="e">
        <f t="shared" si="123"/>
        <v>#REF!</v>
      </c>
      <c r="AG195" t="e">
        <f t="shared" si="124"/>
        <v>#REF!</v>
      </c>
      <c r="AH195" t="e">
        <f t="shared" si="125"/>
        <v>#REF!</v>
      </c>
      <c r="AI195" t="e">
        <f t="shared" si="126"/>
        <v>#REF!</v>
      </c>
      <c r="AJ195" t="e">
        <f t="shared" si="127"/>
        <v>#REF!</v>
      </c>
      <c r="AK195" t="e">
        <f t="shared" si="128"/>
        <v>#REF!</v>
      </c>
      <c r="AN195" t="e">
        <f>Reflection!A195</f>
        <v>#REF!</v>
      </c>
      <c r="AO195" t="s">
        <v>13</v>
      </c>
      <c r="AP195" t="e">
        <f t="shared" si="129"/>
        <v>#REF!</v>
      </c>
      <c r="AQ195" t="e">
        <f t="shared" si="130"/>
        <v>#REF!</v>
      </c>
      <c r="AR195" t="e">
        <f t="shared" si="131"/>
        <v>#REF!</v>
      </c>
      <c r="AS195" t="e">
        <f t="shared" si="132"/>
        <v>#REF!</v>
      </c>
      <c r="AT195" t="e">
        <f t="shared" si="133"/>
        <v>#REF!</v>
      </c>
      <c r="AU195" t="e">
        <f t="shared" si="134"/>
        <v>#REF!</v>
      </c>
      <c r="AX195" t="e">
        <f>Reflection!A195</f>
        <v>#REF!</v>
      </c>
      <c r="AY195" t="s">
        <v>13</v>
      </c>
      <c r="AZ195" t="e">
        <f t="shared" si="135"/>
        <v>#REF!</v>
      </c>
      <c r="BA195" t="e">
        <f t="shared" si="136"/>
        <v>#REF!</v>
      </c>
      <c r="BB195" t="e">
        <f t="shared" si="137"/>
        <v>#REF!</v>
      </c>
      <c r="BC195" t="e">
        <f t="shared" si="138"/>
        <v>#REF!</v>
      </c>
      <c r="BD195" t="e">
        <f t="shared" si="139"/>
        <v>#REF!</v>
      </c>
      <c r="BE195" t="e">
        <f t="shared" si="140"/>
        <v>#REF!</v>
      </c>
      <c r="BH195" t="e">
        <f>Reflection!A195</f>
        <v>#REF!</v>
      </c>
      <c r="BI195" t="e">
        <f t="shared" si="141"/>
        <v>#REF!</v>
      </c>
      <c r="BJ195" t="e">
        <f t="shared" si="142"/>
        <v>#REF!</v>
      </c>
      <c r="BK195" t="e">
        <f t="shared" si="143"/>
        <v>#REF!</v>
      </c>
      <c r="BL195" t="e">
        <f t="shared" si="144"/>
        <v>#REF!</v>
      </c>
      <c r="BM195" t="e">
        <f t="shared" si="145"/>
        <v>#REF!</v>
      </c>
      <c r="BN195" t="e">
        <f t="shared" si="146"/>
        <v>#REF!</v>
      </c>
      <c r="BR195" t="e">
        <f>Reflection!A195</f>
        <v>#REF!</v>
      </c>
      <c r="BS195" t="s">
        <v>13</v>
      </c>
      <c r="BT195" t="e">
        <f t="shared" si="147"/>
        <v>#REF!</v>
      </c>
      <c r="BU195" t="e">
        <f t="shared" ref="BU195:BU202" si="159">IMPRODUCT(IMPRODUCT(BT195,BS195),2*PI()*BR195*0.000000000008854)</f>
        <v>#REF!</v>
      </c>
      <c r="BV195" t="e">
        <f t="shared" si="148"/>
        <v>#REF!</v>
      </c>
      <c r="BW195" t="e">
        <f t="shared" si="149"/>
        <v>#REF!</v>
      </c>
      <c r="BX195" t="e">
        <f t="shared" si="150"/>
        <v>#REF!</v>
      </c>
      <c r="BY195" t="e">
        <f t="shared" si="151"/>
        <v>#REF!</v>
      </c>
    </row>
    <row r="196" spans="1:77" x14ac:dyDescent="0.15">
      <c r="A196" t="e">
        <f>Reflection!A196</f>
        <v>#REF!</v>
      </c>
      <c r="B196" t="e">
        <f t="shared" si="156"/>
        <v>#REF!</v>
      </c>
      <c r="C196" t="e">
        <f t="shared" si="157"/>
        <v>#REF!</v>
      </c>
      <c r="D196" t="e">
        <f t="shared" ref="D196:D202" si="160">IMREAL(B196)</f>
        <v>#REF!</v>
      </c>
      <c r="E196" t="e">
        <f t="shared" ref="E196:E202" si="161">-IMAGINARY(B196)</f>
        <v>#REF!</v>
      </c>
      <c r="F196" t="e">
        <f t="shared" ref="F196:F202" si="162">IMREAL(C196)</f>
        <v>#REF!</v>
      </c>
      <c r="G196" t="e">
        <f t="shared" si="158"/>
        <v>#REF!</v>
      </c>
      <c r="J196" t="e">
        <f>Reflection!A196</f>
        <v>#REF!</v>
      </c>
      <c r="K196" t="s">
        <v>13</v>
      </c>
      <c r="L196" t="e">
        <f t="shared" ref="L196:L202" si="163">IMSUM(2.6,IMDIV(19.94,IMSUM(1,IMPOWER(IMPRODUCT(K196,2*PI()*J196,0.0000000001649),1))),IMDIV(0.74,IMSUM(1,IMPRODUCT(K196,2*PI()*J196*0.0000000000104))),IMDIV(1.19,IMSUM(1,IMPRODUCT(K196,2*PI()*J196*0.00000000000169))))</f>
        <v>#REF!</v>
      </c>
      <c r="M196" t="e">
        <f t="shared" ref="M196:M202" si="164">IMPRODUCT(IMPRODUCT(L196,K196),2*PI()*J196*0.0000000000088542)</f>
        <v>#REF!</v>
      </c>
      <c r="N196" t="e">
        <f t="shared" ref="N196:N202" si="165">IMREAL(L196)</f>
        <v>#REF!</v>
      </c>
      <c r="O196" t="e">
        <f t="shared" ref="O196:O202" si="166">-IMAGINARY(L196)</f>
        <v>#REF!</v>
      </c>
      <c r="P196" t="e">
        <f t="shared" ref="P196:P202" si="167">IMREAL(M196)</f>
        <v>#REF!</v>
      </c>
      <c r="Q196" t="e">
        <f t="shared" ref="Q196:Q202" si="168">IMAGINARY(M196)</f>
        <v>#REF!</v>
      </c>
      <c r="T196" t="e">
        <f>Reflection!A196</f>
        <v>#REF!</v>
      </c>
      <c r="U196" t="s">
        <v>13</v>
      </c>
      <c r="V196" t="e">
        <f t="shared" ref="V196:V202" si="169">IMSUM(2.68,IMDIV(21.73,IMSUM(1,IMPOWER(IMPRODUCT(U196,2*PI()*T196,0.0000000001422),0.988))),IMDIV(0.77,IMSUM(1,IMPRODUCT(U196,2*PI()*T196*0.00000000000957))),IMDIV(1.32,IMSUM(1,IMPRODUCT(U196,2*PI()*T196*0.00000000000197))))</f>
        <v>#REF!</v>
      </c>
      <c r="W196" t="e">
        <f t="shared" ref="W196:W202" si="170">IMPRODUCT(IMPRODUCT(V196,U196),2*PI()*T196*0.0000000000088542)</f>
        <v>#REF!</v>
      </c>
      <c r="X196" t="e">
        <f t="shared" ref="X196:X202" si="171">IMREAL(V196)</f>
        <v>#REF!</v>
      </c>
      <c r="Y196" t="e">
        <f t="shared" ref="Y196:Y202" si="172">-IMAGINARY(V196)</f>
        <v>#REF!</v>
      </c>
      <c r="Z196" t="e">
        <f t="shared" ref="Z196:Z202" si="173">IMREAL(W196)</f>
        <v>#REF!</v>
      </c>
      <c r="AA196" t="e">
        <f t="shared" ref="AA196:AA202" si="174">IMAGINARY(W196)</f>
        <v>#REF!</v>
      </c>
      <c r="AD196" t="e">
        <f>Reflection!A196</f>
        <v>#REF!</v>
      </c>
      <c r="AE196" t="s">
        <v>13</v>
      </c>
      <c r="AF196" t="e">
        <f t="shared" ref="AF196:AF202" si="175">IMSUM(2.7,IMDIV(25.93,IMSUM(1,IMPOWER(IMPRODUCT(AE196,2*PI()*AD196,0.00000000009441),0.956))),IMDIV(1.44,IMSUM(1,IMPRODUCT(AE196,2*PI()*AD196*0.00000000000891))),IMDIV(1.28,IMSUM(1,IMPRODUCT(AE196,2*PI()*AD196*0.00000000000139))))</f>
        <v>#REF!</v>
      </c>
      <c r="AG196" t="e">
        <f t="shared" ref="AG196:AG202" si="176">IMPRODUCT(IMPRODUCT(AF196,AE196),2*PI()*AD196*0.0000000000088542)</f>
        <v>#REF!</v>
      </c>
      <c r="AH196" t="e">
        <f t="shared" ref="AH196:AH202" si="177">IMREAL(AF196)</f>
        <v>#REF!</v>
      </c>
      <c r="AI196" t="e">
        <f t="shared" ref="AI196:AI202" si="178">-IMAGINARY(AF196)</f>
        <v>#REF!</v>
      </c>
      <c r="AJ196" t="e">
        <f t="shared" ref="AJ196:AJ202" si="179">IMREAL(AG196)</f>
        <v>#REF!</v>
      </c>
      <c r="AK196" t="e">
        <f t="shared" ref="AK196:AK202" si="180">IMAGINARY(AG196)</f>
        <v>#REF!</v>
      </c>
      <c r="AN196" t="e">
        <f>Reflection!A196</f>
        <v>#REF!</v>
      </c>
      <c r="AO196" t="s">
        <v>13</v>
      </c>
      <c r="AP196" t="e">
        <f t="shared" ref="AP196:AP202" si="181">IMSUM(2.87,IMDIV(31.07,IMSUM(1,IMPOWER(IMPRODUCT(AO196,2*PI()*AN196,0.00000000005957),0.934))),IMDIV(1.79,IMSUM(1,IMPRODUCT(AO196,2*PI()*AN196*0.0000000000095))),IMDIV(1.21,IMSUM(1,IMPRODUCT(AO196,2*PI()*AN196*0.00000000000108))))</f>
        <v>#REF!</v>
      </c>
      <c r="AQ196" t="e">
        <f t="shared" ref="AQ196:AQ202" si="182">IMPRODUCT(IMPRODUCT(AP196,AO196),2*PI()*AN196*0.0000000000088542)</f>
        <v>#REF!</v>
      </c>
      <c r="AR196" t="e">
        <f t="shared" ref="AR196:AR202" si="183">IMREAL(AP196)</f>
        <v>#REF!</v>
      </c>
      <c r="AS196" t="e">
        <f t="shared" ref="AS196:AS202" si="184">-IMAGINARY(AP196)</f>
        <v>#REF!</v>
      </c>
      <c r="AT196" t="e">
        <f t="shared" ref="AT196:AT202" si="185">IMREAL(AQ196)</f>
        <v>#REF!</v>
      </c>
      <c r="AU196" t="e">
        <f t="shared" ref="AU196:AU202" si="186">IMAGINARY(AQ196)</f>
        <v>#REF!</v>
      </c>
      <c r="AX196" t="e">
        <f>Reflection!A196</f>
        <v>#REF!</v>
      </c>
      <c r="AY196" t="s">
        <v>13</v>
      </c>
      <c r="AZ196" t="e">
        <f t="shared" ref="AZ196:AZ202" si="187">IMSUM(3.14,IMDIV(42.45,IMSUM(1,IMPOWER(IMPRODUCT(AY196,2*PI()*AX196,0.00000000003598),0.94))),IMDIV(0.86,IMSUM(1,IMPRODUCT(AY196,2*PI()*AX196*0.00000000000744))),IMDIV(1.49,IMSUM(1,IMPRODUCT(AY196,2*PI()*AX196*0.00000000000125))))</f>
        <v>#REF!</v>
      </c>
      <c r="BA196" t="e">
        <f t="shared" ref="BA196:BA202" si="188">IMPRODUCT(IMPRODUCT(AZ196,AY196),2*PI()*AX196*0.0000000000088542)</f>
        <v>#REF!</v>
      </c>
      <c r="BB196" t="e">
        <f t="shared" ref="BB196:BB202" si="189">IMREAL(AZ196)</f>
        <v>#REF!</v>
      </c>
      <c r="BC196" t="e">
        <f t="shared" ref="BC196:BC202" si="190">-IMAGINARY(AZ196)</f>
        <v>#REF!</v>
      </c>
      <c r="BD196" t="e">
        <f t="shared" ref="BD196:BD202" si="191">IMREAL(BA196)</f>
        <v>#REF!</v>
      </c>
      <c r="BE196" t="e">
        <f t="shared" ref="BE196:BE202" si="192">IMAGINARY(BA196)</f>
        <v>#REF!</v>
      </c>
      <c r="BH196" t="e">
        <f>Reflection!A196</f>
        <v>#REF!</v>
      </c>
      <c r="BI196" t="e">
        <f t="shared" ref="BI196:BI202" si="193">IMSUM($BJ$1,IMSUM(IMDIV(($BK$1-$BJ$1),IMSUM(IMPOWER(IMPRODUCT($BP$1,2*PI()*BH196*$BL$1),(1-$BM$1)),1)),IMDIV($BN$1,IMPRODUCT($BP$1,2*PI()*BH196*0.000000000008854))))</f>
        <v>#REF!</v>
      </c>
      <c r="BJ196" t="e">
        <f t="shared" ref="BJ196:BJ202" si="194">IMPRODUCT(IMPRODUCT(BI196,$BP$1),2*PI()*BH196*0.000000000008854)</f>
        <v>#REF!</v>
      </c>
      <c r="BK196" t="e">
        <f t="shared" ref="BK196:BK202" si="195">IMREAL(BI196)</f>
        <v>#REF!</v>
      </c>
      <c r="BL196" t="e">
        <f t="shared" ref="BL196:BL202" si="196">-IMAGINARY(BI196)</f>
        <v>#REF!</v>
      </c>
      <c r="BM196" t="e">
        <f t="shared" ref="BM196:BM202" si="197">IMREAL(BJ196)</f>
        <v>#REF!</v>
      </c>
      <c r="BN196" t="e">
        <f t="shared" ref="BN196:BN202" si="198">IMAGINARY(BJ196)</f>
        <v>#REF!</v>
      </c>
      <c r="BR196" t="e">
        <f>Reflection!A196</f>
        <v>#REF!</v>
      </c>
      <c r="BS196" t="s">
        <v>13</v>
      </c>
      <c r="BT196" t="e">
        <f t="shared" ref="BT196:BT202" si="199">IMSUM(4.1,IMDIV((78.4-4.1),IMSUM(IMPRODUCT(BS196,2*PI()*BR196*0.0000000000083),1)))</f>
        <v>#REF!</v>
      </c>
      <c r="BU196" t="e">
        <f t="shared" si="159"/>
        <v>#REF!</v>
      </c>
      <c r="BV196" t="e">
        <f t="shared" ref="BV196:BV202" si="200">IMREAL(BT196)</f>
        <v>#REF!</v>
      </c>
      <c r="BW196" t="e">
        <f t="shared" ref="BW196:BW202" si="201">-IMAGINARY(BT196)</f>
        <v>#REF!</v>
      </c>
      <c r="BX196" t="e">
        <f t="shared" ref="BX196:BX202" si="202">IMREAL(BU196)</f>
        <v>#REF!</v>
      </c>
      <c r="BY196" t="e">
        <f t="shared" ref="BY196:BY202" si="203">IMAGINARY(BU196)</f>
        <v>#REF!</v>
      </c>
    </row>
    <row r="197" spans="1:77" x14ac:dyDescent="0.15">
      <c r="A197" t="e">
        <f>Reflection!A197</f>
        <v>#REF!</v>
      </c>
      <c r="B197" t="e">
        <f t="shared" si="156"/>
        <v>#REF!</v>
      </c>
      <c r="C197" t="e">
        <f t="shared" si="157"/>
        <v>#REF!</v>
      </c>
      <c r="D197" t="e">
        <f t="shared" si="160"/>
        <v>#REF!</v>
      </c>
      <c r="E197" t="e">
        <f t="shared" si="161"/>
        <v>#REF!</v>
      </c>
      <c r="F197" t="e">
        <f t="shared" si="162"/>
        <v>#REF!</v>
      </c>
      <c r="G197" t="e">
        <f t="shared" si="158"/>
        <v>#REF!</v>
      </c>
      <c r="J197" t="e">
        <f>Reflection!A197</f>
        <v>#REF!</v>
      </c>
      <c r="K197" t="s">
        <v>13</v>
      </c>
      <c r="L197" t="e">
        <f t="shared" si="163"/>
        <v>#REF!</v>
      </c>
      <c r="M197" t="e">
        <f t="shared" si="164"/>
        <v>#REF!</v>
      </c>
      <c r="N197" t="e">
        <f t="shared" si="165"/>
        <v>#REF!</v>
      </c>
      <c r="O197" t="e">
        <f t="shared" si="166"/>
        <v>#REF!</v>
      </c>
      <c r="P197" t="e">
        <f t="shared" si="167"/>
        <v>#REF!</v>
      </c>
      <c r="Q197" t="e">
        <f t="shared" si="168"/>
        <v>#REF!</v>
      </c>
      <c r="T197" t="e">
        <f>Reflection!A197</f>
        <v>#REF!</v>
      </c>
      <c r="U197" t="s">
        <v>13</v>
      </c>
      <c r="V197" t="e">
        <f t="shared" si="169"/>
        <v>#REF!</v>
      </c>
      <c r="W197" t="e">
        <f t="shared" si="170"/>
        <v>#REF!</v>
      </c>
      <c r="X197" t="e">
        <f t="shared" si="171"/>
        <v>#REF!</v>
      </c>
      <c r="Y197" t="e">
        <f t="shared" si="172"/>
        <v>#REF!</v>
      </c>
      <c r="Z197" t="e">
        <f t="shared" si="173"/>
        <v>#REF!</v>
      </c>
      <c r="AA197" t="e">
        <f t="shared" si="174"/>
        <v>#REF!</v>
      </c>
      <c r="AD197" t="e">
        <f>Reflection!A197</f>
        <v>#REF!</v>
      </c>
      <c r="AE197" t="s">
        <v>13</v>
      </c>
      <c r="AF197" t="e">
        <f t="shared" si="175"/>
        <v>#REF!</v>
      </c>
      <c r="AG197" t="e">
        <f t="shared" si="176"/>
        <v>#REF!</v>
      </c>
      <c r="AH197" t="e">
        <f t="shared" si="177"/>
        <v>#REF!</v>
      </c>
      <c r="AI197" t="e">
        <f t="shared" si="178"/>
        <v>#REF!</v>
      </c>
      <c r="AJ197" t="e">
        <f t="shared" si="179"/>
        <v>#REF!</v>
      </c>
      <c r="AK197" t="e">
        <f t="shared" si="180"/>
        <v>#REF!</v>
      </c>
      <c r="AN197" t="e">
        <f>Reflection!A197</f>
        <v>#REF!</v>
      </c>
      <c r="AO197" t="s">
        <v>13</v>
      </c>
      <c r="AP197" t="e">
        <f t="shared" si="181"/>
        <v>#REF!</v>
      </c>
      <c r="AQ197" t="e">
        <f t="shared" si="182"/>
        <v>#REF!</v>
      </c>
      <c r="AR197" t="e">
        <f t="shared" si="183"/>
        <v>#REF!</v>
      </c>
      <c r="AS197" t="e">
        <f t="shared" si="184"/>
        <v>#REF!</v>
      </c>
      <c r="AT197" t="e">
        <f t="shared" si="185"/>
        <v>#REF!</v>
      </c>
      <c r="AU197" t="e">
        <f t="shared" si="186"/>
        <v>#REF!</v>
      </c>
      <c r="AX197" t="e">
        <f>Reflection!A197</f>
        <v>#REF!</v>
      </c>
      <c r="AY197" t="s">
        <v>13</v>
      </c>
      <c r="AZ197" t="e">
        <f t="shared" si="187"/>
        <v>#REF!</v>
      </c>
      <c r="BA197" t="e">
        <f t="shared" si="188"/>
        <v>#REF!</v>
      </c>
      <c r="BB197" t="e">
        <f t="shared" si="189"/>
        <v>#REF!</v>
      </c>
      <c r="BC197" t="e">
        <f t="shared" si="190"/>
        <v>#REF!</v>
      </c>
      <c r="BD197" t="e">
        <f t="shared" si="191"/>
        <v>#REF!</v>
      </c>
      <c r="BE197" t="e">
        <f t="shared" si="192"/>
        <v>#REF!</v>
      </c>
      <c r="BH197" t="e">
        <f>Reflection!A197</f>
        <v>#REF!</v>
      </c>
      <c r="BI197" t="e">
        <f t="shared" si="193"/>
        <v>#REF!</v>
      </c>
      <c r="BJ197" t="e">
        <f t="shared" si="194"/>
        <v>#REF!</v>
      </c>
      <c r="BK197" t="e">
        <f t="shared" si="195"/>
        <v>#REF!</v>
      </c>
      <c r="BL197" t="e">
        <f t="shared" si="196"/>
        <v>#REF!</v>
      </c>
      <c r="BM197" t="e">
        <f t="shared" si="197"/>
        <v>#REF!</v>
      </c>
      <c r="BN197" t="e">
        <f t="shared" si="198"/>
        <v>#REF!</v>
      </c>
      <c r="BR197" t="e">
        <f>Reflection!A197</f>
        <v>#REF!</v>
      </c>
      <c r="BS197" t="s">
        <v>13</v>
      </c>
      <c r="BT197" t="e">
        <f t="shared" si="199"/>
        <v>#REF!</v>
      </c>
      <c r="BU197" t="e">
        <f t="shared" si="159"/>
        <v>#REF!</v>
      </c>
      <c r="BV197" t="e">
        <f t="shared" si="200"/>
        <v>#REF!</v>
      </c>
      <c r="BW197" t="e">
        <f t="shared" si="201"/>
        <v>#REF!</v>
      </c>
      <c r="BX197" t="e">
        <f t="shared" si="202"/>
        <v>#REF!</v>
      </c>
      <c r="BY197" t="e">
        <f t="shared" si="203"/>
        <v>#REF!</v>
      </c>
    </row>
    <row r="198" spans="1:77" x14ac:dyDescent="0.15">
      <c r="A198" t="e">
        <f>Reflection!A198</f>
        <v>#REF!</v>
      </c>
      <c r="B198" t="e">
        <f t="shared" si="156"/>
        <v>#REF!</v>
      </c>
      <c r="C198" t="e">
        <f t="shared" si="157"/>
        <v>#REF!</v>
      </c>
      <c r="D198" t="e">
        <f t="shared" si="160"/>
        <v>#REF!</v>
      </c>
      <c r="E198" t="e">
        <f t="shared" si="161"/>
        <v>#REF!</v>
      </c>
      <c r="F198" t="e">
        <f t="shared" si="162"/>
        <v>#REF!</v>
      </c>
      <c r="G198" t="e">
        <f t="shared" si="158"/>
        <v>#REF!</v>
      </c>
      <c r="J198" t="e">
        <f>Reflection!A198</f>
        <v>#REF!</v>
      </c>
      <c r="K198" t="s">
        <v>13</v>
      </c>
      <c r="L198" t="e">
        <f t="shared" si="163"/>
        <v>#REF!</v>
      </c>
      <c r="M198" t="e">
        <f t="shared" si="164"/>
        <v>#REF!</v>
      </c>
      <c r="N198" t="e">
        <f t="shared" si="165"/>
        <v>#REF!</v>
      </c>
      <c r="O198" t="e">
        <f t="shared" si="166"/>
        <v>#REF!</v>
      </c>
      <c r="P198" t="e">
        <f t="shared" si="167"/>
        <v>#REF!</v>
      </c>
      <c r="Q198" t="e">
        <f t="shared" si="168"/>
        <v>#REF!</v>
      </c>
      <c r="T198" t="e">
        <f>Reflection!A198</f>
        <v>#REF!</v>
      </c>
      <c r="U198" t="s">
        <v>13</v>
      </c>
      <c r="V198" t="e">
        <f t="shared" si="169"/>
        <v>#REF!</v>
      </c>
      <c r="W198" t="e">
        <f t="shared" si="170"/>
        <v>#REF!</v>
      </c>
      <c r="X198" t="e">
        <f t="shared" si="171"/>
        <v>#REF!</v>
      </c>
      <c r="Y198" t="e">
        <f t="shared" si="172"/>
        <v>#REF!</v>
      </c>
      <c r="Z198" t="e">
        <f t="shared" si="173"/>
        <v>#REF!</v>
      </c>
      <c r="AA198" t="e">
        <f t="shared" si="174"/>
        <v>#REF!</v>
      </c>
      <c r="AD198" t="e">
        <f>Reflection!A198</f>
        <v>#REF!</v>
      </c>
      <c r="AE198" t="s">
        <v>13</v>
      </c>
      <c r="AF198" t="e">
        <f t="shared" si="175"/>
        <v>#REF!</v>
      </c>
      <c r="AG198" t="e">
        <f t="shared" si="176"/>
        <v>#REF!</v>
      </c>
      <c r="AH198" t="e">
        <f t="shared" si="177"/>
        <v>#REF!</v>
      </c>
      <c r="AI198" t="e">
        <f t="shared" si="178"/>
        <v>#REF!</v>
      </c>
      <c r="AJ198" t="e">
        <f t="shared" si="179"/>
        <v>#REF!</v>
      </c>
      <c r="AK198" t="e">
        <f t="shared" si="180"/>
        <v>#REF!</v>
      </c>
      <c r="AN198" t="e">
        <f>Reflection!A198</f>
        <v>#REF!</v>
      </c>
      <c r="AO198" t="s">
        <v>13</v>
      </c>
      <c r="AP198" t="e">
        <f t="shared" si="181"/>
        <v>#REF!</v>
      </c>
      <c r="AQ198" t="e">
        <f t="shared" si="182"/>
        <v>#REF!</v>
      </c>
      <c r="AR198" t="e">
        <f t="shared" si="183"/>
        <v>#REF!</v>
      </c>
      <c r="AS198" t="e">
        <f t="shared" si="184"/>
        <v>#REF!</v>
      </c>
      <c r="AT198" t="e">
        <f t="shared" si="185"/>
        <v>#REF!</v>
      </c>
      <c r="AU198" t="e">
        <f t="shared" si="186"/>
        <v>#REF!</v>
      </c>
      <c r="AX198" t="e">
        <f>Reflection!A198</f>
        <v>#REF!</v>
      </c>
      <c r="AY198" t="s">
        <v>13</v>
      </c>
      <c r="AZ198" t="e">
        <f t="shared" si="187"/>
        <v>#REF!</v>
      </c>
      <c r="BA198" t="e">
        <f t="shared" si="188"/>
        <v>#REF!</v>
      </c>
      <c r="BB198" t="e">
        <f t="shared" si="189"/>
        <v>#REF!</v>
      </c>
      <c r="BC198" t="e">
        <f t="shared" si="190"/>
        <v>#REF!</v>
      </c>
      <c r="BD198" t="e">
        <f t="shared" si="191"/>
        <v>#REF!</v>
      </c>
      <c r="BE198" t="e">
        <f t="shared" si="192"/>
        <v>#REF!</v>
      </c>
      <c r="BH198" t="e">
        <f>Reflection!A198</f>
        <v>#REF!</v>
      </c>
      <c r="BI198" t="e">
        <f t="shared" si="193"/>
        <v>#REF!</v>
      </c>
      <c r="BJ198" t="e">
        <f t="shared" si="194"/>
        <v>#REF!</v>
      </c>
      <c r="BK198" t="e">
        <f t="shared" si="195"/>
        <v>#REF!</v>
      </c>
      <c r="BL198" t="e">
        <f t="shared" si="196"/>
        <v>#REF!</v>
      </c>
      <c r="BM198" t="e">
        <f t="shared" si="197"/>
        <v>#REF!</v>
      </c>
      <c r="BN198" t="e">
        <f t="shared" si="198"/>
        <v>#REF!</v>
      </c>
      <c r="BR198" t="e">
        <f>Reflection!A198</f>
        <v>#REF!</v>
      </c>
      <c r="BS198" t="s">
        <v>13</v>
      </c>
      <c r="BT198" t="e">
        <f t="shared" si="199"/>
        <v>#REF!</v>
      </c>
      <c r="BU198" t="e">
        <f t="shared" si="159"/>
        <v>#REF!</v>
      </c>
      <c r="BV198" t="e">
        <f t="shared" si="200"/>
        <v>#REF!</v>
      </c>
      <c r="BW198" t="e">
        <f t="shared" si="201"/>
        <v>#REF!</v>
      </c>
      <c r="BX198" t="e">
        <f t="shared" si="202"/>
        <v>#REF!</v>
      </c>
      <c r="BY198" t="e">
        <f t="shared" si="203"/>
        <v>#REF!</v>
      </c>
    </row>
    <row r="199" spans="1:77" x14ac:dyDescent="0.15">
      <c r="A199" t="e">
        <f>Reflection!A199</f>
        <v>#REF!</v>
      </c>
      <c r="B199" t="e">
        <f t="shared" si="156"/>
        <v>#REF!</v>
      </c>
      <c r="C199" t="e">
        <f t="shared" si="157"/>
        <v>#REF!</v>
      </c>
      <c r="D199" t="e">
        <f t="shared" si="160"/>
        <v>#REF!</v>
      </c>
      <c r="E199" t="e">
        <f t="shared" si="161"/>
        <v>#REF!</v>
      </c>
      <c r="F199" t="e">
        <f t="shared" si="162"/>
        <v>#REF!</v>
      </c>
      <c r="G199" t="e">
        <f t="shared" si="158"/>
        <v>#REF!</v>
      </c>
      <c r="J199" t="e">
        <f>Reflection!A199</f>
        <v>#REF!</v>
      </c>
      <c r="K199" t="s">
        <v>13</v>
      </c>
      <c r="L199" t="e">
        <f t="shared" si="163"/>
        <v>#REF!</v>
      </c>
      <c r="M199" t="e">
        <f t="shared" si="164"/>
        <v>#REF!</v>
      </c>
      <c r="N199" t="e">
        <f t="shared" si="165"/>
        <v>#REF!</v>
      </c>
      <c r="O199" t="e">
        <f t="shared" si="166"/>
        <v>#REF!</v>
      </c>
      <c r="P199" t="e">
        <f t="shared" si="167"/>
        <v>#REF!</v>
      </c>
      <c r="Q199" t="e">
        <f t="shared" si="168"/>
        <v>#REF!</v>
      </c>
      <c r="T199" t="e">
        <f>Reflection!A199</f>
        <v>#REF!</v>
      </c>
      <c r="U199" t="s">
        <v>13</v>
      </c>
      <c r="V199" t="e">
        <f t="shared" si="169"/>
        <v>#REF!</v>
      </c>
      <c r="W199" t="e">
        <f t="shared" si="170"/>
        <v>#REF!</v>
      </c>
      <c r="X199" t="e">
        <f t="shared" si="171"/>
        <v>#REF!</v>
      </c>
      <c r="Y199" t="e">
        <f t="shared" si="172"/>
        <v>#REF!</v>
      </c>
      <c r="Z199" t="e">
        <f t="shared" si="173"/>
        <v>#REF!</v>
      </c>
      <c r="AA199" t="e">
        <f t="shared" si="174"/>
        <v>#REF!</v>
      </c>
      <c r="AD199" t="e">
        <f>Reflection!A199</f>
        <v>#REF!</v>
      </c>
      <c r="AE199" t="s">
        <v>13</v>
      </c>
      <c r="AF199" t="e">
        <f t="shared" si="175"/>
        <v>#REF!</v>
      </c>
      <c r="AG199" t="e">
        <f t="shared" si="176"/>
        <v>#REF!</v>
      </c>
      <c r="AH199" t="e">
        <f t="shared" si="177"/>
        <v>#REF!</v>
      </c>
      <c r="AI199" t="e">
        <f t="shared" si="178"/>
        <v>#REF!</v>
      </c>
      <c r="AJ199" t="e">
        <f t="shared" si="179"/>
        <v>#REF!</v>
      </c>
      <c r="AK199" t="e">
        <f t="shared" si="180"/>
        <v>#REF!</v>
      </c>
      <c r="AN199" t="e">
        <f>Reflection!A199</f>
        <v>#REF!</v>
      </c>
      <c r="AO199" t="s">
        <v>13</v>
      </c>
      <c r="AP199" t="e">
        <f t="shared" si="181"/>
        <v>#REF!</v>
      </c>
      <c r="AQ199" t="e">
        <f t="shared" si="182"/>
        <v>#REF!</v>
      </c>
      <c r="AR199" t="e">
        <f t="shared" si="183"/>
        <v>#REF!</v>
      </c>
      <c r="AS199" t="e">
        <f t="shared" si="184"/>
        <v>#REF!</v>
      </c>
      <c r="AT199" t="e">
        <f t="shared" si="185"/>
        <v>#REF!</v>
      </c>
      <c r="AU199" t="e">
        <f t="shared" si="186"/>
        <v>#REF!</v>
      </c>
      <c r="AX199" t="e">
        <f>Reflection!A199</f>
        <v>#REF!</v>
      </c>
      <c r="AY199" t="s">
        <v>13</v>
      </c>
      <c r="AZ199" t="e">
        <f t="shared" si="187"/>
        <v>#REF!</v>
      </c>
      <c r="BA199" t="e">
        <f t="shared" si="188"/>
        <v>#REF!</v>
      </c>
      <c r="BB199" t="e">
        <f t="shared" si="189"/>
        <v>#REF!</v>
      </c>
      <c r="BC199" t="e">
        <f t="shared" si="190"/>
        <v>#REF!</v>
      </c>
      <c r="BD199" t="e">
        <f t="shared" si="191"/>
        <v>#REF!</v>
      </c>
      <c r="BE199" t="e">
        <f t="shared" si="192"/>
        <v>#REF!</v>
      </c>
      <c r="BH199" t="e">
        <f>Reflection!A199</f>
        <v>#REF!</v>
      </c>
      <c r="BI199" t="e">
        <f t="shared" si="193"/>
        <v>#REF!</v>
      </c>
      <c r="BJ199" t="e">
        <f t="shared" si="194"/>
        <v>#REF!</v>
      </c>
      <c r="BK199" t="e">
        <f t="shared" si="195"/>
        <v>#REF!</v>
      </c>
      <c r="BL199" t="e">
        <f t="shared" si="196"/>
        <v>#REF!</v>
      </c>
      <c r="BM199" t="e">
        <f t="shared" si="197"/>
        <v>#REF!</v>
      </c>
      <c r="BN199" t="e">
        <f t="shared" si="198"/>
        <v>#REF!</v>
      </c>
      <c r="BR199" t="e">
        <f>Reflection!A199</f>
        <v>#REF!</v>
      </c>
      <c r="BS199" t="s">
        <v>13</v>
      </c>
      <c r="BT199" t="e">
        <f t="shared" si="199"/>
        <v>#REF!</v>
      </c>
      <c r="BU199" t="e">
        <f t="shared" si="159"/>
        <v>#REF!</v>
      </c>
      <c r="BV199" t="e">
        <f t="shared" si="200"/>
        <v>#REF!</v>
      </c>
      <c r="BW199" t="e">
        <f t="shared" si="201"/>
        <v>#REF!</v>
      </c>
      <c r="BX199" t="e">
        <f t="shared" si="202"/>
        <v>#REF!</v>
      </c>
      <c r="BY199" t="e">
        <f t="shared" si="203"/>
        <v>#REF!</v>
      </c>
    </row>
    <row r="200" spans="1:77" x14ac:dyDescent="0.15">
      <c r="A200" t="e">
        <f>Reflection!A200</f>
        <v>#REF!</v>
      </c>
      <c r="B200" t="e">
        <f t="shared" si="156"/>
        <v>#REF!</v>
      </c>
      <c r="C200" t="e">
        <f t="shared" si="157"/>
        <v>#REF!</v>
      </c>
      <c r="D200" t="e">
        <f t="shared" si="160"/>
        <v>#REF!</v>
      </c>
      <c r="E200" t="e">
        <f t="shared" si="161"/>
        <v>#REF!</v>
      </c>
      <c r="F200" t="e">
        <f t="shared" si="162"/>
        <v>#REF!</v>
      </c>
      <c r="G200" t="e">
        <f t="shared" si="158"/>
        <v>#REF!</v>
      </c>
      <c r="J200" t="e">
        <f>Reflection!A200</f>
        <v>#REF!</v>
      </c>
      <c r="K200" t="s">
        <v>13</v>
      </c>
      <c r="L200" t="e">
        <f t="shared" si="163"/>
        <v>#REF!</v>
      </c>
      <c r="M200" t="e">
        <f t="shared" si="164"/>
        <v>#REF!</v>
      </c>
      <c r="N200" t="e">
        <f t="shared" si="165"/>
        <v>#REF!</v>
      </c>
      <c r="O200" t="e">
        <f t="shared" si="166"/>
        <v>#REF!</v>
      </c>
      <c r="P200" t="e">
        <f t="shared" si="167"/>
        <v>#REF!</v>
      </c>
      <c r="Q200" t="e">
        <f t="shared" si="168"/>
        <v>#REF!</v>
      </c>
      <c r="T200" t="e">
        <f>Reflection!A200</f>
        <v>#REF!</v>
      </c>
      <c r="U200" t="s">
        <v>13</v>
      </c>
      <c r="V200" t="e">
        <f t="shared" si="169"/>
        <v>#REF!</v>
      </c>
      <c r="W200" t="e">
        <f t="shared" si="170"/>
        <v>#REF!</v>
      </c>
      <c r="X200" t="e">
        <f t="shared" si="171"/>
        <v>#REF!</v>
      </c>
      <c r="Y200" t="e">
        <f t="shared" si="172"/>
        <v>#REF!</v>
      </c>
      <c r="Z200" t="e">
        <f t="shared" si="173"/>
        <v>#REF!</v>
      </c>
      <c r="AA200" t="e">
        <f t="shared" si="174"/>
        <v>#REF!</v>
      </c>
      <c r="AD200" t="e">
        <f>Reflection!A200</f>
        <v>#REF!</v>
      </c>
      <c r="AE200" t="s">
        <v>13</v>
      </c>
      <c r="AF200" t="e">
        <f t="shared" si="175"/>
        <v>#REF!</v>
      </c>
      <c r="AG200" t="e">
        <f t="shared" si="176"/>
        <v>#REF!</v>
      </c>
      <c r="AH200" t="e">
        <f t="shared" si="177"/>
        <v>#REF!</v>
      </c>
      <c r="AI200" t="e">
        <f t="shared" si="178"/>
        <v>#REF!</v>
      </c>
      <c r="AJ200" t="e">
        <f t="shared" si="179"/>
        <v>#REF!</v>
      </c>
      <c r="AK200" t="e">
        <f t="shared" si="180"/>
        <v>#REF!</v>
      </c>
      <c r="AN200" t="e">
        <f>Reflection!A200</f>
        <v>#REF!</v>
      </c>
      <c r="AO200" t="s">
        <v>13</v>
      </c>
      <c r="AP200" t="e">
        <f t="shared" si="181"/>
        <v>#REF!</v>
      </c>
      <c r="AQ200" t="e">
        <f t="shared" si="182"/>
        <v>#REF!</v>
      </c>
      <c r="AR200" t="e">
        <f t="shared" si="183"/>
        <v>#REF!</v>
      </c>
      <c r="AS200" t="e">
        <f t="shared" si="184"/>
        <v>#REF!</v>
      </c>
      <c r="AT200" t="e">
        <f t="shared" si="185"/>
        <v>#REF!</v>
      </c>
      <c r="AU200" t="e">
        <f t="shared" si="186"/>
        <v>#REF!</v>
      </c>
      <c r="AX200" t="e">
        <f>Reflection!A200</f>
        <v>#REF!</v>
      </c>
      <c r="AY200" t="s">
        <v>13</v>
      </c>
      <c r="AZ200" t="e">
        <f t="shared" si="187"/>
        <v>#REF!</v>
      </c>
      <c r="BA200" t="e">
        <f t="shared" si="188"/>
        <v>#REF!</v>
      </c>
      <c r="BB200" t="e">
        <f t="shared" si="189"/>
        <v>#REF!</v>
      </c>
      <c r="BC200" t="e">
        <f t="shared" si="190"/>
        <v>#REF!</v>
      </c>
      <c r="BD200" t="e">
        <f t="shared" si="191"/>
        <v>#REF!</v>
      </c>
      <c r="BE200" t="e">
        <f t="shared" si="192"/>
        <v>#REF!</v>
      </c>
      <c r="BH200" t="e">
        <f>Reflection!A200</f>
        <v>#REF!</v>
      </c>
      <c r="BI200" t="e">
        <f t="shared" si="193"/>
        <v>#REF!</v>
      </c>
      <c r="BJ200" t="e">
        <f t="shared" si="194"/>
        <v>#REF!</v>
      </c>
      <c r="BK200" t="e">
        <f t="shared" si="195"/>
        <v>#REF!</v>
      </c>
      <c r="BL200" t="e">
        <f t="shared" si="196"/>
        <v>#REF!</v>
      </c>
      <c r="BM200" t="e">
        <f t="shared" si="197"/>
        <v>#REF!</v>
      </c>
      <c r="BN200" t="e">
        <f t="shared" si="198"/>
        <v>#REF!</v>
      </c>
      <c r="BR200" t="e">
        <f>Reflection!A200</f>
        <v>#REF!</v>
      </c>
      <c r="BS200" t="s">
        <v>13</v>
      </c>
      <c r="BT200" t="e">
        <f t="shared" si="199"/>
        <v>#REF!</v>
      </c>
      <c r="BU200" t="e">
        <f t="shared" si="159"/>
        <v>#REF!</v>
      </c>
      <c r="BV200" t="e">
        <f t="shared" si="200"/>
        <v>#REF!</v>
      </c>
      <c r="BW200" t="e">
        <f t="shared" si="201"/>
        <v>#REF!</v>
      </c>
      <c r="BX200" t="e">
        <f t="shared" si="202"/>
        <v>#REF!</v>
      </c>
      <c r="BY200" t="e">
        <f t="shared" si="203"/>
        <v>#REF!</v>
      </c>
    </row>
    <row r="201" spans="1:77" x14ac:dyDescent="0.15">
      <c r="A201" t="e">
        <f>Reflection!A201</f>
        <v>#REF!</v>
      </c>
      <c r="B201" t="e">
        <f t="shared" si="156"/>
        <v>#REF!</v>
      </c>
      <c r="C201" t="e">
        <f t="shared" si="157"/>
        <v>#REF!</v>
      </c>
      <c r="D201" t="e">
        <f t="shared" si="160"/>
        <v>#REF!</v>
      </c>
      <c r="E201" t="e">
        <f t="shared" si="161"/>
        <v>#REF!</v>
      </c>
      <c r="F201" t="e">
        <f t="shared" si="162"/>
        <v>#REF!</v>
      </c>
      <c r="G201" t="e">
        <f t="shared" si="158"/>
        <v>#REF!</v>
      </c>
      <c r="J201" t="e">
        <f>Reflection!A201</f>
        <v>#REF!</v>
      </c>
      <c r="K201" t="s">
        <v>13</v>
      </c>
      <c r="L201" t="e">
        <f t="shared" si="163"/>
        <v>#REF!</v>
      </c>
      <c r="M201" t="e">
        <f t="shared" si="164"/>
        <v>#REF!</v>
      </c>
      <c r="N201" t="e">
        <f t="shared" si="165"/>
        <v>#REF!</v>
      </c>
      <c r="O201" t="e">
        <f t="shared" si="166"/>
        <v>#REF!</v>
      </c>
      <c r="P201" t="e">
        <f t="shared" si="167"/>
        <v>#REF!</v>
      </c>
      <c r="Q201" t="e">
        <f t="shared" si="168"/>
        <v>#REF!</v>
      </c>
      <c r="T201" t="e">
        <f>Reflection!A201</f>
        <v>#REF!</v>
      </c>
      <c r="U201" t="s">
        <v>13</v>
      </c>
      <c r="V201" t="e">
        <f t="shared" si="169"/>
        <v>#REF!</v>
      </c>
      <c r="W201" t="e">
        <f t="shared" si="170"/>
        <v>#REF!</v>
      </c>
      <c r="X201" t="e">
        <f t="shared" si="171"/>
        <v>#REF!</v>
      </c>
      <c r="Y201" t="e">
        <f t="shared" si="172"/>
        <v>#REF!</v>
      </c>
      <c r="Z201" t="e">
        <f t="shared" si="173"/>
        <v>#REF!</v>
      </c>
      <c r="AA201" t="e">
        <f t="shared" si="174"/>
        <v>#REF!</v>
      </c>
      <c r="AD201" t="e">
        <f>Reflection!A201</f>
        <v>#REF!</v>
      </c>
      <c r="AE201" t="s">
        <v>13</v>
      </c>
      <c r="AF201" t="e">
        <f t="shared" si="175"/>
        <v>#REF!</v>
      </c>
      <c r="AG201" t="e">
        <f t="shared" si="176"/>
        <v>#REF!</v>
      </c>
      <c r="AH201" t="e">
        <f t="shared" si="177"/>
        <v>#REF!</v>
      </c>
      <c r="AI201" t="e">
        <f t="shared" si="178"/>
        <v>#REF!</v>
      </c>
      <c r="AJ201" t="e">
        <f t="shared" si="179"/>
        <v>#REF!</v>
      </c>
      <c r="AK201" t="e">
        <f t="shared" si="180"/>
        <v>#REF!</v>
      </c>
      <c r="AN201" t="e">
        <f>Reflection!A201</f>
        <v>#REF!</v>
      </c>
      <c r="AO201" t="s">
        <v>13</v>
      </c>
      <c r="AP201" t="e">
        <f t="shared" si="181"/>
        <v>#REF!</v>
      </c>
      <c r="AQ201" t="e">
        <f t="shared" si="182"/>
        <v>#REF!</v>
      </c>
      <c r="AR201" t="e">
        <f t="shared" si="183"/>
        <v>#REF!</v>
      </c>
      <c r="AS201" t="e">
        <f t="shared" si="184"/>
        <v>#REF!</v>
      </c>
      <c r="AT201" t="e">
        <f t="shared" si="185"/>
        <v>#REF!</v>
      </c>
      <c r="AU201" t="e">
        <f t="shared" si="186"/>
        <v>#REF!</v>
      </c>
      <c r="AX201" t="e">
        <f>Reflection!A201</f>
        <v>#REF!</v>
      </c>
      <c r="AY201" t="s">
        <v>13</v>
      </c>
      <c r="AZ201" t="e">
        <f t="shared" si="187"/>
        <v>#REF!</v>
      </c>
      <c r="BA201" t="e">
        <f t="shared" si="188"/>
        <v>#REF!</v>
      </c>
      <c r="BB201" t="e">
        <f t="shared" si="189"/>
        <v>#REF!</v>
      </c>
      <c r="BC201" t="e">
        <f t="shared" si="190"/>
        <v>#REF!</v>
      </c>
      <c r="BD201" t="e">
        <f t="shared" si="191"/>
        <v>#REF!</v>
      </c>
      <c r="BE201" t="e">
        <f t="shared" si="192"/>
        <v>#REF!</v>
      </c>
      <c r="BH201" t="e">
        <f>Reflection!A201</f>
        <v>#REF!</v>
      </c>
      <c r="BI201" t="e">
        <f t="shared" si="193"/>
        <v>#REF!</v>
      </c>
      <c r="BJ201" t="e">
        <f t="shared" si="194"/>
        <v>#REF!</v>
      </c>
      <c r="BK201" t="e">
        <f t="shared" si="195"/>
        <v>#REF!</v>
      </c>
      <c r="BL201" t="e">
        <f t="shared" si="196"/>
        <v>#REF!</v>
      </c>
      <c r="BM201" t="e">
        <f t="shared" si="197"/>
        <v>#REF!</v>
      </c>
      <c r="BN201" t="e">
        <f t="shared" si="198"/>
        <v>#REF!</v>
      </c>
      <c r="BR201" t="e">
        <f>Reflection!A201</f>
        <v>#REF!</v>
      </c>
      <c r="BS201" t="s">
        <v>13</v>
      </c>
      <c r="BT201" t="e">
        <f t="shared" si="199"/>
        <v>#REF!</v>
      </c>
      <c r="BU201" t="e">
        <f t="shared" si="159"/>
        <v>#REF!</v>
      </c>
      <c r="BV201" t="e">
        <f t="shared" si="200"/>
        <v>#REF!</v>
      </c>
      <c r="BW201" t="e">
        <f t="shared" si="201"/>
        <v>#REF!</v>
      </c>
      <c r="BX201" t="e">
        <f t="shared" si="202"/>
        <v>#REF!</v>
      </c>
      <c r="BY201" t="e">
        <f t="shared" si="203"/>
        <v>#REF!</v>
      </c>
    </row>
    <row r="202" spans="1:77" x14ac:dyDescent="0.15">
      <c r="A202" t="e">
        <f>Reflection!A202</f>
        <v>#REF!</v>
      </c>
      <c r="B202" t="e">
        <f t="shared" si="156"/>
        <v>#REF!</v>
      </c>
      <c r="C202" t="e">
        <f t="shared" si="157"/>
        <v>#REF!</v>
      </c>
      <c r="D202" t="e">
        <f t="shared" si="160"/>
        <v>#REF!</v>
      </c>
      <c r="E202" t="e">
        <f t="shared" si="161"/>
        <v>#REF!</v>
      </c>
      <c r="F202" t="e">
        <f t="shared" si="162"/>
        <v>#REF!</v>
      </c>
      <c r="G202" t="e">
        <f t="shared" si="158"/>
        <v>#REF!</v>
      </c>
      <c r="J202" t="e">
        <f>Reflection!A202</f>
        <v>#REF!</v>
      </c>
      <c r="K202" t="s">
        <v>13</v>
      </c>
      <c r="L202" t="e">
        <f t="shared" si="163"/>
        <v>#REF!</v>
      </c>
      <c r="M202" t="e">
        <f t="shared" si="164"/>
        <v>#REF!</v>
      </c>
      <c r="N202" t="e">
        <f t="shared" si="165"/>
        <v>#REF!</v>
      </c>
      <c r="O202" t="e">
        <f t="shared" si="166"/>
        <v>#REF!</v>
      </c>
      <c r="P202" t="e">
        <f t="shared" si="167"/>
        <v>#REF!</v>
      </c>
      <c r="Q202" t="e">
        <f t="shared" si="168"/>
        <v>#REF!</v>
      </c>
      <c r="T202" t="e">
        <f>Reflection!A202</f>
        <v>#REF!</v>
      </c>
      <c r="U202" t="s">
        <v>13</v>
      </c>
      <c r="V202" t="e">
        <f t="shared" si="169"/>
        <v>#REF!</v>
      </c>
      <c r="W202" t="e">
        <f t="shared" si="170"/>
        <v>#REF!</v>
      </c>
      <c r="X202" t="e">
        <f t="shared" si="171"/>
        <v>#REF!</v>
      </c>
      <c r="Y202" t="e">
        <f t="shared" si="172"/>
        <v>#REF!</v>
      </c>
      <c r="Z202" t="e">
        <f t="shared" si="173"/>
        <v>#REF!</v>
      </c>
      <c r="AA202" t="e">
        <f t="shared" si="174"/>
        <v>#REF!</v>
      </c>
      <c r="AD202" t="e">
        <f>Reflection!A202</f>
        <v>#REF!</v>
      </c>
      <c r="AE202" t="s">
        <v>13</v>
      </c>
      <c r="AF202" t="e">
        <f t="shared" si="175"/>
        <v>#REF!</v>
      </c>
      <c r="AG202" t="e">
        <f t="shared" si="176"/>
        <v>#REF!</v>
      </c>
      <c r="AH202" t="e">
        <f t="shared" si="177"/>
        <v>#REF!</v>
      </c>
      <c r="AI202" t="e">
        <f t="shared" si="178"/>
        <v>#REF!</v>
      </c>
      <c r="AJ202" t="e">
        <f t="shared" si="179"/>
        <v>#REF!</v>
      </c>
      <c r="AK202" t="e">
        <f t="shared" si="180"/>
        <v>#REF!</v>
      </c>
      <c r="AN202" t="e">
        <f>Reflection!A202</f>
        <v>#REF!</v>
      </c>
      <c r="AO202" t="s">
        <v>13</v>
      </c>
      <c r="AP202" t="e">
        <f t="shared" si="181"/>
        <v>#REF!</v>
      </c>
      <c r="AQ202" t="e">
        <f t="shared" si="182"/>
        <v>#REF!</v>
      </c>
      <c r="AR202" t="e">
        <f t="shared" si="183"/>
        <v>#REF!</v>
      </c>
      <c r="AS202" t="e">
        <f t="shared" si="184"/>
        <v>#REF!</v>
      </c>
      <c r="AT202" t="e">
        <f t="shared" si="185"/>
        <v>#REF!</v>
      </c>
      <c r="AU202" t="e">
        <f t="shared" si="186"/>
        <v>#REF!</v>
      </c>
      <c r="AX202" t="e">
        <f>Reflection!A202</f>
        <v>#REF!</v>
      </c>
      <c r="AY202" t="s">
        <v>13</v>
      </c>
      <c r="AZ202" t="e">
        <f t="shared" si="187"/>
        <v>#REF!</v>
      </c>
      <c r="BA202" t="e">
        <f t="shared" si="188"/>
        <v>#REF!</v>
      </c>
      <c r="BB202" t="e">
        <f t="shared" si="189"/>
        <v>#REF!</v>
      </c>
      <c r="BC202" t="e">
        <f t="shared" si="190"/>
        <v>#REF!</v>
      </c>
      <c r="BD202" t="e">
        <f t="shared" si="191"/>
        <v>#REF!</v>
      </c>
      <c r="BE202" t="e">
        <f t="shared" si="192"/>
        <v>#REF!</v>
      </c>
      <c r="BH202" t="e">
        <f>Reflection!A202</f>
        <v>#REF!</v>
      </c>
      <c r="BI202" t="e">
        <f t="shared" si="193"/>
        <v>#REF!</v>
      </c>
      <c r="BJ202" t="e">
        <f t="shared" si="194"/>
        <v>#REF!</v>
      </c>
      <c r="BK202" t="e">
        <f t="shared" si="195"/>
        <v>#REF!</v>
      </c>
      <c r="BL202" t="e">
        <f t="shared" si="196"/>
        <v>#REF!</v>
      </c>
      <c r="BM202" t="e">
        <f t="shared" si="197"/>
        <v>#REF!</v>
      </c>
      <c r="BN202" t="e">
        <f t="shared" si="198"/>
        <v>#REF!</v>
      </c>
      <c r="BR202" t="e">
        <f>Reflection!A202</f>
        <v>#REF!</v>
      </c>
      <c r="BS202" t="s">
        <v>13</v>
      </c>
      <c r="BT202" t="e">
        <f t="shared" si="199"/>
        <v>#REF!</v>
      </c>
      <c r="BU202" t="e">
        <f t="shared" si="159"/>
        <v>#REF!</v>
      </c>
      <c r="BV202" t="e">
        <f t="shared" si="200"/>
        <v>#REF!</v>
      </c>
      <c r="BW202" t="e">
        <f t="shared" si="201"/>
        <v>#REF!</v>
      </c>
      <c r="BX202" t="e">
        <f t="shared" si="202"/>
        <v>#REF!</v>
      </c>
      <c r="BY202" t="e">
        <f t="shared" si="203"/>
        <v>#REF!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Experiment</vt:lpstr>
      <vt:lpstr>Reflection</vt:lpstr>
      <vt:lpstr>Permitivity</vt:lpstr>
      <vt:lpstr>Permitivity Ref.</vt:lpstr>
      <vt:lpstr>Permitivity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An Zhang</cp:lastModifiedBy>
  <dcterms:created xsi:type="dcterms:W3CDTF">2018-09-06T02:03:20Z</dcterms:created>
  <dcterms:modified xsi:type="dcterms:W3CDTF">2022-01-03T09:26:56Z</dcterms:modified>
</cp:coreProperties>
</file>